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:\MYSQL\"/>
    </mc:Choice>
  </mc:AlternateContent>
  <xr:revisionPtr revIDLastSave="0" documentId="8_{6F2F68B4-521F-4EC8-866E-D5D084F2782F}" xr6:coauthVersionLast="47" xr6:coauthVersionMax="47" xr10:uidLastSave="{00000000-0000-0000-0000-000000000000}"/>
  <bookViews>
    <workbookView xWindow="-120" yWindow="-120" windowWidth="25440" windowHeight="15270" activeTab="3" xr2:uid="{2EF5FBF2-2687-4360-8B75-A33631F4D575}"/>
  </bookViews>
  <sheets>
    <sheet name="support_tickets" sheetId="1" r:id="rId1"/>
    <sheet name="Validation_Checks" sheetId="3" r:id="rId2"/>
    <sheet name="Pivot_Analysis" sheetId="4" r:id="rId3"/>
    <sheet name="KPI_Summary" sheetId="2" r:id="rId4"/>
    <sheet name="Sheet3" sheetId="8" r:id="rId5"/>
  </sheets>
  <definedNames>
    <definedName name="_xlnm._FilterDatabase" localSheetId="2" hidden="1">Pivot_Analysis!$I$3:$L$10</definedName>
    <definedName name="_xlnm._FilterDatabase" localSheetId="0" hidden="1">support_tickets!$A$1:$Q$1501</definedName>
    <definedName name="support_ticket">support_tickets[]</definedName>
  </definedNames>
  <calcPr calcId="0"/>
  <pivotCaches>
    <pivotCache cacheId="62" r:id="rId6"/>
  </pivotCaches>
</workbook>
</file>

<file path=xl/calcChain.xml><?xml version="1.0" encoding="utf-8"?>
<calcChain xmlns="http://schemas.openxmlformats.org/spreadsheetml/2006/main">
  <c r="L15" i="4" l="1"/>
  <c r="L16" i="4"/>
  <c r="L17" i="4"/>
  <c r="L18" i="4"/>
  <c r="L19" i="4"/>
  <c r="L20" i="4"/>
  <c r="L21" i="4"/>
  <c r="V2" i="1"/>
  <c r="V430" i="1"/>
  <c r="V431" i="1"/>
  <c r="V432" i="1"/>
  <c r="V702" i="1"/>
  <c r="V3" i="1"/>
  <c r="V703" i="1"/>
  <c r="V1282" i="1"/>
  <c r="V704" i="1"/>
  <c r="V1283" i="1"/>
  <c r="V705" i="1"/>
  <c r="V706" i="1"/>
  <c r="V4" i="1"/>
  <c r="V433" i="1"/>
  <c r="V5" i="1"/>
  <c r="V707" i="1"/>
  <c r="V708" i="1"/>
  <c r="V709" i="1"/>
  <c r="V710" i="1"/>
  <c r="V6" i="1"/>
  <c r="V7" i="1"/>
  <c r="V8" i="1"/>
  <c r="V711" i="1"/>
  <c r="V9" i="1"/>
  <c r="V10" i="1"/>
  <c r="V11" i="1"/>
  <c r="V434" i="1"/>
  <c r="V12" i="1"/>
  <c r="V13" i="1"/>
  <c r="V435" i="1"/>
  <c r="V14" i="1"/>
  <c r="V712" i="1"/>
  <c r="V713" i="1"/>
  <c r="V15" i="1"/>
  <c r="V436" i="1"/>
  <c r="V437" i="1"/>
  <c r="V1284" i="1"/>
  <c r="V16" i="1"/>
  <c r="V714" i="1"/>
  <c r="V1285" i="1"/>
  <c r="V17" i="1"/>
  <c r="V18" i="1"/>
  <c r="V715" i="1"/>
  <c r="V716" i="1"/>
  <c r="V19" i="1"/>
  <c r="V717" i="1"/>
  <c r="V438" i="1"/>
  <c r="V20" i="1"/>
  <c r="V439" i="1"/>
  <c r="V718" i="1"/>
  <c r="V719" i="1"/>
  <c r="V440" i="1"/>
  <c r="V441" i="1"/>
  <c r="V1286" i="1"/>
  <c r="V442" i="1"/>
  <c r="V720" i="1"/>
  <c r="V721" i="1"/>
  <c r="V21" i="1"/>
  <c r="V22" i="1"/>
  <c r="V23" i="1"/>
  <c r="V24" i="1"/>
  <c r="V722" i="1"/>
  <c r="V723" i="1"/>
  <c r="V1287" i="1"/>
  <c r="V443" i="1"/>
  <c r="V25" i="1"/>
  <c r="V724" i="1"/>
  <c r="V444" i="1"/>
  <c r="V1288" i="1"/>
  <c r="V445" i="1"/>
  <c r="V446" i="1"/>
  <c r="V725" i="1"/>
  <c r="V726" i="1"/>
  <c r="V727" i="1"/>
  <c r="V728" i="1"/>
  <c r="V1289" i="1"/>
  <c r="V447" i="1"/>
  <c r="V26" i="1"/>
  <c r="V729" i="1"/>
  <c r="V730" i="1"/>
  <c r="V1290" i="1"/>
  <c r="V1291" i="1"/>
  <c r="V27" i="1"/>
  <c r="V448" i="1"/>
  <c r="V28" i="1"/>
  <c r="V29" i="1"/>
  <c r="V731" i="1"/>
  <c r="V449" i="1"/>
  <c r="V30" i="1"/>
  <c r="V1292" i="1"/>
  <c r="V732" i="1"/>
  <c r="V1293" i="1"/>
  <c r="V450" i="1"/>
  <c r="V31" i="1"/>
  <c r="V733" i="1"/>
  <c r="V1294" i="1"/>
  <c r="V451" i="1"/>
  <c r="V452" i="1"/>
  <c r="V32" i="1"/>
  <c r="V33" i="1"/>
  <c r="V734" i="1"/>
  <c r="V735" i="1"/>
  <c r="V736" i="1"/>
  <c r="V737" i="1"/>
  <c r="V453" i="1"/>
  <c r="V738" i="1"/>
  <c r="V739" i="1"/>
  <c r="V34" i="1"/>
  <c r="V454" i="1"/>
  <c r="V455" i="1"/>
  <c r="V740" i="1"/>
  <c r="V741" i="1"/>
  <c r="V35" i="1"/>
  <c r="V36" i="1"/>
  <c r="V456" i="1"/>
  <c r="V37" i="1"/>
  <c r="V742" i="1"/>
  <c r="V38" i="1"/>
  <c r="V743" i="1"/>
  <c r="V457" i="1"/>
  <c r="V744" i="1"/>
  <c r="V39" i="1"/>
  <c r="V458" i="1"/>
  <c r="V745" i="1"/>
  <c r="V746" i="1"/>
  <c r="V747" i="1"/>
  <c r="V748" i="1"/>
  <c r="V749" i="1"/>
  <c r="V750" i="1"/>
  <c r="V459" i="1"/>
  <c r="V751" i="1"/>
  <c r="V1295" i="1"/>
  <c r="V40" i="1"/>
  <c r="V1296" i="1"/>
  <c r="V752" i="1"/>
  <c r="V753" i="1"/>
  <c r="V41" i="1"/>
  <c r="V754" i="1"/>
  <c r="V755" i="1"/>
  <c r="V756" i="1"/>
  <c r="V42" i="1"/>
  <c r="V43" i="1"/>
  <c r="V757" i="1"/>
  <c r="V758" i="1"/>
  <c r="V44" i="1"/>
  <c r="V45" i="1"/>
  <c r="V759" i="1"/>
  <c r="V760" i="1"/>
  <c r="V1297" i="1"/>
  <c r="V761" i="1"/>
  <c r="V46" i="1"/>
  <c r="V762" i="1"/>
  <c r="V1298" i="1"/>
  <c r="V763" i="1"/>
  <c r="V47" i="1"/>
  <c r="V764" i="1"/>
  <c r="V48" i="1"/>
  <c r="V1299" i="1"/>
  <c r="V49" i="1"/>
  <c r="V765" i="1"/>
  <c r="V766" i="1"/>
  <c r="V50" i="1"/>
  <c r="V51" i="1"/>
  <c r="V460" i="1"/>
  <c r="V461" i="1"/>
  <c r="V767" i="1"/>
  <c r="V768" i="1"/>
  <c r="V1300" i="1"/>
  <c r="V769" i="1"/>
  <c r="V1301" i="1"/>
  <c r="V52" i="1"/>
  <c r="V462" i="1"/>
  <c r="V53" i="1"/>
  <c r="V54" i="1"/>
  <c r="V55" i="1"/>
  <c r="V770" i="1"/>
  <c r="V771" i="1"/>
  <c r="V1302" i="1"/>
  <c r="V772" i="1"/>
  <c r="V773" i="1"/>
  <c r="V774" i="1"/>
  <c r="V56" i="1"/>
  <c r="V1303" i="1"/>
  <c r="V775" i="1"/>
  <c r="V776" i="1"/>
  <c r="V57" i="1"/>
  <c r="V777" i="1"/>
  <c r="V778" i="1"/>
  <c r="V58" i="1"/>
  <c r="V59" i="1"/>
  <c r="V779" i="1"/>
  <c r="V463" i="1"/>
  <c r="V780" i="1"/>
  <c r="V464" i="1"/>
  <c r="V60" i="1"/>
  <c r="V61" i="1"/>
  <c r="V465" i="1"/>
  <c r="V62" i="1"/>
  <c r="V63" i="1"/>
  <c r="V781" i="1"/>
  <c r="V782" i="1"/>
  <c r="V466" i="1"/>
  <c r="V783" i="1"/>
  <c r="V784" i="1"/>
  <c r="V1304" i="1"/>
  <c r="V64" i="1"/>
  <c r="V785" i="1"/>
  <c r="V786" i="1"/>
  <c r="V787" i="1"/>
  <c r="V788" i="1"/>
  <c r="V65" i="1"/>
  <c r="V66" i="1"/>
  <c r="V1305" i="1"/>
  <c r="V67" i="1"/>
  <c r="V467" i="1"/>
  <c r="V468" i="1"/>
  <c r="V789" i="1"/>
  <c r="V790" i="1"/>
  <c r="V469" i="1"/>
  <c r="V470" i="1"/>
  <c r="V791" i="1"/>
  <c r="V792" i="1"/>
  <c r="V793" i="1"/>
  <c r="V794" i="1"/>
  <c r="V1306" i="1"/>
  <c r="V68" i="1"/>
  <c r="V1307" i="1"/>
  <c r="V69" i="1"/>
  <c r="V70" i="1"/>
  <c r="V471" i="1"/>
  <c r="V795" i="1"/>
  <c r="V472" i="1"/>
  <c r="V796" i="1"/>
  <c r="V473" i="1"/>
  <c r="V474" i="1"/>
  <c r="V797" i="1"/>
  <c r="V71" i="1"/>
  <c r="V798" i="1"/>
  <c r="V799" i="1"/>
  <c r="V800" i="1"/>
  <c r="V1308" i="1"/>
  <c r="V801" i="1"/>
  <c r="V72" i="1"/>
  <c r="V475" i="1"/>
  <c r="V802" i="1"/>
  <c r="V1309" i="1"/>
  <c r="V803" i="1"/>
  <c r="V73" i="1"/>
  <c r="V476" i="1"/>
  <c r="V1310" i="1"/>
  <c r="V1311" i="1"/>
  <c r="V477" i="1"/>
  <c r="V74" i="1"/>
  <c r="V478" i="1"/>
  <c r="V1312" i="1"/>
  <c r="V804" i="1"/>
  <c r="V75" i="1"/>
  <c r="V76" i="1"/>
  <c r="V479" i="1"/>
  <c r="V77" i="1"/>
  <c r="V805" i="1"/>
  <c r="V78" i="1"/>
  <c r="V480" i="1"/>
  <c r="V481" i="1"/>
  <c r="V806" i="1"/>
  <c r="V79" i="1"/>
  <c r="V80" i="1"/>
  <c r="V81" i="1"/>
  <c r="V1313" i="1"/>
  <c r="V807" i="1"/>
  <c r="V1314" i="1"/>
  <c r="V82" i="1"/>
  <c r="V482" i="1"/>
  <c r="V83" i="1"/>
  <c r="V84" i="1"/>
  <c r="V85" i="1"/>
  <c r="V1315" i="1"/>
  <c r="V1316" i="1"/>
  <c r="V808" i="1"/>
  <c r="V809" i="1"/>
  <c r="V810" i="1"/>
  <c r="V811" i="1"/>
  <c r="V812" i="1"/>
  <c r="V1317" i="1"/>
  <c r="V813" i="1"/>
  <c r="V483" i="1"/>
  <c r="V484" i="1"/>
  <c r="V485" i="1"/>
  <c r="V814" i="1"/>
  <c r="V815" i="1"/>
  <c r="V816" i="1"/>
  <c r="V817" i="1"/>
  <c r="V486" i="1"/>
  <c r="V1318" i="1"/>
  <c r="V86" i="1"/>
  <c r="V818" i="1"/>
  <c r="V819" i="1"/>
  <c r="V820" i="1"/>
  <c r="V487" i="1"/>
  <c r="V821" i="1"/>
  <c r="V87" i="1"/>
  <c r="V1319" i="1"/>
  <c r="V88" i="1"/>
  <c r="V822" i="1"/>
  <c r="V823" i="1"/>
  <c r="V89" i="1"/>
  <c r="V824" i="1"/>
  <c r="V1320" i="1"/>
  <c r="V1321" i="1"/>
  <c r="V90" i="1"/>
  <c r="V1322" i="1"/>
  <c r="V825" i="1"/>
  <c r="V91" i="1"/>
  <c r="V92" i="1"/>
  <c r="V93" i="1"/>
  <c r="V94" i="1"/>
  <c r="V95" i="1"/>
  <c r="V826" i="1"/>
  <c r="V96" i="1"/>
  <c r="V1323" i="1"/>
  <c r="V1324" i="1"/>
  <c r="V827" i="1"/>
  <c r="V488" i="1"/>
  <c r="V97" i="1"/>
  <c r="V489" i="1"/>
  <c r="V98" i="1"/>
  <c r="V490" i="1"/>
  <c r="V99" i="1"/>
  <c r="V100" i="1"/>
  <c r="V491" i="1"/>
  <c r="V492" i="1"/>
  <c r="V101" i="1"/>
  <c r="V493" i="1"/>
  <c r="V494" i="1"/>
  <c r="V102" i="1"/>
  <c r="V828" i="1"/>
  <c r="V103" i="1"/>
  <c r="V829" i="1"/>
  <c r="V830" i="1"/>
  <c r="V104" i="1"/>
  <c r="V105" i="1"/>
  <c r="V831" i="1"/>
  <c r="V832" i="1"/>
  <c r="V1325" i="1"/>
  <c r="V833" i="1"/>
  <c r="V834" i="1"/>
  <c r="V835" i="1"/>
  <c r="V1326" i="1"/>
  <c r="V495" i="1"/>
  <c r="V106" i="1"/>
  <c r="V836" i="1"/>
  <c r="V837" i="1"/>
  <c r="V107" i="1"/>
  <c r="V838" i="1"/>
  <c r="V108" i="1"/>
  <c r="V839" i="1"/>
  <c r="V840" i="1"/>
  <c r="V841" i="1"/>
  <c r="V842" i="1"/>
  <c r="V843" i="1"/>
  <c r="V109" i="1"/>
  <c r="V844" i="1"/>
  <c r="V1327" i="1"/>
  <c r="V845" i="1"/>
  <c r="V846" i="1"/>
  <c r="V110" i="1"/>
  <c r="V111" i="1"/>
  <c r="V847" i="1"/>
  <c r="V848" i="1"/>
  <c r="V849" i="1"/>
  <c r="V496" i="1"/>
  <c r="V850" i="1"/>
  <c r="V851" i="1"/>
  <c r="V852" i="1"/>
  <c r="V497" i="1"/>
  <c r="V1328" i="1"/>
  <c r="V853" i="1"/>
  <c r="V1329" i="1"/>
  <c r="V1330" i="1"/>
  <c r="V1331" i="1"/>
  <c r="V112" i="1"/>
  <c r="V854" i="1"/>
  <c r="V855" i="1"/>
  <c r="V113" i="1"/>
  <c r="V114" i="1"/>
  <c r="V1332" i="1"/>
  <c r="V115" i="1"/>
  <c r="V856" i="1"/>
  <c r="V498" i="1"/>
  <c r="V857" i="1"/>
  <c r="V858" i="1"/>
  <c r="V116" i="1"/>
  <c r="V117" i="1"/>
  <c r="V859" i="1"/>
  <c r="V1333" i="1"/>
  <c r="V118" i="1"/>
  <c r="V499" i="1"/>
  <c r="V860" i="1"/>
  <c r="V861" i="1"/>
  <c r="V500" i="1"/>
  <c r="V501" i="1"/>
  <c r="V862" i="1"/>
  <c r="V119" i="1"/>
  <c r="V1334" i="1"/>
  <c r="V1335" i="1"/>
  <c r="V863" i="1"/>
  <c r="V502" i="1"/>
  <c r="V120" i="1"/>
  <c r="V864" i="1"/>
  <c r="V865" i="1"/>
  <c r="V121" i="1"/>
  <c r="V1336" i="1"/>
  <c r="V866" i="1"/>
  <c r="V503" i="1"/>
  <c r="V867" i="1"/>
  <c r="V1337" i="1"/>
  <c r="V122" i="1"/>
  <c r="V868" i="1"/>
  <c r="V1338" i="1"/>
  <c r="V1339" i="1"/>
  <c r="V869" i="1"/>
  <c r="V123" i="1"/>
  <c r="V504" i="1"/>
  <c r="V124" i="1"/>
  <c r="V870" i="1"/>
  <c r="V505" i="1"/>
  <c r="V506" i="1"/>
  <c r="V871" i="1"/>
  <c r="V125" i="1"/>
  <c r="V1340" i="1"/>
  <c r="V126" i="1"/>
  <c r="V127" i="1"/>
  <c r="V872" i="1"/>
  <c r="V873" i="1"/>
  <c r="V507" i="1"/>
  <c r="V128" i="1"/>
  <c r="V129" i="1"/>
  <c r="V874" i="1"/>
  <c r="V875" i="1"/>
  <c r="V1341" i="1"/>
  <c r="V876" i="1"/>
  <c r="V130" i="1"/>
  <c r="V877" i="1"/>
  <c r="V131" i="1"/>
  <c r="V132" i="1"/>
  <c r="V508" i="1"/>
  <c r="V878" i="1"/>
  <c r="V879" i="1"/>
  <c r="V880" i="1"/>
  <c r="V509" i="1"/>
  <c r="V133" i="1"/>
  <c r="V134" i="1"/>
  <c r="V135" i="1"/>
  <c r="V881" i="1"/>
  <c r="V882" i="1"/>
  <c r="V883" i="1"/>
  <c r="V884" i="1"/>
  <c r="V1342" i="1"/>
  <c r="V885" i="1"/>
  <c r="V1343" i="1"/>
  <c r="V136" i="1"/>
  <c r="V137" i="1"/>
  <c r="V886" i="1"/>
  <c r="V510" i="1"/>
  <c r="V511" i="1"/>
  <c r="V512" i="1"/>
  <c r="V513" i="1"/>
  <c r="V1344" i="1"/>
  <c r="V1345" i="1"/>
  <c r="V138" i="1"/>
  <c r="V887" i="1"/>
  <c r="V1346" i="1"/>
  <c r="V888" i="1"/>
  <c r="V139" i="1"/>
  <c r="V889" i="1"/>
  <c r="V140" i="1"/>
  <c r="V141" i="1"/>
  <c r="V142" i="1"/>
  <c r="V143" i="1"/>
  <c r="V514" i="1"/>
  <c r="V890" i="1"/>
  <c r="V1347" i="1"/>
  <c r="V891" i="1"/>
  <c r="V1348" i="1"/>
  <c r="V892" i="1"/>
  <c r="V515" i="1"/>
  <c r="V893" i="1"/>
  <c r="V894" i="1"/>
  <c r="V895" i="1"/>
  <c r="V1349" i="1"/>
  <c r="V1350" i="1"/>
  <c r="V516" i="1"/>
  <c r="V517" i="1"/>
  <c r="V896" i="1"/>
  <c r="V144" i="1"/>
  <c r="V145" i="1"/>
  <c r="V146" i="1"/>
  <c r="V518" i="1"/>
  <c r="V1351" i="1"/>
  <c r="V147" i="1"/>
  <c r="V897" i="1"/>
  <c r="V148" i="1"/>
  <c r="V898" i="1"/>
  <c r="V899" i="1"/>
  <c r="V900" i="1"/>
  <c r="V149" i="1"/>
  <c r="V901" i="1"/>
  <c r="V1352" i="1"/>
  <c r="V519" i="1"/>
  <c r="V902" i="1"/>
  <c r="V1353" i="1"/>
  <c r="V903" i="1"/>
  <c r="V520" i="1"/>
  <c r="V150" i="1"/>
  <c r="V904" i="1"/>
  <c r="V521" i="1"/>
  <c r="V905" i="1"/>
  <c r="V151" i="1"/>
  <c r="V1354" i="1"/>
  <c r="V906" i="1"/>
  <c r="V152" i="1"/>
  <c r="V907" i="1"/>
  <c r="V908" i="1"/>
  <c r="V1355" i="1"/>
  <c r="V522" i="1"/>
  <c r="V153" i="1"/>
  <c r="V154" i="1"/>
  <c r="V909" i="1"/>
  <c r="V910" i="1"/>
  <c r="V1356" i="1"/>
  <c r="V911" i="1"/>
  <c r="V155" i="1"/>
  <c r="V156" i="1"/>
  <c r="V523" i="1"/>
  <c r="V912" i="1"/>
  <c r="V913" i="1"/>
  <c r="V914" i="1"/>
  <c r="V524" i="1"/>
  <c r="V915" i="1"/>
  <c r="V157" i="1"/>
  <c r="V1357" i="1"/>
  <c r="V525" i="1"/>
  <c r="V916" i="1"/>
  <c r="V1358" i="1"/>
  <c r="V526" i="1"/>
  <c r="V917" i="1"/>
  <c r="V527" i="1"/>
  <c r="V1359" i="1"/>
  <c r="V918" i="1"/>
  <c r="V158" i="1"/>
  <c r="V919" i="1"/>
  <c r="V528" i="1"/>
  <c r="V1360" i="1"/>
  <c r="V159" i="1"/>
  <c r="V160" i="1"/>
  <c r="V1361" i="1"/>
  <c r="V920" i="1"/>
  <c r="V921" i="1"/>
  <c r="V161" i="1"/>
  <c r="V922" i="1"/>
  <c r="V923" i="1"/>
  <c r="V924" i="1"/>
  <c r="V1362" i="1"/>
  <c r="V529" i="1"/>
  <c r="V162" i="1"/>
  <c r="V925" i="1"/>
  <c r="V530" i="1"/>
  <c r="V926" i="1"/>
  <c r="V1363" i="1"/>
  <c r="V1364" i="1"/>
  <c r="V163" i="1"/>
  <c r="V927" i="1"/>
  <c r="V928" i="1"/>
  <c r="V531" i="1"/>
  <c r="V164" i="1"/>
  <c r="V1365" i="1"/>
  <c r="V929" i="1"/>
  <c r="V165" i="1"/>
  <c r="V930" i="1"/>
  <c r="V166" i="1"/>
  <c r="V167" i="1"/>
  <c r="V168" i="1"/>
  <c r="V931" i="1"/>
  <c r="V169" i="1"/>
  <c r="V170" i="1"/>
  <c r="V1366" i="1"/>
  <c r="V532" i="1"/>
  <c r="V1367" i="1"/>
  <c r="V533" i="1"/>
  <c r="V171" i="1"/>
  <c r="V172" i="1"/>
  <c r="V1368" i="1"/>
  <c r="V932" i="1"/>
  <c r="V933" i="1"/>
  <c r="V934" i="1"/>
  <c r="V935" i="1"/>
  <c r="V936" i="1"/>
  <c r="V534" i="1"/>
  <c r="V937" i="1"/>
  <c r="V1369" i="1"/>
  <c r="V938" i="1"/>
  <c r="V173" i="1"/>
  <c r="V174" i="1"/>
  <c r="V939" i="1"/>
  <c r="V940" i="1"/>
  <c r="V1370" i="1"/>
  <c r="V941" i="1"/>
  <c r="V1371" i="1"/>
  <c r="V535" i="1"/>
  <c r="V536" i="1"/>
  <c r="V175" i="1"/>
  <c r="V176" i="1"/>
  <c r="V1372" i="1"/>
  <c r="V177" i="1"/>
  <c r="V1373" i="1"/>
  <c r="V942" i="1"/>
  <c r="V178" i="1"/>
  <c r="V943" i="1"/>
  <c r="V537" i="1"/>
  <c r="V944" i="1"/>
  <c r="V945" i="1"/>
  <c r="V1374" i="1"/>
  <c r="V179" i="1"/>
  <c r="V180" i="1"/>
  <c r="V1375" i="1"/>
  <c r="V181" i="1"/>
  <c r="V538" i="1"/>
  <c r="V946" i="1"/>
  <c r="V947" i="1"/>
  <c r="V1376" i="1"/>
  <c r="V948" i="1"/>
  <c r="V539" i="1"/>
  <c r="V949" i="1"/>
  <c r="V950" i="1"/>
  <c r="V1377" i="1"/>
  <c r="V951" i="1"/>
  <c r="V540" i="1"/>
  <c r="V952" i="1"/>
  <c r="V541" i="1"/>
  <c r="V182" i="1"/>
  <c r="V183" i="1"/>
  <c r="V953" i="1"/>
  <c r="V954" i="1"/>
  <c r="V184" i="1"/>
  <c r="V185" i="1"/>
  <c r="V955" i="1"/>
  <c r="V542" i="1"/>
  <c r="V543" i="1"/>
  <c r="V1378" i="1"/>
  <c r="V544" i="1"/>
  <c r="V186" i="1"/>
  <c r="V956" i="1"/>
  <c r="V957" i="1"/>
  <c r="V545" i="1"/>
  <c r="V958" i="1"/>
  <c r="V959" i="1"/>
  <c r="V960" i="1"/>
  <c r="V961" i="1"/>
  <c r="V962" i="1"/>
  <c r="V187" i="1"/>
  <c r="V546" i="1"/>
  <c r="V188" i="1"/>
  <c r="V963" i="1"/>
  <c r="V547" i="1"/>
  <c r="V964" i="1"/>
  <c r="V965" i="1"/>
  <c r="V966" i="1"/>
  <c r="V967" i="1"/>
  <c r="V1379" i="1"/>
  <c r="V1380" i="1"/>
  <c r="V1381" i="1"/>
  <c r="V548" i="1"/>
  <c r="V1382" i="1"/>
  <c r="V1383" i="1"/>
  <c r="V1384" i="1"/>
  <c r="V968" i="1"/>
  <c r="V1385" i="1"/>
  <c r="V1386" i="1"/>
  <c r="V969" i="1"/>
  <c r="V970" i="1"/>
  <c r="V1387" i="1"/>
  <c r="V1388" i="1"/>
  <c r="V189" i="1"/>
  <c r="V1389" i="1"/>
  <c r="V190" i="1"/>
  <c r="V549" i="1"/>
  <c r="V191" i="1"/>
  <c r="V971" i="1"/>
  <c r="V972" i="1"/>
  <c r="V973" i="1"/>
  <c r="V550" i="1"/>
  <c r="V1390" i="1"/>
  <c r="V1391" i="1"/>
  <c r="V974" i="1"/>
  <c r="V1392" i="1"/>
  <c r="V192" i="1"/>
  <c r="V193" i="1"/>
  <c r="V975" i="1"/>
  <c r="V976" i="1"/>
  <c r="V551" i="1"/>
  <c r="V1393" i="1"/>
  <c r="V1394" i="1"/>
  <c r="V194" i="1"/>
  <c r="V977" i="1"/>
  <c r="V195" i="1"/>
  <c r="V978" i="1"/>
  <c r="V552" i="1"/>
  <c r="V1395" i="1"/>
  <c r="V196" i="1"/>
  <c r="V197" i="1"/>
  <c r="V553" i="1"/>
  <c r="V979" i="1"/>
  <c r="V980" i="1"/>
  <c r="V981" i="1"/>
  <c r="V982" i="1"/>
  <c r="V554" i="1"/>
  <c r="V198" i="1"/>
  <c r="V983" i="1"/>
  <c r="V1396" i="1"/>
  <c r="V984" i="1"/>
  <c r="V985" i="1"/>
  <c r="V199" i="1"/>
  <c r="V986" i="1"/>
  <c r="V987" i="1"/>
  <c r="V555" i="1"/>
  <c r="V200" i="1"/>
  <c r="V556" i="1"/>
  <c r="V201" i="1"/>
  <c r="V202" i="1"/>
  <c r="V988" i="1"/>
  <c r="V203" i="1"/>
  <c r="V989" i="1"/>
  <c r="V990" i="1"/>
  <c r="V557" i="1"/>
  <c r="V991" i="1"/>
  <c r="V558" i="1"/>
  <c r="V992" i="1"/>
  <c r="V204" i="1"/>
  <c r="V205" i="1"/>
  <c r="V993" i="1"/>
  <c r="V994" i="1"/>
  <c r="V206" i="1"/>
  <c r="V1397" i="1"/>
  <c r="V995" i="1"/>
  <c r="V559" i="1"/>
  <c r="V996" i="1"/>
  <c r="V560" i="1"/>
  <c r="V207" i="1"/>
  <c r="V997" i="1"/>
  <c r="V998" i="1"/>
  <c r="V1398" i="1"/>
  <c r="V1399" i="1"/>
  <c r="V208" i="1"/>
  <c r="V999" i="1"/>
  <c r="V1000" i="1"/>
  <c r="V1400" i="1"/>
  <c r="V209" i="1"/>
  <c r="V210" i="1"/>
  <c r="V1001" i="1"/>
  <c r="V211" i="1"/>
  <c r="V561" i="1"/>
  <c r="V1002" i="1"/>
  <c r="V1003" i="1"/>
  <c r="V212" i="1"/>
  <c r="V562" i="1"/>
  <c r="V563" i="1"/>
  <c r="V213" i="1"/>
  <c r="V564" i="1"/>
  <c r="V1004" i="1"/>
  <c r="V1005" i="1"/>
  <c r="V214" i="1"/>
  <c r="V215" i="1"/>
  <c r="V1006" i="1"/>
  <c r="V1007" i="1"/>
  <c r="V1008" i="1"/>
  <c r="V216" i="1"/>
  <c r="V1009" i="1"/>
  <c r="V1401" i="1"/>
  <c r="V1010" i="1"/>
  <c r="V217" i="1"/>
  <c r="V218" i="1"/>
  <c r="V565" i="1"/>
  <c r="V1011" i="1"/>
  <c r="V219" i="1"/>
  <c r="V220" i="1"/>
  <c r="V1402" i="1"/>
  <c r="V1012" i="1"/>
  <c r="V221" i="1"/>
  <c r="V1013" i="1"/>
  <c r="V566" i="1"/>
  <c r="V567" i="1"/>
  <c r="V1014" i="1"/>
  <c r="V222" i="1"/>
  <c r="V223" i="1"/>
  <c r="V224" i="1"/>
  <c r="V1403" i="1"/>
  <c r="V1015" i="1"/>
  <c r="V568" i="1"/>
  <c r="V569" i="1"/>
  <c r="V570" i="1"/>
  <c r="V1404" i="1"/>
  <c r="V571" i="1"/>
  <c r="V225" i="1"/>
  <c r="V572" i="1"/>
  <c r="V1405" i="1"/>
  <c r="V226" i="1"/>
  <c r="V1406" i="1"/>
  <c r="V1016" i="1"/>
  <c r="V1017" i="1"/>
  <c r="V227" i="1"/>
  <c r="V228" i="1"/>
  <c r="V1407" i="1"/>
  <c r="V1408" i="1"/>
  <c r="V573" i="1"/>
  <c r="V1409" i="1"/>
  <c r="V229" i="1"/>
  <c r="V230" i="1"/>
  <c r="V1018" i="1"/>
  <c r="V1019" i="1"/>
  <c r="V1020" i="1"/>
  <c r="V231" i="1"/>
  <c r="V574" i="1"/>
  <c r="V1021" i="1"/>
  <c r="V232" i="1"/>
  <c r="V575" i="1"/>
  <c r="V1410" i="1"/>
  <c r="V233" i="1"/>
  <c r="V1022" i="1"/>
  <c r="V576" i="1"/>
  <c r="V234" i="1"/>
  <c r="V1023" i="1"/>
  <c r="V235" i="1"/>
  <c r="V577" i="1"/>
  <c r="V1024" i="1"/>
  <c r="V236" i="1"/>
  <c r="V237" i="1"/>
  <c r="V238" i="1"/>
  <c r="V239" i="1"/>
  <c r="V240" i="1"/>
  <c r="V1025" i="1"/>
  <c r="V1411" i="1"/>
  <c r="V578" i="1"/>
  <c r="V1412" i="1"/>
  <c r="V241" i="1"/>
  <c r="V579" i="1"/>
  <c r="V1026" i="1"/>
  <c r="V242" i="1"/>
  <c r="V1027" i="1"/>
  <c r="V1028" i="1"/>
  <c r="V1413" i="1"/>
  <c r="V580" i="1"/>
  <c r="V243" i="1"/>
  <c r="V244" i="1"/>
  <c r="V1414" i="1"/>
  <c r="V245" i="1"/>
  <c r="V1415" i="1"/>
  <c r="V1029" i="1"/>
  <c r="V246" i="1"/>
  <c r="V247" i="1"/>
  <c r="V248" i="1"/>
  <c r="V249" i="1"/>
  <c r="V581" i="1"/>
  <c r="V1416" i="1"/>
  <c r="V1030" i="1"/>
  <c r="V1031" i="1"/>
  <c r="V1032" i="1"/>
  <c r="V250" i="1"/>
  <c r="V1033" i="1"/>
  <c r="V582" i="1"/>
  <c r="V251" i="1"/>
  <c r="V1417" i="1"/>
  <c r="V252" i="1"/>
  <c r="V583" i="1"/>
  <c r="V584" i="1"/>
  <c r="V585" i="1"/>
  <c r="V253" i="1"/>
  <c r="V1034" i="1"/>
  <c r="V1035" i="1"/>
  <c r="V254" i="1"/>
  <c r="V255" i="1"/>
  <c r="V1036" i="1"/>
  <c r="V256" i="1"/>
  <c r="V1037" i="1"/>
  <c r="V1418" i="1"/>
  <c r="V1038" i="1"/>
  <c r="V586" i="1"/>
  <c r="V1039" i="1"/>
  <c r="V1040" i="1"/>
  <c r="V1419" i="1"/>
  <c r="V257" i="1"/>
  <c r="V258" i="1"/>
  <c r="V259" i="1"/>
  <c r="V260" i="1"/>
  <c r="V1041" i="1"/>
  <c r="V587" i="1"/>
  <c r="V1042" i="1"/>
  <c r="V1043" i="1"/>
  <c r="V261" i="1"/>
  <c r="V1044" i="1"/>
  <c r="V262" i="1"/>
  <c r="V1045" i="1"/>
  <c r="V263" i="1"/>
  <c r="V264" i="1"/>
  <c r="V265" i="1"/>
  <c r="V1046" i="1"/>
  <c r="V1047" i="1"/>
  <c r="V266" i="1"/>
  <c r="V1048" i="1"/>
  <c r="V1049" i="1"/>
  <c r="V588" i="1"/>
  <c r="V1420" i="1"/>
  <c r="V589" i="1"/>
  <c r="V267" i="1"/>
  <c r="V1421" i="1"/>
  <c r="V590" i="1"/>
  <c r="V1422" i="1"/>
  <c r="V1423" i="1"/>
  <c r="V1050" i="1"/>
  <c r="V1051" i="1"/>
  <c r="V268" i="1"/>
  <c r="V1052" i="1"/>
  <c r="V269" i="1"/>
  <c r="V270" i="1"/>
  <c r="V1424" i="1"/>
  <c r="V271" i="1"/>
  <c r="V591" i="1"/>
  <c r="V1425" i="1"/>
  <c r="V1053" i="1"/>
  <c r="V1054" i="1"/>
  <c r="V592" i="1"/>
  <c r="V1055" i="1"/>
  <c r="V1426" i="1"/>
  <c r="V1056" i="1"/>
  <c r="V1057" i="1"/>
  <c r="V1058" i="1"/>
  <c r="V1427" i="1"/>
  <c r="V593" i="1"/>
  <c r="V272" i="1"/>
  <c r="V273" i="1"/>
  <c r="V1059" i="1"/>
  <c r="V1428" i="1"/>
  <c r="V274" i="1"/>
  <c r="V1060" i="1"/>
  <c r="V1429" i="1"/>
  <c r="V1061" i="1"/>
  <c r="V594" i="1"/>
  <c r="V275" i="1"/>
  <c r="V1062" i="1"/>
  <c r="V1063" i="1"/>
  <c r="V1430" i="1"/>
  <c r="V1064" i="1"/>
  <c r="V1065" i="1"/>
  <c r="V1431" i="1"/>
  <c r="V595" i="1"/>
  <c r="V1066" i="1"/>
  <c r="V276" i="1"/>
  <c r="V596" i="1"/>
  <c r="V277" i="1"/>
  <c r="V278" i="1"/>
  <c r="V279" i="1"/>
  <c r="V280" i="1"/>
  <c r="V1432" i="1"/>
  <c r="V1067" i="1"/>
  <c r="V1068" i="1"/>
  <c r="V1069" i="1"/>
  <c r="V1070" i="1"/>
  <c r="V1071" i="1"/>
  <c r="V281" i="1"/>
  <c r="V282" i="1"/>
  <c r="V1072" i="1"/>
  <c r="V597" i="1"/>
  <c r="V283" i="1"/>
  <c r="V598" i="1"/>
  <c r="V1073" i="1"/>
  <c r="V1074" i="1"/>
  <c r="V599" i="1"/>
  <c r="V284" i="1"/>
  <c r="V1433" i="1"/>
  <c r="V1434" i="1"/>
  <c r="V285" i="1"/>
  <c r="V600" i="1"/>
  <c r="V286" i="1"/>
  <c r="V1075" i="1"/>
  <c r="V1076" i="1"/>
  <c r="V601" i="1"/>
  <c r="V1077" i="1"/>
  <c r="V287" i="1"/>
  <c r="V1435" i="1"/>
  <c r="V602" i="1"/>
  <c r="V1078" i="1"/>
  <c r="V288" i="1"/>
  <c r="V1079" i="1"/>
  <c r="V289" i="1"/>
  <c r="V1080" i="1"/>
  <c r="V1081" i="1"/>
  <c r="V1082" i="1"/>
  <c r="V290" i="1"/>
  <c r="V603" i="1"/>
  <c r="V1083" i="1"/>
  <c r="V1436" i="1"/>
  <c r="V291" i="1"/>
  <c r="V604" i="1"/>
  <c r="V1084" i="1"/>
  <c r="V292" i="1"/>
  <c r="V293" i="1"/>
  <c r="V1085" i="1"/>
  <c r="V605" i="1"/>
  <c r="V606" i="1"/>
  <c r="V1086" i="1"/>
  <c r="V1087" i="1"/>
  <c r="V607" i="1"/>
  <c r="V1437" i="1"/>
  <c r="V1088" i="1"/>
  <c r="V294" i="1"/>
  <c r="V1089" i="1"/>
  <c r="V1090" i="1"/>
  <c r="V1091" i="1"/>
  <c r="V295" i="1"/>
  <c r="V296" i="1"/>
  <c r="V1438" i="1"/>
  <c r="V1092" i="1"/>
  <c r="V1093" i="1"/>
  <c r="V297" i="1"/>
  <c r="V298" i="1"/>
  <c r="V299" i="1"/>
  <c r="V300" i="1"/>
  <c r="V608" i="1"/>
  <c r="V609" i="1"/>
  <c r="V1439" i="1"/>
  <c r="V1094" i="1"/>
  <c r="V1095" i="1"/>
  <c r="V1096" i="1"/>
  <c r="V1097" i="1"/>
  <c r="V1440" i="1"/>
  <c r="V1098" i="1"/>
  <c r="V1099" i="1"/>
  <c r="V610" i="1"/>
  <c r="V611" i="1"/>
  <c r="V612" i="1"/>
  <c r="V301" i="1"/>
  <c r="V302" i="1"/>
  <c r="V613" i="1"/>
  <c r="V1100" i="1"/>
  <c r="V1101" i="1"/>
  <c r="V1102" i="1"/>
  <c r="V1103" i="1"/>
  <c r="V1104" i="1"/>
  <c r="V614" i="1"/>
  <c r="V303" i="1"/>
  <c r="V615" i="1"/>
  <c r="V1105" i="1"/>
  <c r="V1106" i="1"/>
  <c r="V616" i="1"/>
  <c r="V617" i="1"/>
  <c r="V1107" i="1"/>
  <c r="V1441" i="1"/>
  <c r="V618" i="1"/>
  <c r="V304" i="1"/>
  <c r="V1108" i="1"/>
  <c r="V305" i="1"/>
  <c r="V306" i="1"/>
  <c r="V1442" i="1"/>
  <c r="V1109" i="1"/>
  <c r="V1443" i="1"/>
  <c r="V307" i="1"/>
  <c r="V1110" i="1"/>
  <c r="V1111" i="1"/>
  <c r="V1112" i="1"/>
  <c r="V619" i="1"/>
  <c r="V1444" i="1"/>
  <c r="V308" i="1"/>
  <c r="V620" i="1"/>
  <c r="V1113" i="1"/>
  <c r="V621" i="1"/>
  <c r="V1445" i="1"/>
  <c r="V1114" i="1"/>
  <c r="V309" i="1"/>
  <c r="V310" i="1"/>
  <c r="V1115" i="1"/>
  <c r="V1116" i="1"/>
  <c r="V311" i="1"/>
  <c r="V622" i="1"/>
  <c r="V1117" i="1"/>
  <c r="V623" i="1"/>
  <c r="V1118" i="1"/>
  <c r="V1119" i="1"/>
  <c r="V312" i="1"/>
  <c r="V624" i="1"/>
  <c r="V1120" i="1"/>
  <c r="V625" i="1"/>
  <c r="V1121" i="1"/>
  <c r="V1446" i="1"/>
  <c r="V1447" i="1"/>
  <c r="V1448" i="1"/>
  <c r="V1122" i="1"/>
  <c r="V313" i="1"/>
  <c r="V314" i="1"/>
  <c r="V315" i="1"/>
  <c r="V1449" i="1"/>
  <c r="V626" i="1"/>
  <c r="V1123" i="1"/>
  <c r="V1124" i="1"/>
  <c r="V1125" i="1"/>
  <c r="V627" i="1"/>
  <c r="V1450" i="1"/>
  <c r="V1451" i="1"/>
  <c r="V1126" i="1"/>
  <c r="V316" i="1"/>
  <c r="V1127" i="1"/>
  <c r="V1128" i="1"/>
  <c r="V317" i="1"/>
  <c r="V1129" i="1"/>
  <c r="V1130" i="1"/>
  <c r="V1131" i="1"/>
  <c r="V628" i="1"/>
  <c r="V1452" i="1"/>
  <c r="V1453" i="1"/>
  <c r="V629" i="1"/>
  <c r="V1132" i="1"/>
  <c r="V630" i="1"/>
  <c r="V318" i="1"/>
  <c r="V319" i="1"/>
  <c r="V1454" i="1"/>
  <c r="V631" i="1"/>
  <c r="V1133" i="1"/>
  <c r="V320" i="1"/>
  <c r="V321" i="1"/>
  <c r="V1134" i="1"/>
  <c r="V322" i="1"/>
  <c r="V632" i="1"/>
  <c r="V1135" i="1"/>
  <c r="V1136" i="1"/>
  <c r="V323" i="1"/>
  <c r="V324" i="1"/>
  <c r="V1137" i="1"/>
  <c r="V633" i="1"/>
  <c r="V1455" i="1"/>
  <c r="V1138" i="1"/>
  <c r="V634" i="1"/>
  <c r="V1139" i="1"/>
  <c r="V1140" i="1"/>
  <c r="V325" i="1"/>
  <c r="V1456" i="1"/>
  <c r="V1141" i="1"/>
  <c r="V1457" i="1"/>
  <c r="V1142" i="1"/>
  <c r="V326" i="1"/>
  <c r="V327" i="1"/>
  <c r="V1458" i="1"/>
  <c r="V635" i="1"/>
  <c r="V1459" i="1"/>
  <c r="V636" i="1"/>
  <c r="V1143" i="1"/>
  <c r="V1460" i="1"/>
  <c r="V328" i="1"/>
  <c r="V1144" i="1"/>
  <c r="V329" i="1"/>
  <c r="V330" i="1"/>
  <c r="V1145" i="1"/>
  <c r="V1146" i="1"/>
  <c r="V331" i="1"/>
  <c r="V637" i="1"/>
  <c r="V638" i="1"/>
  <c r="V1147" i="1"/>
  <c r="V332" i="1"/>
  <c r="V1148" i="1"/>
  <c r="V333" i="1"/>
  <c r="V1149" i="1"/>
  <c r="V1150" i="1"/>
  <c r="V334" i="1"/>
  <c r="V1461" i="1"/>
  <c r="V335" i="1"/>
  <c r="V336" i="1"/>
  <c r="V1151" i="1"/>
  <c r="V639" i="1"/>
  <c r="V1152" i="1"/>
  <c r="V337" i="1"/>
  <c r="V338" i="1"/>
  <c r="V1462" i="1"/>
  <c r="V1153" i="1"/>
  <c r="V640" i="1"/>
  <c r="V339" i="1"/>
  <c r="V641" i="1"/>
  <c r="V340" i="1"/>
  <c r="V341" i="1"/>
  <c r="V342" i="1"/>
  <c r="V642" i="1"/>
  <c r="V1154" i="1"/>
  <c r="V1463" i="1"/>
  <c r="V343" i="1"/>
  <c r="V344" i="1"/>
  <c r="V345" i="1"/>
  <c r="V346" i="1"/>
  <c r="V1155" i="1"/>
  <c r="V1156" i="1"/>
  <c r="V643" i="1"/>
  <c r="V347" i="1"/>
  <c r="V348" i="1"/>
  <c r="V349" i="1"/>
  <c r="V350" i="1"/>
  <c r="V1157" i="1"/>
  <c r="V351" i="1"/>
  <c r="V352" i="1"/>
  <c r="V1464" i="1"/>
  <c r="V1158" i="1"/>
  <c r="V353" i="1"/>
  <c r="V354" i="1"/>
  <c r="V644" i="1"/>
  <c r="V1159" i="1"/>
  <c r="V1160" i="1"/>
  <c r="V1161" i="1"/>
  <c r="V355" i="1"/>
  <c r="V1162" i="1"/>
  <c r="V1163" i="1"/>
  <c r="V645" i="1"/>
  <c r="V1164" i="1"/>
  <c r="V1165" i="1"/>
  <c r="V1166" i="1"/>
  <c r="V356" i="1"/>
  <c r="V357" i="1"/>
  <c r="V1167" i="1"/>
  <c r="V1168" i="1"/>
  <c r="V358" i="1"/>
  <c r="V1169" i="1"/>
  <c r="V646" i="1"/>
  <c r="V647" i="1"/>
  <c r="V359" i="1"/>
  <c r="V1170" i="1"/>
  <c r="V1465" i="1"/>
  <c r="V1466" i="1"/>
  <c r="V648" i="1"/>
  <c r="V1171" i="1"/>
  <c r="V1467" i="1"/>
  <c r="V360" i="1"/>
  <c r="V1172" i="1"/>
  <c r="V361" i="1"/>
  <c r="V362" i="1"/>
  <c r="V1173" i="1"/>
  <c r="V1174" i="1"/>
  <c r="V363" i="1"/>
  <c r="V1468" i="1"/>
  <c r="V1175" i="1"/>
  <c r="V1176" i="1"/>
  <c r="V649" i="1"/>
  <c r="V1177" i="1"/>
  <c r="V364" i="1"/>
  <c r="V365" i="1"/>
  <c r="V1469" i="1"/>
  <c r="V366" i="1"/>
  <c r="V1178" i="1"/>
  <c r="V650" i="1"/>
  <c r="V367" i="1"/>
  <c r="V368" i="1"/>
  <c r="V1179" i="1"/>
  <c r="V1470" i="1"/>
  <c r="V1180" i="1"/>
  <c r="V369" i="1"/>
  <c r="V651" i="1"/>
  <c r="V1181" i="1"/>
  <c r="V1471" i="1"/>
  <c r="V370" i="1"/>
  <c r="V1182" i="1"/>
  <c r="V1183" i="1"/>
  <c r="V652" i="1"/>
  <c r="V653" i="1"/>
  <c r="V1184" i="1"/>
  <c r="V654" i="1"/>
  <c r="V371" i="1"/>
  <c r="V1185" i="1"/>
  <c r="V1186" i="1"/>
  <c r="V655" i="1"/>
  <c r="V372" i="1"/>
  <c r="V373" i="1"/>
  <c r="V1472" i="1"/>
  <c r="V1187" i="1"/>
  <c r="V1188" i="1"/>
  <c r="V1189" i="1"/>
  <c r="V374" i="1"/>
  <c r="V1473" i="1"/>
  <c r="V1190" i="1"/>
  <c r="V1474" i="1"/>
  <c r="V1475" i="1"/>
  <c r="V656" i="1"/>
  <c r="V657" i="1"/>
  <c r="V1191" i="1"/>
  <c r="V375" i="1"/>
  <c r="V658" i="1"/>
  <c r="V1476" i="1"/>
  <c r="V376" i="1"/>
  <c r="V1477" i="1"/>
  <c r="V1192" i="1"/>
  <c r="V1193" i="1"/>
  <c r="V659" i="1"/>
  <c r="V660" i="1"/>
  <c r="V661" i="1"/>
  <c r="V377" i="1"/>
  <c r="V378" i="1"/>
  <c r="V662" i="1"/>
  <c r="V379" i="1"/>
  <c r="V380" i="1"/>
  <c r="V1194" i="1"/>
  <c r="V1195" i="1"/>
  <c r="V1196" i="1"/>
  <c r="V381" i="1"/>
  <c r="V382" i="1"/>
  <c r="V1197" i="1"/>
  <c r="V383" i="1"/>
  <c r="V663" i="1"/>
  <c r="V664" i="1"/>
  <c r="V1478" i="1"/>
  <c r="V384" i="1"/>
  <c r="V665" i="1"/>
  <c r="V1198" i="1"/>
  <c r="V1479" i="1"/>
  <c r="V1199" i="1"/>
  <c r="V1200" i="1"/>
  <c r="V385" i="1"/>
  <c r="V1201" i="1"/>
  <c r="V1202" i="1"/>
  <c r="V1203" i="1"/>
  <c r="V666" i="1"/>
  <c r="V667" i="1"/>
  <c r="V1480" i="1"/>
  <c r="V1204" i="1"/>
  <c r="V1205" i="1"/>
  <c r="V1206" i="1"/>
  <c r="V1207" i="1"/>
  <c r="V386" i="1"/>
  <c r="V1208" i="1"/>
  <c r="V668" i="1"/>
  <c r="V1209" i="1"/>
  <c r="V669" i="1"/>
  <c r="V670" i="1"/>
  <c r="V387" i="1"/>
  <c r="V388" i="1"/>
  <c r="V389" i="1"/>
  <c r="V1210" i="1"/>
  <c r="V1211" i="1"/>
  <c r="V671" i="1"/>
  <c r="V390" i="1"/>
  <c r="V1212" i="1"/>
  <c r="V391" i="1"/>
  <c r="V1213" i="1"/>
  <c r="V1481" i="1"/>
  <c r="V1214" i="1"/>
  <c r="V1215" i="1"/>
  <c r="V392" i="1"/>
  <c r="V1482" i="1"/>
  <c r="V1216" i="1"/>
  <c r="V1483" i="1"/>
  <c r="V672" i="1"/>
  <c r="V1217" i="1"/>
  <c r="V1218" i="1"/>
  <c r="V673" i="1"/>
  <c r="V393" i="1"/>
  <c r="V1219" i="1"/>
  <c r="V1220" i="1"/>
  <c r="V1484" i="1"/>
  <c r="V394" i="1"/>
  <c r="V1221" i="1"/>
  <c r="V395" i="1"/>
  <c r="V1222" i="1"/>
  <c r="V1223" i="1"/>
  <c r="V1485" i="1"/>
  <c r="V396" i="1"/>
  <c r="V674" i="1"/>
  <c r="V1486" i="1"/>
  <c r="V1224" i="1"/>
  <c r="V1225" i="1"/>
  <c r="V397" i="1"/>
  <c r="V1226" i="1"/>
  <c r="V1227" i="1"/>
  <c r="V1228" i="1"/>
  <c r="V675" i="1"/>
  <c r="V1229" i="1"/>
  <c r="V398" i="1"/>
  <c r="V676" i="1"/>
  <c r="V677" i="1"/>
  <c r="V1487" i="1"/>
  <c r="V1230" i="1"/>
  <c r="V399" i="1"/>
  <c r="V400" i="1"/>
  <c r="V1488" i="1"/>
  <c r="V1489" i="1"/>
  <c r="V401" i="1"/>
  <c r="V1490" i="1"/>
  <c r="V402" i="1"/>
  <c r="V1231" i="1"/>
  <c r="V1232" i="1"/>
  <c r="V1233" i="1"/>
  <c r="V678" i="1"/>
  <c r="V679" i="1"/>
  <c r="V680" i="1"/>
  <c r="V681" i="1"/>
  <c r="V1234" i="1"/>
  <c r="V682" i="1"/>
  <c r="V683" i="1"/>
  <c r="V403" i="1"/>
  <c r="V1235" i="1"/>
  <c r="V684" i="1"/>
  <c r="V404" i="1"/>
  <c r="V1236" i="1"/>
  <c r="V1237" i="1"/>
  <c r="V1491" i="1"/>
  <c r="V1238" i="1"/>
  <c r="V1239" i="1"/>
  <c r="V1240" i="1"/>
  <c r="V405" i="1"/>
  <c r="V406" i="1"/>
  <c r="V1241" i="1"/>
  <c r="V407" i="1"/>
  <c r="V1242" i="1"/>
  <c r="V408" i="1"/>
  <c r="V1243" i="1"/>
  <c r="V1492" i="1"/>
  <c r="V409" i="1"/>
  <c r="V410" i="1"/>
  <c r="V1244" i="1"/>
  <c r="V685" i="1"/>
  <c r="V1245" i="1"/>
  <c r="V411" i="1"/>
  <c r="V412" i="1"/>
  <c r="V1493" i="1"/>
  <c r="V686" i="1"/>
  <c r="V1246" i="1"/>
  <c r="V687" i="1"/>
  <c r="V1247" i="1"/>
  <c r="V413" i="1"/>
  <c r="V1248" i="1"/>
  <c r="V414" i="1"/>
  <c r="V1249" i="1"/>
  <c r="V1250" i="1"/>
  <c r="V1251" i="1"/>
  <c r="V1252" i="1"/>
  <c r="V415" i="1"/>
  <c r="V688" i="1"/>
  <c r="V1253" i="1"/>
  <c r="V1254" i="1"/>
  <c r="V1255" i="1"/>
  <c r="V1256" i="1"/>
  <c r="V1494" i="1"/>
  <c r="V1257" i="1"/>
  <c r="V416" i="1"/>
  <c r="V1495" i="1"/>
  <c r="V689" i="1"/>
  <c r="V1496" i="1"/>
  <c r="V417" i="1"/>
  <c r="V690" i="1"/>
  <c r="V1258" i="1"/>
  <c r="V1259" i="1"/>
  <c r="V1497" i="1"/>
  <c r="V418" i="1"/>
  <c r="V691" i="1"/>
  <c r="V419" i="1"/>
  <c r="V420" i="1"/>
  <c r="V692" i="1"/>
  <c r="V693" i="1"/>
  <c r="V421" i="1"/>
  <c r="V694" i="1"/>
  <c r="V1260" i="1"/>
  <c r="V1261" i="1"/>
  <c r="V1262" i="1"/>
  <c r="V695" i="1"/>
  <c r="V696" i="1"/>
  <c r="V697" i="1"/>
  <c r="V1263" i="1"/>
  <c r="V1498" i="1"/>
  <c r="V698" i="1"/>
  <c r="V1264" i="1"/>
  <c r="V422" i="1"/>
  <c r="V1265" i="1"/>
  <c r="V1266" i="1"/>
  <c r="V423" i="1"/>
  <c r="V424" i="1"/>
  <c r="V1267" i="1"/>
  <c r="V1268" i="1"/>
  <c r="V1499" i="1"/>
  <c r="V1269" i="1"/>
  <c r="V425" i="1"/>
  <c r="V1270" i="1"/>
  <c r="V426" i="1"/>
  <c r="V1271" i="1"/>
  <c r="V1272" i="1"/>
  <c r="V1273" i="1"/>
  <c r="V427" i="1"/>
  <c r="V1500" i="1"/>
  <c r="V1274" i="1"/>
  <c r="V1275" i="1"/>
  <c r="V1501" i="1"/>
  <c r="V428" i="1"/>
  <c r="V1276" i="1"/>
  <c r="V1277" i="1"/>
  <c r="V1278" i="1"/>
  <c r="V1279" i="1"/>
  <c r="V699" i="1"/>
  <c r="V700" i="1"/>
  <c r="V701" i="1"/>
  <c r="V1280" i="1"/>
  <c r="V429" i="1"/>
  <c r="V1281" i="1"/>
  <c r="U2" i="1"/>
  <c r="U430" i="1"/>
  <c r="U431" i="1"/>
  <c r="U432" i="1"/>
  <c r="U702" i="1"/>
  <c r="U3" i="1"/>
  <c r="U703" i="1"/>
  <c r="U1282" i="1"/>
  <c r="U704" i="1"/>
  <c r="U1283" i="1"/>
  <c r="U705" i="1"/>
  <c r="U706" i="1"/>
  <c r="U4" i="1"/>
  <c r="U433" i="1"/>
  <c r="U5" i="1"/>
  <c r="U707" i="1"/>
  <c r="U708" i="1"/>
  <c r="U709" i="1"/>
  <c r="U710" i="1"/>
  <c r="U6" i="1"/>
  <c r="U7" i="1"/>
  <c r="U8" i="1"/>
  <c r="U711" i="1"/>
  <c r="U9" i="1"/>
  <c r="U10" i="1"/>
  <c r="U11" i="1"/>
  <c r="U434" i="1"/>
  <c r="U12" i="1"/>
  <c r="U13" i="1"/>
  <c r="U435" i="1"/>
  <c r="U14" i="1"/>
  <c r="U712" i="1"/>
  <c r="U713" i="1"/>
  <c r="U15" i="1"/>
  <c r="U436" i="1"/>
  <c r="U437" i="1"/>
  <c r="U1284" i="1"/>
  <c r="U16" i="1"/>
  <c r="U714" i="1"/>
  <c r="U1285" i="1"/>
  <c r="U17" i="1"/>
  <c r="U18" i="1"/>
  <c r="U715" i="1"/>
  <c r="U716" i="1"/>
  <c r="U19" i="1"/>
  <c r="U717" i="1"/>
  <c r="U438" i="1"/>
  <c r="U20" i="1"/>
  <c r="U439" i="1"/>
  <c r="U718" i="1"/>
  <c r="U719" i="1"/>
  <c r="U440" i="1"/>
  <c r="U441" i="1"/>
  <c r="U1286" i="1"/>
  <c r="U442" i="1"/>
  <c r="U720" i="1"/>
  <c r="U721" i="1"/>
  <c r="U21" i="1"/>
  <c r="U22" i="1"/>
  <c r="U23" i="1"/>
  <c r="U24" i="1"/>
  <c r="U722" i="1"/>
  <c r="U723" i="1"/>
  <c r="U1287" i="1"/>
  <c r="U443" i="1"/>
  <c r="U25" i="1"/>
  <c r="U724" i="1"/>
  <c r="U444" i="1"/>
  <c r="U1288" i="1"/>
  <c r="U445" i="1"/>
  <c r="U446" i="1"/>
  <c r="U725" i="1"/>
  <c r="U726" i="1"/>
  <c r="U727" i="1"/>
  <c r="U728" i="1"/>
  <c r="U1289" i="1"/>
  <c r="U447" i="1"/>
  <c r="U26" i="1"/>
  <c r="U729" i="1"/>
  <c r="U730" i="1"/>
  <c r="U1290" i="1"/>
  <c r="U1291" i="1"/>
  <c r="U27" i="1"/>
  <c r="U448" i="1"/>
  <c r="U28" i="1"/>
  <c r="U29" i="1"/>
  <c r="U731" i="1"/>
  <c r="U449" i="1"/>
  <c r="U30" i="1"/>
  <c r="U1292" i="1"/>
  <c r="U732" i="1"/>
  <c r="U1293" i="1"/>
  <c r="U450" i="1"/>
  <c r="U31" i="1"/>
  <c r="U733" i="1"/>
  <c r="U1294" i="1"/>
  <c r="U451" i="1"/>
  <c r="U452" i="1"/>
  <c r="U32" i="1"/>
  <c r="U33" i="1"/>
  <c r="U734" i="1"/>
  <c r="U735" i="1"/>
  <c r="U736" i="1"/>
  <c r="U737" i="1"/>
  <c r="U453" i="1"/>
  <c r="U738" i="1"/>
  <c r="U739" i="1"/>
  <c r="U34" i="1"/>
  <c r="U454" i="1"/>
  <c r="U455" i="1"/>
  <c r="U740" i="1"/>
  <c r="U741" i="1"/>
  <c r="U35" i="1"/>
  <c r="U36" i="1"/>
  <c r="U456" i="1"/>
  <c r="U37" i="1"/>
  <c r="U742" i="1"/>
  <c r="U38" i="1"/>
  <c r="U743" i="1"/>
  <c r="U457" i="1"/>
  <c r="U744" i="1"/>
  <c r="U39" i="1"/>
  <c r="U458" i="1"/>
  <c r="U745" i="1"/>
  <c r="U746" i="1"/>
  <c r="U747" i="1"/>
  <c r="U748" i="1"/>
  <c r="U749" i="1"/>
  <c r="U750" i="1"/>
  <c r="U459" i="1"/>
  <c r="U751" i="1"/>
  <c r="U1295" i="1"/>
  <c r="U40" i="1"/>
  <c r="U1296" i="1"/>
  <c r="U752" i="1"/>
  <c r="U753" i="1"/>
  <c r="U41" i="1"/>
  <c r="U754" i="1"/>
  <c r="U755" i="1"/>
  <c r="U756" i="1"/>
  <c r="U42" i="1"/>
  <c r="U43" i="1"/>
  <c r="U757" i="1"/>
  <c r="U758" i="1"/>
  <c r="U44" i="1"/>
  <c r="U45" i="1"/>
  <c r="U759" i="1"/>
  <c r="U760" i="1"/>
  <c r="U1297" i="1"/>
  <c r="U761" i="1"/>
  <c r="U46" i="1"/>
  <c r="U762" i="1"/>
  <c r="U1298" i="1"/>
  <c r="U763" i="1"/>
  <c r="U47" i="1"/>
  <c r="U764" i="1"/>
  <c r="U48" i="1"/>
  <c r="U1299" i="1"/>
  <c r="U49" i="1"/>
  <c r="U765" i="1"/>
  <c r="U766" i="1"/>
  <c r="U50" i="1"/>
  <c r="U51" i="1"/>
  <c r="U460" i="1"/>
  <c r="U461" i="1"/>
  <c r="U767" i="1"/>
  <c r="U768" i="1"/>
  <c r="U1300" i="1"/>
  <c r="U769" i="1"/>
  <c r="U1301" i="1"/>
  <c r="U52" i="1"/>
  <c r="U462" i="1"/>
  <c r="U53" i="1"/>
  <c r="U54" i="1"/>
  <c r="U55" i="1"/>
  <c r="U770" i="1"/>
  <c r="U771" i="1"/>
  <c r="U1302" i="1"/>
  <c r="U772" i="1"/>
  <c r="U773" i="1"/>
  <c r="U774" i="1"/>
  <c r="U56" i="1"/>
  <c r="U1303" i="1"/>
  <c r="U775" i="1"/>
  <c r="U776" i="1"/>
  <c r="U57" i="1"/>
  <c r="U777" i="1"/>
  <c r="U778" i="1"/>
  <c r="U58" i="1"/>
  <c r="U59" i="1"/>
  <c r="U779" i="1"/>
  <c r="U463" i="1"/>
  <c r="U780" i="1"/>
  <c r="U464" i="1"/>
  <c r="U60" i="1"/>
  <c r="U61" i="1"/>
  <c r="U465" i="1"/>
  <c r="U62" i="1"/>
  <c r="U63" i="1"/>
  <c r="U781" i="1"/>
  <c r="U782" i="1"/>
  <c r="U466" i="1"/>
  <c r="U783" i="1"/>
  <c r="U784" i="1"/>
  <c r="U1304" i="1"/>
  <c r="U64" i="1"/>
  <c r="U785" i="1"/>
  <c r="U786" i="1"/>
  <c r="U787" i="1"/>
  <c r="U788" i="1"/>
  <c r="U65" i="1"/>
  <c r="U66" i="1"/>
  <c r="U1305" i="1"/>
  <c r="U67" i="1"/>
  <c r="U467" i="1"/>
  <c r="U468" i="1"/>
  <c r="U789" i="1"/>
  <c r="U790" i="1"/>
  <c r="U469" i="1"/>
  <c r="U470" i="1"/>
  <c r="U791" i="1"/>
  <c r="U792" i="1"/>
  <c r="U793" i="1"/>
  <c r="U794" i="1"/>
  <c r="U1306" i="1"/>
  <c r="U68" i="1"/>
  <c r="U1307" i="1"/>
  <c r="U69" i="1"/>
  <c r="U70" i="1"/>
  <c r="U471" i="1"/>
  <c r="U795" i="1"/>
  <c r="U472" i="1"/>
  <c r="U796" i="1"/>
  <c r="U473" i="1"/>
  <c r="U474" i="1"/>
  <c r="U797" i="1"/>
  <c r="U71" i="1"/>
  <c r="U798" i="1"/>
  <c r="U799" i="1"/>
  <c r="U800" i="1"/>
  <c r="U1308" i="1"/>
  <c r="U801" i="1"/>
  <c r="U72" i="1"/>
  <c r="U475" i="1"/>
  <c r="U802" i="1"/>
  <c r="U1309" i="1"/>
  <c r="U803" i="1"/>
  <c r="U73" i="1"/>
  <c r="U476" i="1"/>
  <c r="U1310" i="1"/>
  <c r="U1311" i="1"/>
  <c r="U477" i="1"/>
  <c r="U74" i="1"/>
  <c r="U478" i="1"/>
  <c r="U1312" i="1"/>
  <c r="U804" i="1"/>
  <c r="U75" i="1"/>
  <c r="U76" i="1"/>
  <c r="U479" i="1"/>
  <c r="U77" i="1"/>
  <c r="U805" i="1"/>
  <c r="U78" i="1"/>
  <c r="U480" i="1"/>
  <c r="U481" i="1"/>
  <c r="U806" i="1"/>
  <c r="U79" i="1"/>
  <c r="U80" i="1"/>
  <c r="U81" i="1"/>
  <c r="U1313" i="1"/>
  <c r="U807" i="1"/>
  <c r="U1314" i="1"/>
  <c r="U82" i="1"/>
  <c r="U482" i="1"/>
  <c r="U83" i="1"/>
  <c r="U84" i="1"/>
  <c r="U85" i="1"/>
  <c r="U1315" i="1"/>
  <c r="U1316" i="1"/>
  <c r="U808" i="1"/>
  <c r="U809" i="1"/>
  <c r="U810" i="1"/>
  <c r="U811" i="1"/>
  <c r="U812" i="1"/>
  <c r="U1317" i="1"/>
  <c r="U813" i="1"/>
  <c r="U483" i="1"/>
  <c r="U484" i="1"/>
  <c r="U485" i="1"/>
  <c r="U814" i="1"/>
  <c r="U815" i="1"/>
  <c r="U816" i="1"/>
  <c r="U817" i="1"/>
  <c r="U486" i="1"/>
  <c r="U1318" i="1"/>
  <c r="U86" i="1"/>
  <c r="U818" i="1"/>
  <c r="U819" i="1"/>
  <c r="U820" i="1"/>
  <c r="U487" i="1"/>
  <c r="U821" i="1"/>
  <c r="U87" i="1"/>
  <c r="U1319" i="1"/>
  <c r="U88" i="1"/>
  <c r="U822" i="1"/>
  <c r="U823" i="1"/>
  <c r="U89" i="1"/>
  <c r="U824" i="1"/>
  <c r="U1320" i="1"/>
  <c r="U1321" i="1"/>
  <c r="U90" i="1"/>
  <c r="U1322" i="1"/>
  <c r="U825" i="1"/>
  <c r="U91" i="1"/>
  <c r="U92" i="1"/>
  <c r="U93" i="1"/>
  <c r="U94" i="1"/>
  <c r="U95" i="1"/>
  <c r="U826" i="1"/>
  <c r="U96" i="1"/>
  <c r="U1323" i="1"/>
  <c r="U1324" i="1"/>
  <c r="U827" i="1"/>
  <c r="U488" i="1"/>
  <c r="U97" i="1"/>
  <c r="U489" i="1"/>
  <c r="U98" i="1"/>
  <c r="U490" i="1"/>
  <c r="U99" i="1"/>
  <c r="U100" i="1"/>
  <c r="U491" i="1"/>
  <c r="U492" i="1"/>
  <c r="U101" i="1"/>
  <c r="U493" i="1"/>
  <c r="U494" i="1"/>
  <c r="U102" i="1"/>
  <c r="U828" i="1"/>
  <c r="U103" i="1"/>
  <c r="U829" i="1"/>
  <c r="U830" i="1"/>
  <c r="U104" i="1"/>
  <c r="U105" i="1"/>
  <c r="U831" i="1"/>
  <c r="U832" i="1"/>
  <c r="U1325" i="1"/>
  <c r="U833" i="1"/>
  <c r="U834" i="1"/>
  <c r="U835" i="1"/>
  <c r="U1326" i="1"/>
  <c r="U495" i="1"/>
  <c r="U106" i="1"/>
  <c r="U836" i="1"/>
  <c r="U837" i="1"/>
  <c r="U107" i="1"/>
  <c r="U838" i="1"/>
  <c r="U108" i="1"/>
  <c r="U839" i="1"/>
  <c r="U840" i="1"/>
  <c r="U841" i="1"/>
  <c r="U842" i="1"/>
  <c r="U843" i="1"/>
  <c r="U109" i="1"/>
  <c r="U844" i="1"/>
  <c r="U1327" i="1"/>
  <c r="U845" i="1"/>
  <c r="U846" i="1"/>
  <c r="U110" i="1"/>
  <c r="U111" i="1"/>
  <c r="U847" i="1"/>
  <c r="U848" i="1"/>
  <c r="U849" i="1"/>
  <c r="U496" i="1"/>
  <c r="U850" i="1"/>
  <c r="U851" i="1"/>
  <c r="U852" i="1"/>
  <c r="U497" i="1"/>
  <c r="U1328" i="1"/>
  <c r="U853" i="1"/>
  <c r="U1329" i="1"/>
  <c r="U1330" i="1"/>
  <c r="U1331" i="1"/>
  <c r="U112" i="1"/>
  <c r="U854" i="1"/>
  <c r="U855" i="1"/>
  <c r="U113" i="1"/>
  <c r="U114" i="1"/>
  <c r="U1332" i="1"/>
  <c r="U115" i="1"/>
  <c r="U856" i="1"/>
  <c r="U498" i="1"/>
  <c r="U857" i="1"/>
  <c r="U858" i="1"/>
  <c r="U116" i="1"/>
  <c r="U117" i="1"/>
  <c r="U859" i="1"/>
  <c r="U1333" i="1"/>
  <c r="U118" i="1"/>
  <c r="U499" i="1"/>
  <c r="U860" i="1"/>
  <c r="U861" i="1"/>
  <c r="U500" i="1"/>
  <c r="U501" i="1"/>
  <c r="U862" i="1"/>
  <c r="U119" i="1"/>
  <c r="U1334" i="1"/>
  <c r="U1335" i="1"/>
  <c r="U863" i="1"/>
  <c r="U502" i="1"/>
  <c r="U120" i="1"/>
  <c r="U864" i="1"/>
  <c r="U865" i="1"/>
  <c r="U121" i="1"/>
  <c r="U1336" i="1"/>
  <c r="U866" i="1"/>
  <c r="U503" i="1"/>
  <c r="U867" i="1"/>
  <c r="U1337" i="1"/>
  <c r="U122" i="1"/>
  <c r="U868" i="1"/>
  <c r="U1338" i="1"/>
  <c r="U1339" i="1"/>
  <c r="U869" i="1"/>
  <c r="U123" i="1"/>
  <c r="U504" i="1"/>
  <c r="U124" i="1"/>
  <c r="U870" i="1"/>
  <c r="U505" i="1"/>
  <c r="U506" i="1"/>
  <c r="U871" i="1"/>
  <c r="U125" i="1"/>
  <c r="U1340" i="1"/>
  <c r="U126" i="1"/>
  <c r="U127" i="1"/>
  <c r="U872" i="1"/>
  <c r="U873" i="1"/>
  <c r="U507" i="1"/>
  <c r="U128" i="1"/>
  <c r="U129" i="1"/>
  <c r="U874" i="1"/>
  <c r="U875" i="1"/>
  <c r="U1341" i="1"/>
  <c r="U876" i="1"/>
  <c r="U130" i="1"/>
  <c r="U877" i="1"/>
  <c r="U131" i="1"/>
  <c r="U132" i="1"/>
  <c r="U508" i="1"/>
  <c r="U878" i="1"/>
  <c r="U879" i="1"/>
  <c r="U880" i="1"/>
  <c r="U509" i="1"/>
  <c r="U133" i="1"/>
  <c r="U134" i="1"/>
  <c r="U135" i="1"/>
  <c r="U881" i="1"/>
  <c r="U882" i="1"/>
  <c r="U883" i="1"/>
  <c r="U884" i="1"/>
  <c r="U1342" i="1"/>
  <c r="U885" i="1"/>
  <c r="U1343" i="1"/>
  <c r="U136" i="1"/>
  <c r="U137" i="1"/>
  <c r="U886" i="1"/>
  <c r="U510" i="1"/>
  <c r="U511" i="1"/>
  <c r="U512" i="1"/>
  <c r="U513" i="1"/>
  <c r="U1344" i="1"/>
  <c r="U1345" i="1"/>
  <c r="U138" i="1"/>
  <c r="U887" i="1"/>
  <c r="U1346" i="1"/>
  <c r="U888" i="1"/>
  <c r="U139" i="1"/>
  <c r="U889" i="1"/>
  <c r="U140" i="1"/>
  <c r="U141" i="1"/>
  <c r="U142" i="1"/>
  <c r="U143" i="1"/>
  <c r="U514" i="1"/>
  <c r="U890" i="1"/>
  <c r="U1347" i="1"/>
  <c r="U891" i="1"/>
  <c r="U1348" i="1"/>
  <c r="U892" i="1"/>
  <c r="U515" i="1"/>
  <c r="U893" i="1"/>
  <c r="U894" i="1"/>
  <c r="U895" i="1"/>
  <c r="U1349" i="1"/>
  <c r="U1350" i="1"/>
  <c r="U516" i="1"/>
  <c r="U517" i="1"/>
  <c r="U896" i="1"/>
  <c r="U144" i="1"/>
  <c r="U145" i="1"/>
  <c r="U146" i="1"/>
  <c r="U518" i="1"/>
  <c r="U1351" i="1"/>
  <c r="U147" i="1"/>
  <c r="U897" i="1"/>
  <c r="U148" i="1"/>
  <c r="U898" i="1"/>
  <c r="U899" i="1"/>
  <c r="U900" i="1"/>
  <c r="U149" i="1"/>
  <c r="U901" i="1"/>
  <c r="U1352" i="1"/>
  <c r="U519" i="1"/>
  <c r="U902" i="1"/>
  <c r="U1353" i="1"/>
  <c r="U903" i="1"/>
  <c r="U520" i="1"/>
  <c r="U150" i="1"/>
  <c r="U904" i="1"/>
  <c r="U521" i="1"/>
  <c r="U905" i="1"/>
  <c r="U151" i="1"/>
  <c r="U1354" i="1"/>
  <c r="U906" i="1"/>
  <c r="U152" i="1"/>
  <c r="U907" i="1"/>
  <c r="U908" i="1"/>
  <c r="U1355" i="1"/>
  <c r="U522" i="1"/>
  <c r="U153" i="1"/>
  <c r="U154" i="1"/>
  <c r="U909" i="1"/>
  <c r="U910" i="1"/>
  <c r="U1356" i="1"/>
  <c r="U911" i="1"/>
  <c r="U155" i="1"/>
  <c r="U156" i="1"/>
  <c r="U523" i="1"/>
  <c r="U912" i="1"/>
  <c r="U913" i="1"/>
  <c r="U914" i="1"/>
  <c r="U524" i="1"/>
  <c r="U915" i="1"/>
  <c r="U157" i="1"/>
  <c r="U1357" i="1"/>
  <c r="U525" i="1"/>
  <c r="U916" i="1"/>
  <c r="U1358" i="1"/>
  <c r="U526" i="1"/>
  <c r="U917" i="1"/>
  <c r="U527" i="1"/>
  <c r="U1359" i="1"/>
  <c r="U918" i="1"/>
  <c r="U158" i="1"/>
  <c r="U919" i="1"/>
  <c r="U528" i="1"/>
  <c r="U1360" i="1"/>
  <c r="U159" i="1"/>
  <c r="U160" i="1"/>
  <c r="U1361" i="1"/>
  <c r="U920" i="1"/>
  <c r="U921" i="1"/>
  <c r="U161" i="1"/>
  <c r="U922" i="1"/>
  <c r="U923" i="1"/>
  <c r="U924" i="1"/>
  <c r="U1362" i="1"/>
  <c r="U529" i="1"/>
  <c r="U162" i="1"/>
  <c r="U925" i="1"/>
  <c r="U530" i="1"/>
  <c r="U926" i="1"/>
  <c r="U1363" i="1"/>
  <c r="U1364" i="1"/>
  <c r="U163" i="1"/>
  <c r="U927" i="1"/>
  <c r="U928" i="1"/>
  <c r="U531" i="1"/>
  <c r="U164" i="1"/>
  <c r="U1365" i="1"/>
  <c r="U929" i="1"/>
  <c r="U165" i="1"/>
  <c r="U930" i="1"/>
  <c r="U166" i="1"/>
  <c r="U167" i="1"/>
  <c r="U168" i="1"/>
  <c r="U931" i="1"/>
  <c r="U169" i="1"/>
  <c r="U170" i="1"/>
  <c r="U1366" i="1"/>
  <c r="U532" i="1"/>
  <c r="U1367" i="1"/>
  <c r="U533" i="1"/>
  <c r="U171" i="1"/>
  <c r="U172" i="1"/>
  <c r="U1368" i="1"/>
  <c r="U932" i="1"/>
  <c r="U933" i="1"/>
  <c r="U934" i="1"/>
  <c r="U935" i="1"/>
  <c r="U936" i="1"/>
  <c r="U534" i="1"/>
  <c r="U937" i="1"/>
  <c r="U1369" i="1"/>
  <c r="U938" i="1"/>
  <c r="U173" i="1"/>
  <c r="U174" i="1"/>
  <c r="U939" i="1"/>
  <c r="U940" i="1"/>
  <c r="U1370" i="1"/>
  <c r="U941" i="1"/>
  <c r="U1371" i="1"/>
  <c r="U535" i="1"/>
  <c r="U536" i="1"/>
  <c r="U175" i="1"/>
  <c r="U176" i="1"/>
  <c r="U1372" i="1"/>
  <c r="U177" i="1"/>
  <c r="U1373" i="1"/>
  <c r="U942" i="1"/>
  <c r="U178" i="1"/>
  <c r="U943" i="1"/>
  <c r="U537" i="1"/>
  <c r="U944" i="1"/>
  <c r="U945" i="1"/>
  <c r="U1374" i="1"/>
  <c r="U179" i="1"/>
  <c r="U180" i="1"/>
  <c r="U1375" i="1"/>
  <c r="U181" i="1"/>
  <c r="U538" i="1"/>
  <c r="U946" i="1"/>
  <c r="U947" i="1"/>
  <c r="U1376" i="1"/>
  <c r="U948" i="1"/>
  <c r="U539" i="1"/>
  <c r="U949" i="1"/>
  <c r="U950" i="1"/>
  <c r="U1377" i="1"/>
  <c r="U951" i="1"/>
  <c r="U540" i="1"/>
  <c r="U952" i="1"/>
  <c r="U541" i="1"/>
  <c r="U182" i="1"/>
  <c r="U183" i="1"/>
  <c r="U953" i="1"/>
  <c r="U954" i="1"/>
  <c r="U184" i="1"/>
  <c r="U185" i="1"/>
  <c r="U955" i="1"/>
  <c r="U542" i="1"/>
  <c r="U543" i="1"/>
  <c r="U1378" i="1"/>
  <c r="U544" i="1"/>
  <c r="U186" i="1"/>
  <c r="U956" i="1"/>
  <c r="U957" i="1"/>
  <c r="U545" i="1"/>
  <c r="U958" i="1"/>
  <c r="U959" i="1"/>
  <c r="U960" i="1"/>
  <c r="U961" i="1"/>
  <c r="U962" i="1"/>
  <c r="U187" i="1"/>
  <c r="U546" i="1"/>
  <c r="U188" i="1"/>
  <c r="U963" i="1"/>
  <c r="U547" i="1"/>
  <c r="U964" i="1"/>
  <c r="U965" i="1"/>
  <c r="U966" i="1"/>
  <c r="U967" i="1"/>
  <c r="U1379" i="1"/>
  <c r="U1380" i="1"/>
  <c r="U1381" i="1"/>
  <c r="U548" i="1"/>
  <c r="U1382" i="1"/>
  <c r="U1383" i="1"/>
  <c r="U1384" i="1"/>
  <c r="U968" i="1"/>
  <c r="U1385" i="1"/>
  <c r="U1386" i="1"/>
  <c r="U969" i="1"/>
  <c r="U970" i="1"/>
  <c r="U1387" i="1"/>
  <c r="U1388" i="1"/>
  <c r="U189" i="1"/>
  <c r="U1389" i="1"/>
  <c r="U190" i="1"/>
  <c r="U549" i="1"/>
  <c r="U191" i="1"/>
  <c r="U971" i="1"/>
  <c r="U972" i="1"/>
  <c r="U973" i="1"/>
  <c r="U550" i="1"/>
  <c r="U1390" i="1"/>
  <c r="U1391" i="1"/>
  <c r="U974" i="1"/>
  <c r="U1392" i="1"/>
  <c r="U192" i="1"/>
  <c r="U193" i="1"/>
  <c r="U975" i="1"/>
  <c r="U976" i="1"/>
  <c r="U551" i="1"/>
  <c r="U1393" i="1"/>
  <c r="U1394" i="1"/>
  <c r="U194" i="1"/>
  <c r="U977" i="1"/>
  <c r="U195" i="1"/>
  <c r="U978" i="1"/>
  <c r="U552" i="1"/>
  <c r="U1395" i="1"/>
  <c r="U196" i="1"/>
  <c r="U197" i="1"/>
  <c r="U553" i="1"/>
  <c r="U979" i="1"/>
  <c r="U980" i="1"/>
  <c r="U981" i="1"/>
  <c r="U982" i="1"/>
  <c r="U554" i="1"/>
  <c r="U198" i="1"/>
  <c r="U983" i="1"/>
  <c r="U1396" i="1"/>
  <c r="U984" i="1"/>
  <c r="U985" i="1"/>
  <c r="U199" i="1"/>
  <c r="U986" i="1"/>
  <c r="U987" i="1"/>
  <c r="U555" i="1"/>
  <c r="U200" i="1"/>
  <c r="U556" i="1"/>
  <c r="U201" i="1"/>
  <c r="U202" i="1"/>
  <c r="U988" i="1"/>
  <c r="U203" i="1"/>
  <c r="U989" i="1"/>
  <c r="U990" i="1"/>
  <c r="U557" i="1"/>
  <c r="U991" i="1"/>
  <c r="U558" i="1"/>
  <c r="U992" i="1"/>
  <c r="U204" i="1"/>
  <c r="U205" i="1"/>
  <c r="U993" i="1"/>
  <c r="U994" i="1"/>
  <c r="U206" i="1"/>
  <c r="U1397" i="1"/>
  <c r="U995" i="1"/>
  <c r="U559" i="1"/>
  <c r="U996" i="1"/>
  <c r="U560" i="1"/>
  <c r="U207" i="1"/>
  <c r="U997" i="1"/>
  <c r="U998" i="1"/>
  <c r="U1398" i="1"/>
  <c r="U1399" i="1"/>
  <c r="U208" i="1"/>
  <c r="U999" i="1"/>
  <c r="U1000" i="1"/>
  <c r="U1400" i="1"/>
  <c r="U209" i="1"/>
  <c r="U210" i="1"/>
  <c r="U1001" i="1"/>
  <c r="U211" i="1"/>
  <c r="U561" i="1"/>
  <c r="U1002" i="1"/>
  <c r="U1003" i="1"/>
  <c r="U212" i="1"/>
  <c r="U562" i="1"/>
  <c r="U563" i="1"/>
  <c r="U213" i="1"/>
  <c r="U564" i="1"/>
  <c r="U1004" i="1"/>
  <c r="U1005" i="1"/>
  <c r="U214" i="1"/>
  <c r="U215" i="1"/>
  <c r="U1006" i="1"/>
  <c r="U1007" i="1"/>
  <c r="U1008" i="1"/>
  <c r="U216" i="1"/>
  <c r="U1009" i="1"/>
  <c r="U1401" i="1"/>
  <c r="U1010" i="1"/>
  <c r="U217" i="1"/>
  <c r="U218" i="1"/>
  <c r="U565" i="1"/>
  <c r="U1011" i="1"/>
  <c r="U219" i="1"/>
  <c r="U220" i="1"/>
  <c r="U1402" i="1"/>
  <c r="U1012" i="1"/>
  <c r="U221" i="1"/>
  <c r="U1013" i="1"/>
  <c r="U566" i="1"/>
  <c r="U567" i="1"/>
  <c r="U1014" i="1"/>
  <c r="U222" i="1"/>
  <c r="U223" i="1"/>
  <c r="U224" i="1"/>
  <c r="U1403" i="1"/>
  <c r="U1015" i="1"/>
  <c r="U568" i="1"/>
  <c r="U569" i="1"/>
  <c r="U570" i="1"/>
  <c r="U1404" i="1"/>
  <c r="U571" i="1"/>
  <c r="U225" i="1"/>
  <c r="U572" i="1"/>
  <c r="U1405" i="1"/>
  <c r="U226" i="1"/>
  <c r="U1406" i="1"/>
  <c r="U1016" i="1"/>
  <c r="U1017" i="1"/>
  <c r="U227" i="1"/>
  <c r="U228" i="1"/>
  <c r="U1407" i="1"/>
  <c r="U1408" i="1"/>
  <c r="U573" i="1"/>
  <c r="U1409" i="1"/>
  <c r="U229" i="1"/>
  <c r="U230" i="1"/>
  <c r="U1018" i="1"/>
  <c r="U1019" i="1"/>
  <c r="U1020" i="1"/>
  <c r="U231" i="1"/>
  <c r="U574" i="1"/>
  <c r="U1021" i="1"/>
  <c r="U232" i="1"/>
  <c r="U575" i="1"/>
  <c r="U1410" i="1"/>
  <c r="U233" i="1"/>
  <c r="U1022" i="1"/>
  <c r="U576" i="1"/>
  <c r="U234" i="1"/>
  <c r="U1023" i="1"/>
  <c r="U235" i="1"/>
  <c r="U577" i="1"/>
  <c r="U1024" i="1"/>
  <c r="U236" i="1"/>
  <c r="U237" i="1"/>
  <c r="U238" i="1"/>
  <c r="U239" i="1"/>
  <c r="U240" i="1"/>
  <c r="U1025" i="1"/>
  <c r="U1411" i="1"/>
  <c r="U578" i="1"/>
  <c r="U1412" i="1"/>
  <c r="U241" i="1"/>
  <c r="U579" i="1"/>
  <c r="U1026" i="1"/>
  <c r="U242" i="1"/>
  <c r="U1027" i="1"/>
  <c r="U1028" i="1"/>
  <c r="U1413" i="1"/>
  <c r="U580" i="1"/>
  <c r="U243" i="1"/>
  <c r="U244" i="1"/>
  <c r="U1414" i="1"/>
  <c r="U245" i="1"/>
  <c r="U1415" i="1"/>
  <c r="U1029" i="1"/>
  <c r="U246" i="1"/>
  <c r="U247" i="1"/>
  <c r="U248" i="1"/>
  <c r="U249" i="1"/>
  <c r="U581" i="1"/>
  <c r="U1416" i="1"/>
  <c r="U1030" i="1"/>
  <c r="U1031" i="1"/>
  <c r="U1032" i="1"/>
  <c r="U250" i="1"/>
  <c r="U1033" i="1"/>
  <c r="U582" i="1"/>
  <c r="U251" i="1"/>
  <c r="U1417" i="1"/>
  <c r="U252" i="1"/>
  <c r="U583" i="1"/>
  <c r="U584" i="1"/>
  <c r="U585" i="1"/>
  <c r="U253" i="1"/>
  <c r="U1034" i="1"/>
  <c r="U1035" i="1"/>
  <c r="U254" i="1"/>
  <c r="U255" i="1"/>
  <c r="U1036" i="1"/>
  <c r="U256" i="1"/>
  <c r="U1037" i="1"/>
  <c r="U1418" i="1"/>
  <c r="U1038" i="1"/>
  <c r="U586" i="1"/>
  <c r="U1039" i="1"/>
  <c r="U1040" i="1"/>
  <c r="U1419" i="1"/>
  <c r="U257" i="1"/>
  <c r="U258" i="1"/>
  <c r="U259" i="1"/>
  <c r="U260" i="1"/>
  <c r="U1041" i="1"/>
  <c r="U587" i="1"/>
  <c r="U1042" i="1"/>
  <c r="U1043" i="1"/>
  <c r="U261" i="1"/>
  <c r="U1044" i="1"/>
  <c r="U262" i="1"/>
  <c r="U1045" i="1"/>
  <c r="U263" i="1"/>
  <c r="U264" i="1"/>
  <c r="U265" i="1"/>
  <c r="U1046" i="1"/>
  <c r="U1047" i="1"/>
  <c r="U266" i="1"/>
  <c r="U1048" i="1"/>
  <c r="U1049" i="1"/>
  <c r="U588" i="1"/>
  <c r="U1420" i="1"/>
  <c r="U589" i="1"/>
  <c r="U267" i="1"/>
  <c r="U1421" i="1"/>
  <c r="U590" i="1"/>
  <c r="U1422" i="1"/>
  <c r="U1423" i="1"/>
  <c r="U1050" i="1"/>
  <c r="U1051" i="1"/>
  <c r="U268" i="1"/>
  <c r="U1052" i="1"/>
  <c r="U269" i="1"/>
  <c r="U270" i="1"/>
  <c r="U1424" i="1"/>
  <c r="U271" i="1"/>
  <c r="U591" i="1"/>
  <c r="U1425" i="1"/>
  <c r="U1053" i="1"/>
  <c r="U1054" i="1"/>
  <c r="U592" i="1"/>
  <c r="U1055" i="1"/>
  <c r="U1426" i="1"/>
  <c r="U1056" i="1"/>
  <c r="U1057" i="1"/>
  <c r="U1058" i="1"/>
  <c r="U1427" i="1"/>
  <c r="U593" i="1"/>
  <c r="U272" i="1"/>
  <c r="U273" i="1"/>
  <c r="U1059" i="1"/>
  <c r="U1428" i="1"/>
  <c r="U274" i="1"/>
  <c r="U1060" i="1"/>
  <c r="U1429" i="1"/>
  <c r="U1061" i="1"/>
  <c r="U594" i="1"/>
  <c r="U275" i="1"/>
  <c r="U1062" i="1"/>
  <c r="U1063" i="1"/>
  <c r="U1430" i="1"/>
  <c r="U1064" i="1"/>
  <c r="U1065" i="1"/>
  <c r="U1431" i="1"/>
  <c r="U595" i="1"/>
  <c r="U1066" i="1"/>
  <c r="U276" i="1"/>
  <c r="U596" i="1"/>
  <c r="U277" i="1"/>
  <c r="U278" i="1"/>
  <c r="U279" i="1"/>
  <c r="U280" i="1"/>
  <c r="U1432" i="1"/>
  <c r="U1067" i="1"/>
  <c r="U1068" i="1"/>
  <c r="U1069" i="1"/>
  <c r="U1070" i="1"/>
  <c r="U1071" i="1"/>
  <c r="U281" i="1"/>
  <c r="U282" i="1"/>
  <c r="U1072" i="1"/>
  <c r="U597" i="1"/>
  <c r="U283" i="1"/>
  <c r="U598" i="1"/>
  <c r="U1073" i="1"/>
  <c r="U1074" i="1"/>
  <c r="U599" i="1"/>
  <c r="U284" i="1"/>
  <c r="U1433" i="1"/>
  <c r="U1434" i="1"/>
  <c r="U285" i="1"/>
  <c r="U600" i="1"/>
  <c r="U286" i="1"/>
  <c r="U1075" i="1"/>
  <c r="U1076" i="1"/>
  <c r="U601" i="1"/>
  <c r="U1077" i="1"/>
  <c r="U287" i="1"/>
  <c r="U1435" i="1"/>
  <c r="U602" i="1"/>
  <c r="U1078" i="1"/>
  <c r="U288" i="1"/>
  <c r="U1079" i="1"/>
  <c r="U289" i="1"/>
  <c r="U1080" i="1"/>
  <c r="U1081" i="1"/>
  <c r="U1082" i="1"/>
  <c r="U290" i="1"/>
  <c r="U603" i="1"/>
  <c r="U1083" i="1"/>
  <c r="U1436" i="1"/>
  <c r="U291" i="1"/>
  <c r="U604" i="1"/>
  <c r="U1084" i="1"/>
  <c r="U292" i="1"/>
  <c r="U293" i="1"/>
  <c r="U1085" i="1"/>
  <c r="U605" i="1"/>
  <c r="U606" i="1"/>
  <c r="U1086" i="1"/>
  <c r="U1087" i="1"/>
  <c r="U607" i="1"/>
  <c r="U1437" i="1"/>
  <c r="U1088" i="1"/>
  <c r="U294" i="1"/>
  <c r="U1089" i="1"/>
  <c r="U1090" i="1"/>
  <c r="U1091" i="1"/>
  <c r="U295" i="1"/>
  <c r="U296" i="1"/>
  <c r="U1438" i="1"/>
  <c r="U1092" i="1"/>
  <c r="U1093" i="1"/>
  <c r="U297" i="1"/>
  <c r="U298" i="1"/>
  <c r="U299" i="1"/>
  <c r="U300" i="1"/>
  <c r="U608" i="1"/>
  <c r="U609" i="1"/>
  <c r="U1439" i="1"/>
  <c r="U1094" i="1"/>
  <c r="U1095" i="1"/>
  <c r="U1096" i="1"/>
  <c r="U1097" i="1"/>
  <c r="U1440" i="1"/>
  <c r="U1098" i="1"/>
  <c r="U1099" i="1"/>
  <c r="U610" i="1"/>
  <c r="U611" i="1"/>
  <c r="U612" i="1"/>
  <c r="U301" i="1"/>
  <c r="U302" i="1"/>
  <c r="U613" i="1"/>
  <c r="U1100" i="1"/>
  <c r="U1101" i="1"/>
  <c r="U1102" i="1"/>
  <c r="U1103" i="1"/>
  <c r="U1104" i="1"/>
  <c r="U614" i="1"/>
  <c r="U303" i="1"/>
  <c r="U615" i="1"/>
  <c r="U1105" i="1"/>
  <c r="U1106" i="1"/>
  <c r="U616" i="1"/>
  <c r="U617" i="1"/>
  <c r="U1107" i="1"/>
  <c r="U1441" i="1"/>
  <c r="U618" i="1"/>
  <c r="U304" i="1"/>
  <c r="U1108" i="1"/>
  <c r="U305" i="1"/>
  <c r="U306" i="1"/>
  <c r="U1442" i="1"/>
  <c r="U1109" i="1"/>
  <c r="U1443" i="1"/>
  <c r="U307" i="1"/>
  <c r="U1110" i="1"/>
  <c r="U1111" i="1"/>
  <c r="U1112" i="1"/>
  <c r="U619" i="1"/>
  <c r="U1444" i="1"/>
  <c r="U308" i="1"/>
  <c r="U620" i="1"/>
  <c r="U1113" i="1"/>
  <c r="U621" i="1"/>
  <c r="U1445" i="1"/>
  <c r="U1114" i="1"/>
  <c r="U309" i="1"/>
  <c r="U310" i="1"/>
  <c r="U1115" i="1"/>
  <c r="U1116" i="1"/>
  <c r="U311" i="1"/>
  <c r="U622" i="1"/>
  <c r="U1117" i="1"/>
  <c r="U623" i="1"/>
  <c r="U1118" i="1"/>
  <c r="U1119" i="1"/>
  <c r="U312" i="1"/>
  <c r="U624" i="1"/>
  <c r="U1120" i="1"/>
  <c r="U625" i="1"/>
  <c r="U1121" i="1"/>
  <c r="U1446" i="1"/>
  <c r="U1447" i="1"/>
  <c r="U1448" i="1"/>
  <c r="U1122" i="1"/>
  <c r="U313" i="1"/>
  <c r="U314" i="1"/>
  <c r="U315" i="1"/>
  <c r="U1449" i="1"/>
  <c r="U626" i="1"/>
  <c r="U1123" i="1"/>
  <c r="U1124" i="1"/>
  <c r="U1125" i="1"/>
  <c r="U627" i="1"/>
  <c r="U1450" i="1"/>
  <c r="U1451" i="1"/>
  <c r="U1126" i="1"/>
  <c r="U316" i="1"/>
  <c r="U1127" i="1"/>
  <c r="U1128" i="1"/>
  <c r="U317" i="1"/>
  <c r="U1129" i="1"/>
  <c r="U1130" i="1"/>
  <c r="U1131" i="1"/>
  <c r="U628" i="1"/>
  <c r="U1452" i="1"/>
  <c r="U1453" i="1"/>
  <c r="U629" i="1"/>
  <c r="U1132" i="1"/>
  <c r="U630" i="1"/>
  <c r="U318" i="1"/>
  <c r="U319" i="1"/>
  <c r="U1454" i="1"/>
  <c r="U631" i="1"/>
  <c r="U1133" i="1"/>
  <c r="U320" i="1"/>
  <c r="U321" i="1"/>
  <c r="U1134" i="1"/>
  <c r="U322" i="1"/>
  <c r="U632" i="1"/>
  <c r="U1135" i="1"/>
  <c r="U1136" i="1"/>
  <c r="U323" i="1"/>
  <c r="U324" i="1"/>
  <c r="U1137" i="1"/>
  <c r="U633" i="1"/>
  <c r="U1455" i="1"/>
  <c r="U1138" i="1"/>
  <c r="U634" i="1"/>
  <c r="U1139" i="1"/>
  <c r="U1140" i="1"/>
  <c r="U325" i="1"/>
  <c r="U1456" i="1"/>
  <c r="U1141" i="1"/>
  <c r="U1457" i="1"/>
  <c r="U1142" i="1"/>
  <c r="U326" i="1"/>
  <c r="U327" i="1"/>
  <c r="U1458" i="1"/>
  <c r="U635" i="1"/>
  <c r="U1459" i="1"/>
  <c r="U636" i="1"/>
  <c r="U1143" i="1"/>
  <c r="U1460" i="1"/>
  <c r="U328" i="1"/>
  <c r="U1144" i="1"/>
  <c r="U329" i="1"/>
  <c r="U330" i="1"/>
  <c r="U1145" i="1"/>
  <c r="U1146" i="1"/>
  <c r="U331" i="1"/>
  <c r="U637" i="1"/>
  <c r="U638" i="1"/>
  <c r="U1147" i="1"/>
  <c r="U332" i="1"/>
  <c r="U1148" i="1"/>
  <c r="U333" i="1"/>
  <c r="U1149" i="1"/>
  <c r="U1150" i="1"/>
  <c r="U334" i="1"/>
  <c r="U1461" i="1"/>
  <c r="U335" i="1"/>
  <c r="U336" i="1"/>
  <c r="U1151" i="1"/>
  <c r="U639" i="1"/>
  <c r="U1152" i="1"/>
  <c r="U337" i="1"/>
  <c r="U338" i="1"/>
  <c r="U1462" i="1"/>
  <c r="U1153" i="1"/>
  <c r="U640" i="1"/>
  <c r="U339" i="1"/>
  <c r="U641" i="1"/>
  <c r="U340" i="1"/>
  <c r="U341" i="1"/>
  <c r="U342" i="1"/>
  <c r="U642" i="1"/>
  <c r="U1154" i="1"/>
  <c r="U1463" i="1"/>
  <c r="U343" i="1"/>
  <c r="U344" i="1"/>
  <c r="U345" i="1"/>
  <c r="U346" i="1"/>
  <c r="U1155" i="1"/>
  <c r="U1156" i="1"/>
  <c r="U643" i="1"/>
  <c r="U347" i="1"/>
  <c r="U348" i="1"/>
  <c r="U349" i="1"/>
  <c r="U350" i="1"/>
  <c r="U1157" i="1"/>
  <c r="U351" i="1"/>
  <c r="U352" i="1"/>
  <c r="U1464" i="1"/>
  <c r="U1158" i="1"/>
  <c r="U353" i="1"/>
  <c r="U354" i="1"/>
  <c r="U644" i="1"/>
  <c r="U1159" i="1"/>
  <c r="U1160" i="1"/>
  <c r="U1161" i="1"/>
  <c r="U355" i="1"/>
  <c r="U1162" i="1"/>
  <c r="U1163" i="1"/>
  <c r="U645" i="1"/>
  <c r="U1164" i="1"/>
  <c r="U1165" i="1"/>
  <c r="U1166" i="1"/>
  <c r="U356" i="1"/>
  <c r="U357" i="1"/>
  <c r="U1167" i="1"/>
  <c r="U1168" i="1"/>
  <c r="U358" i="1"/>
  <c r="U1169" i="1"/>
  <c r="U646" i="1"/>
  <c r="U647" i="1"/>
  <c r="U359" i="1"/>
  <c r="U1170" i="1"/>
  <c r="U1465" i="1"/>
  <c r="U1466" i="1"/>
  <c r="U648" i="1"/>
  <c r="U1171" i="1"/>
  <c r="U1467" i="1"/>
  <c r="U360" i="1"/>
  <c r="U1172" i="1"/>
  <c r="U361" i="1"/>
  <c r="U362" i="1"/>
  <c r="U1173" i="1"/>
  <c r="U1174" i="1"/>
  <c r="U363" i="1"/>
  <c r="U1468" i="1"/>
  <c r="U1175" i="1"/>
  <c r="U1176" i="1"/>
  <c r="U649" i="1"/>
  <c r="U1177" i="1"/>
  <c r="U364" i="1"/>
  <c r="U365" i="1"/>
  <c r="U1469" i="1"/>
  <c r="U366" i="1"/>
  <c r="U1178" i="1"/>
  <c r="U650" i="1"/>
  <c r="U367" i="1"/>
  <c r="U368" i="1"/>
  <c r="U1179" i="1"/>
  <c r="U1470" i="1"/>
  <c r="U1180" i="1"/>
  <c r="U369" i="1"/>
  <c r="U651" i="1"/>
  <c r="U1181" i="1"/>
  <c r="U1471" i="1"/>
  <c r="U370" i="1"/>
  <c r="U1182" i="1"/>
  <c r="U1183" i="1"/>
  <c r="U652" i="1"/>
  <c r="U653" i="1"/>
  <c r="U1184" i="1"/>
  <c r="U654" i="1"/>
  <c r="U371" i="1"/>
  <c r="U1185" i="1"/>
  <c r="U1186" i="1"/>
  <c r="U655" i="1"/>
  <c r="U372" i="1"/>
  <c r="U373" i="1"/>
  <c r="U1472" i="1"/>
  <c r="U1187" i="1"/>
  <c r="U1188" i="1"/>
  <c r="U1189" i="1"/>
  <c r="U374" i="1"/>
  <c r="U1473" i="1"/>
  <c r="U1190" i="1"/>
  <c r="U1474" i="1"/>
  <c r="U1475" i="1"/>
  <c r="U656" i="1"/>
  <c r="U657" i="1"/>
  <c r="U1191" i="1"/>
  <c r="U375" i="1"/>
  <c r="U658" i="1"/>
  <c r="U1476" i="1"/>
  <c r="U376" i="1"/>
  <c r="U1477" i="1"/>
  <c r="U1192" i="1"/>
  <c r="U1193" i="1"/>
  <c r="U659" i="1"/>
  <c r="U660" i="1"/>
  <c r="U661" i="1"/>
  <c r="U377" i="1"/>
  <c r="U378" i="1"/>
  <c r="U662" i="1"/>
  <c r="U379" i="1"/>
  <c r="U380" i="1"/>
  <c r="U1194" i="1"/>
  <c r="U1195" i="1"/>
  <c r="U1196" i="1"/>
  <c r="U381" i="1"/>
  <c r="U382" i="1"/>
  <c r="U1197" i="1"/>
  <c r="U383" i="1"/>
  <c r="U663" i="1"/>
  <c r="U664" i="1"/>
  <c r="U1478" i="1"/>
  <c r="U384" i="1"/>
  <c r="U665" i="1"/>
  <c r="U1198" i="1"/>
  <c r="U1479" i="1"/>
  <c r="U1199" i="1"/>
  <c r="U1200" i="1"/>
  <c r="U385" i="1"/>
  <c r="U1201" i="1"/>
  <c r="U1202" i="1"/>
  <c r="U1203" i="1"/>
  <c r="U666" i="1"/>
  <c r="U667" i="1"/>
  <c r="U1480" i="1"/>
  <c r="U1204" i="1"/>
  <c r="U1205" i="1"/>
  <c r="U1206" i="1"/>
  <c r="U1207" i="1"/>
  <c r="U386" i="1"/>
  <c r="U1208" i="1"/>
  <c r="U668" i="1"/>
  <c r="U1209" i="1"/>
  <c r="U669" i="1"/>
  <c r="U670" i="1"/>
  <c r="U387" i="1"/>
  <c r="U388" i="1"/>
  <c r="U389" i="1"/>
  <c r="U1210" i="1"/>
  <c r="U1211" i="1"/>
  <c r="U671" i="1"/>
  <c r="U390" i="1"/>
  <c r="U1212" i="1"/>
  <c r="U391" i="1"/>
  <c r="U1213" i="1"/>
  <c r="U1481" i="1"/>
  <c r="U1214" i="1"/>
  <c r="U1215" i="1"/>
  <c r="U392" i="1"/>
  <c r="U1482" i="1"/>
  <c r="U1216" i="1"/>
  <c r="U1483" i="1"/>
  <c r="U672" i="1"/>
  <c r="U1217" i="1"/>
  <c r="U1218" i="1"/>
  <c r="U673" i="1"/>
  <c r="U393" i="1"/>
  <c r="U1219" i="1"/>
  <c r="U1220" i="1"/>
  <c r="U1484" i="1"/>
  <c r="U394" i="1"/>
  <c r="U1221" i="1"/>
  <c r="U395" i="1"/>
  <c r="U1222" i="1"/>
  <c r="U1223" i="1"/>
  <c r="U1485" i="1"/>
  <c r="U396" i="1"/>
  <c r="U674" i="1"/>
  <c r="U1486" i="1"/>
  <c r="U1224" i="1"/>
  <c r="U1225" i="1"/>
  <c r="U397" i="1"/>
  <c r="U1226" i="1"/>
  <c r="U1227" i="1"/>
  <c r="U1228" i="1"/>
  <c r="U675" i="1"/>
  <c r="U1229" i="1"/>
  <c r="U398" i="1"/>
  <c r="U676" i="1"/>
  <c r="U677" i="1"/>
  <c r="U1487" i="1"/>
  <c r="U1230" i="1"/>
  <c r="U399" i="1"/>
  <c r="U400" i="1"/>
  <c r="U1488" i="1"/>
  <c r="U1489" i="1"/>
  <c r="U401" i="1"/>
  <c r="U1490" i="1"/>
  <c r="U402" i="1"/>
  <c r="U1231" i="1"/>
  <c r="U1232" i="1"/>
  <c r="U1233" i="1"/>
  <c r="U678" i="1"/>
  <c r="U679" i="1"/>
  <c r="U680" i="1"/>
  <c r="U681" i="1"/>
  <c r="U1234" i="1"/>
  <c r="U682" i="1"/>
  <c r="U683" i="1"/>
  <c r="U403" i="1"/>
  <c r="U1235" i="1"/>
  <c r="U684" i="1"/>
  <c r="U404" i="1"/>
  <c r="U1236" i="1"/>
  <c r="U1237" i="1"/>
  <c r="U1491" i="1"/>
  <c r="U1238" i="1"/>
  <c r="U1239" i="1"/>
  <c r="U1240" i="1"/>
  <c r="U405" i="1"/>
  <c r="U406" i="1"/>
  <c r="U1241" i="1"/>
  <c r="U407" i="1"/>
  <c r="U1242" i="1"/>
  <c r="U408" i="1"/>
  <c r="U1243" i="1"/>
  <c r="U1492" i="1"/>
  <c r="U409" i="1"/>
  <c r="U410" i="1"/>
  <c r="U1244" i="1"/>
  <c r="U685" i="1"/>
  <c r="U1245" i="1"/>
  <c r="U411" i="1"/>
  <c r="U412" i="1"/>
  <c r="U1493" i="1"/>
  <c r="U686" i="1"/>
  <c r="U1246" i="1"/>
  <c r="U687" i="1"/>
  <c r="U1247" i="1"/>
  <c r="U413" i="1"/>
  <c r="U1248" i="1"/>
  <c r="U414" i="1"/>
  <c r="U1249" i="1"/>
  <c r="U1250" i="1"/>
  <c r="U1251" i="1"/>
  <c r="U1252" i="1"/>
  <c r="U415" i="1"/>
  <c r="U688" i="1"/>
  <c r="U1253" i="1"/>
  <c r="U1254" i="1"/>
  <c r="U1255" i="1"/>
  <c r="U1256" i="1"/>
  <c r="U1494" i="1"/>
  <c r="U1257" i="1"/>
  <c r="U416" i="1"/>
  <c r="U1495" i="1"/>
  <c r="U689" i="1"/>
  <c r="U1496" i="1"/>
  <c r="U417" i="1"/>
  <c r="U690" i="1"/>
  <c r="U1258" i="1"/>
  <c r="U1259" i="1"/>
  <c r="U1497" i="1"/>
  <c r="U418" i="1"/>
  <c r="U691" i="1"/>
  <c r="U419" i="1"/>
  <c r="U420" i="1"/>
  <c r="U692" i="1"/>
  <c r="U693" i="1"/>
  <c r="U421" i="1"/>
  <c r="U694" i="1"/>
  <c r="U1260" i="1"/>
  <c r="U1261" i="1"/>
  <c r="U1262" i="1"/>
  <c r="U695" i="1"/>
  <c r="U696" i="1"/>
  <c r="U697" i="1"/>
  <c r="U1263" i="1"/>
  <c r="U1498" i="1"/>
  <c r="U698" i="1"/>
  <c r="U1264" i="1"/>
  <c r="U422" i="1"/>
  <c r="U1265" i="1"/>
  <c r="U1266" i="1"/>
  <c r="U423" i="1"/>
  <c r="U424" i="1"/>
  <c r="U1267" i="1"/>
  <c r="U1268" i="1"/>
  <c r="U1499" i="1"/>
  <c r="U1269" i="1"/>
  <c r="U425" i="1"/>
  <c r="U1270" i="1"/>
  <c r="U426" i="1"/>
  <c r="U1271" i="1"/>
  <c r="U1272" i="1"/>
  <c r="U1273" i="1"/>
  <c r="U427" i="1"/>
  <c r="U1500" i="1"/>
  <c r="U1274" i="1"/>
  <c r="U1275" i="1"/>
  <c r="U1501" i="1"/>
  <c r="U428" i="1"/>
  <c r="U1276" i="1"/>
  <c r="U1277" i="1"/>
  <c r="U1278" i="1"/>
  <c r="U1279" i="1"/>
  <c r="U699" i="1"/>
  <c r="U700" i="1"/>
  <c r="U701" i="1"/>
  <c r="U1280" i="1"/>
  <c r="U429" i="1"/>
  <c r="U1281" i="1"/>
  <c r="T2" i="1"/>
  <c r="T430" i="1"/>
  <c r="T431" i="1"/>
  <c r="T432" i="1"/>
  <c r="T702" i="1"/>
  <c r="T3" i="1"/>
  <c r="T703" i="1"/>
  <c r="T1282" i="1"/>
  <c r="T704" i="1"/>
  <c r="T1283" i="1"/>
  <c r="T705" i="1"/>
  <c r="T706" i="1"/>
  <c r="T4" i="1"/>
  <c r="T433" i="1"/>
  <c r="T5" i="1"/>
  <c r="T707" i="1"/>
  <c r="T708" i="1"/>
  <c r="T709" i="1"/>
  <c r="T710" i="1"/>
  <c r="T6" i="1"/>
  <c r="T7" i="1"/>
  <c r="T8" i="1"/>
  <c r="T711" i="1"/>
  <c r="T9" i="1"/>
  <c r="T10" i="1"/>
  <c r="T11" i="1"/>
  <c r="T434" i="1"/>
  <c r="T12" i="1"/>
  <c r="T13" i="1"/>
  <c r="T435" i="1"/>
  <c r="T14" i="1"/>
  <c r="T712" i="1"/>
  <c r="T713" i="1"/>
  <c r="T15" i="1"/>
  <c r="T436" i="1"/>
  <c r="T437" i="1"/>
  <c r="T1284" i="1"/>
  <c r="T16" i="1"/>
  <c r="T714" i="1"/>
  <c r="T1285" i="1"/>
  <c r="T17" i="1"/>
  <c r="T18" i="1"/>
  <c r="T715" i="1"/>
  <c r="T716" i="1"/>
  <c r="T19" i="1"/>
  <c r="T717" i="1"/>
  <c r="T438" i="1"/>
  <c r="T20" i="1"/>
  <c r="T439" i="1"/>
  <c r="T718" i="1"/>
  <c r="T719" i="1"/>
  <c r="T440" i="1"/>
  <c r="T441" i="1"/>
  <c r="T1286" i="1"/>
  <c r="T442" i="1"/>
  <c r="T720" i="1"/>
  <c r="T721" i="1"/>
  <c r="T21" i="1"/>
  <c r="T22" i="1"/>
  <c r="T23" i="1"/>
  <c r="T24" i="1"/>
  <c r="T722" i="1"/>
  <c r="T723" i="1"/>
  <c r="T1287" i="1"/>
  <c r="T443" i="1"/>
  <c r="T25" i="1"/>
  <c r="T724" i="1"/>
  <c r="T444" i="1"/>
  <c r="T1288" i="1"/>
  <c r="T445" i="1"/>
  <c r="T446" i="1"/>
  <c r="T725" i="1"/>
  <c r="T726" i="1"/>
  <c r="T727" i="1"/>
  <c r="T728" i="1"/>
  <c r="T1289" i="1"/>
  <c r="T447" i="1"/>
  <c r="T26" i="1"/>
  <c r="T729" i="1"/>
  <c r="T730" i="1"/>
  <c r="T1290" i="1"/>
  <c r="T1291" i="1"/>
  <c r="T27" i="1"/>
  <c r="T448" i="1"/>
  <c r="T28" i="1"/>
  <c r="T29" i="1"/>
  <c r="T731" i="1"/>
  <c r="T449" i="1"/>
  <c r="T30" i="1"/>
  <c r="T1292" i="1"/>
  <c r="T732" i="1"/>
  <c r="T1293" i="1"/>
  <c r="T450" i="1"/>
  <c r="T31" i="1"/>
  <c r="T733" i="1"/>
  <c r="T1294" i="1"/>
  <c r="T451" i="1"/>
  <c r="T452" i="1"/>
  <c r="T32" i="1"/>
  <c r="T33" i="1"/>
  <c r="T734" i="1"/>
  <c r="T735" i="1"/>
  <c r="T736" i="1"/>
  <c r="T737" i="1"/>
  <c r="T453" i="1"/>
  <c r="T738" i="1"/>
  <c r="T739" i="1"/>
  <c r="T34" i="1"/>
  <c r="T454" i="1"/>
  <c r="T455" i="1"/>
  <c r="T740" i="1"/>
  <c r="T741" i="1"/>
  <c r="T35" i="1"/>
  <c r="T36" i="1"/>
  <c r="T456" i="1"/>
  <c r="T37" i="1"/>
  <c r="T742" i="1"/>
  <c r="T38" i="1"/>
  <c r="T743" i="1"/>
  <c r="T457" i="1"/>
  <c r="T744" i="1"/>
  <c r="T39" i="1"/>
  <c r="T458" i="1"/>
  <c r="T745" i="1"/>
  <c r="T746" i="1"/>
  <c r="T747" i="1"/>
  <c r="T748" i="1"/>
  <c r="T749" i="1"/>
  <c r="T750" i="1"/>
  <c r="T459" i="1"/>
  <c r="T751" i="1"/>
  <c r="T1295" i="1"/>
  <c r="T40" i="1"/>
  <c r="T1296" i="1"/>
  <c r="T752" i="1"/>
  <c r="T753" i="1"/>
  <c r="T41" i="1"/>
  <c r="T754" i="1"/>
  <c r="T755" i="1"/>
  <c r="T756" i="1"/>
  <c r="T42" i="1"/>
  <c r="T43" i="1"/>
  <c r="T757" i="1"/>
  <c r="T758" i="1"/>
  <c r="T44" i="1"/>
  <c r="T45" i="1"/>
  <c r="T759" i="1"/>
  <c r="T760" i="1"/>
  <c r="T1297" i="1"/>
  <c r="T761" i="1"/>
  <c r="T46" i="1"/>
  <c r="T762" i="1"/>
  <c r="T1298" i="1"/>
  <c r="T763" i="1"/>
  <c r="T47" i="1"/>
  <c r="T764" i="1"/>
  <c r="T48" i="1"/>
  <c r="T1299" i="1"/>
  <c r="T49" i="1"/>
  <c r="T765" i="1"/>
  <c r="T766" i="1"/>
  <c r="T50" i="1"/>
  <c r="T51" i="1"/>
  <c r="T460" i="1"/>
  <c r="T461" i="1"/>
  <c r="T767" i="1"/>
  <c r="T768" i="1"/>
  <c r="T1300" i="1"/>
  <c r="T769" i="1"/>
  <c r="T1301" i="1"/>
  <c r="T52" i="1"/>
  <c r="T462" i="1"/>
  <c r="T53" i="1"/>
  <c r="T54" i="1"/>
  <c r="T55" i="1"/>
  <c r="T770" i="1"/>
  <c r="T771" i="1"/>
  <c r="T1302" i="1"/>
  <c r="T772" i="1"/>
  <c r="T773" i="1"/>
  <c r="T774" i="1"/>
  <c r="T56" i="1"/>
  <c r="T1303" i="1"/>
  <c r="T775" i="1"/>
  <c r="T776" i="1"/>
  <c r="T57" i="1"/>
  <c r="T777" i="1"/>
  <c r="T778" i="1"/>
  <c r="T58" i="1"/>
  <c r="T59" i="1"/>
  <c r="T779" i="1"/>
  <c r="T463" i="1"/>
  <c r="T780" i="1"/>
  <c r="T464" i="1"/>
  <c r="T60" i="1"/>
  <c r="T61" i="1"/>
  <c r="T465" i="1"/>
  <c r="T62" i="1"/>
  <c r="T63" i="1"/>
  <c r="T781" i="1"/>
  <c r="T782" i="1"/>
  <c r="T466" i="1"/>
  <c r="T783" i="1"/>
  <c r="T784" i="1"/>
  <c r="T1304" i="1"/>
  <c r="T64" i="1"/>
  <c r="T785" i="1"/>
  <c r="T786" i="1"/>
  <c r="T787" i="1"/>
  <c r="T788" i="1"/>
  <c r="T65" i="1"/>
  <c r="T66" i="1"/>
  <c r="T1305" i="1"/>
  <c r="T67" i="1"/>
  <c r="T467" i="1"/>
  <c r="T468" i="1"/>
  <c r="T789" i="1"/>
  <c r="T790" i="1"/>
  <c r="T469" i="1"/>
  <c r="T470" i="1"/>
  <c r="T791" i="1"/>
  <c r="T792" i="1"/>
  <c r="T793" i="1"/>
  <c r="T794" i="1"/>
  <c r="T1306" i="1"/>
  <c r="T68" i="1"/>
  <c r="T1307" i="1"/>
  <c r="T69" i="1"/>
  <c r="T70" i="1"/>
  <c r="T471" i="1"/>
  <c r="T795" i="1"/>
  <c r="T472" i="1"/>
  <c r="T796" i="1"/>
  <c r="T473" i="1"/>
  <c r="T474" i="1"/>
  <c r="T797" i="1"/>
  <c r="T71" i="1"/>
  <c r="T798" i="1"/>
  <c r="T799" i="1"/>
  <c r="T800" i="1"/>
  <c r="T1308" i="1"/>
  <c r="T801" i="1"/>
  <c r="T72" i="1"/>
  <c r="T475" i="1"/>
  <c r="T802" i="1"/>
  <c r="T1309" i="1"/>
  <c r="T803" i="1"/>
  <c r="T73" i="1"/>
  <c r="T476" i="1"/>
  <c r="T1310" i="1"/>
  <c r="T1311" i="1"/>
  <c r="T477" i="1"/>
  <c r="T74" i="1"/>
  <c r="T478" i="1"/>
  <c r="T1312" i="1"/>
  <c r="T804" i="1"/>
  <c r="T75" i="1"/>
  <c r="T76" i="1"/>
  <c r="T479" i="1"/>
  <c r="T77" i="1"/>
  <c r="T805" i="1"/>
  <c r="T78" i="1"/>
  <c r="T480" i="1"/>
  <c r="T481" i="1"/>
  <c r="T806" i="1"/>
  <c r="T79" i="1"/>
  <c r="T80" i="1"/>
  <c r="T81" i="1"/>
  <c r="T1313" i="1"/>
  <c r="T807" i="1"/>
  <c r="T1314" i="1"/>
  <c r="T82" i="1"/>
  <c r="T482" i="1"/>
  <c r="T83" i="1"/>
  <c r="T84" i="1"/>
  <c r="T85" i="1"/>
  <c r="T1315" i="1"/>
  <c r="T1316" i="1"/>
  <c r="T808" i="1"/>
  <c r="T809" i="1"/>
  <c r="T810" i="1"/>
  <c r="T811" i="1"/>
  <c r="T812" i="1"/>
  <c r="T1317" i="1"/>
  <c r="T813" i="1"/>
  <c r="T483" i="1"/>
  <c r="T484" i="1"/>
  <c r="T485" i="1"/>
  <c r="T814" i="1"/>
  <c r="T815" i="1"/>
  <c r="T816" i="1"/>
  <c r="T817" i="1"/>
  <c r="T486" i="1"/>
  <c r="T1318" i="1"/>
  <c r="T86" i="1"/>
  <c r="T818" i="1"/>
  <c r="T819" i="1"/>
  <c r="T820" i="1"/>
  <c r="T487" i="1"/>
  <c r="T821" i="1"/>
  <c r="T87" i="1"/>
  <c r="T1319" i="1"/>
  <c r="T88" i="1"/>
  <c r="T822" i="1"/>
  <c r="T823" i="1"/>
  <c r="T89" i="1"/>
  <c r="T824" i="1"/>
  <c r="T1320" i="1"/>
  <c r="T1321" i="1"/>
  <c r="T90" i="1"/>
  <c r="T1322" i="1"/>
  <c r="T825" i="1"/>
  <c r="T91" i="1"/>
  <c r="T92" i="1"/>
  <c r="T93" i="1"/>
  <c r="T94" i="1"/>
  <c r="T95" i="1"/>
  <c r="T826" i="1"/>
  <c r="T96" i="1"/>
  <c r="T1323" i="1"/>
  <c r="T1324" i="1"/>
  <c r="T827" i="1"/>
  <c r="T488" i="1"/>
  <c r="T97" i="1"/>
  <c r="T489" i="1"/>
  <c r="T98" i="1"/>
  <c r="T490" i="1"/>
  <c r="T99" i="1"/>
  <c r="T100" i="1"/>
  <c r="T491" i="1"/>
  <c r="T492" i="1"/>
  <c r="T101" i="1"/>
  <c r="T493" i="1"/>
  <c r="T494" i="1"/>
  <c r="T102" i="1"/>
  <c r="T828" i="1"/>
  <c r="T103" i="1"/>
  <c r="T829" i="1"/>
  <c r="T830" i="1"/>
  <c r="T104" i="1"/>
  <c r="T105" i="1"/>
  <c r="T831" i="1"/>
  <c r="T832" i="1"/>
  <c r="T1325" i="1"/>
  <c r="T833" i="1"/>
  <c r="T834" i="1"/>
  <c r="T835" i="1"/>
  <c r="T1326" i="1"/>
  <c r="T495" i="1"/>
  <c r="T106" i="1"/>
  <c r="T836" i="1"/>
  <c r="T837" i="1"/>
  <c r="T107" i="1"/>
  <c r="T838" i="1"/>
  <c r="T108" i="1"/>
  <c r="T839" i="1"/>
  <c r="T840" i="1"/>
  <c r="T841" i="1"/>
  <c r="T842" i="1"/>
  <c r="T843" i="1"/>
  <c r="T109" i="1"/>
  <c r="T844" i="1"/>
  <c r="T1327" i="1"/>
  <c r="T845" i="1"/>
  <c r="T846" i="1"/>
  <c r="T110" i="1"/>
  <c r="T111" i="1"/>
  <c r="T847" i="1"/>
  <c r="T848" i="1"/>
  <c r="T849" i="1"/>
  <c r="T496" i="1"/>
  <c r="T850" i="1"/>
  <c r="T851" i="1"/>
  <c r="T852" i="1"/>
  <c r="T497" i="1"/>
  <c r="T1328" i="1"/>
  <c r="T853" i="1"/>
  <c r="T1329" i="1"/>
  <c r="T1330" i="1"/>
  <c r="T1331" i="1"/>
  <c r="T112" i="1"/>
  <c r="T854" i="1"/>
  <c r="T855" i="1"/>
  <c r="T113" i="1"/>
  <c r="T114" i="1"/>
  <c r="T1332" i="1"/>
  <c r="T115" i="1"/>
  <c r="T856" i="1"/>
  <c r="T498" i="1"/>
  <c r="T857" i="1"/>
  <c r="T858" i="1"/>
  <c r="T116" i="1"/>
  <c r="T117" i="1"/>
  <c r="T859" i="1"/>
  <c r="T1333" i="1"/>
  <c r="T118" i="1"/>
  <c r="T499" i="1"/>
  <c r="T860" i="1"/>
  <c r="T861" i="1"/>
  <c r="T500" i="1"/>
  <c r="T501" i="1"/>
  <c r="T862" i="1"/>
  <c r="T119" i="1"/>
  <c r="T1334" i="1"/>
  <c r="T1335" i="1"/>
  <c r="T863" i="1"/>
  <c r="T502" i="1"/>
  <c r="T120" i="1"/>
  <c r="T864" i="1"/>
  <c r="T865" i="1"/>
  <c r="T121" i="1"/>
  <c r="T1336" i="1"/>
  <c r="T866" i="1"/>
  <c r="T503" i="1"/>
  <c r="T867" i="1"/>
  <c r="T1337" i="1"/>
  <c r="T122" i="1"/>
  <c r="T868" i="1"/>
  <c r="T1338" i="1"/>
  <c r="T1339" i="1"/>
  <c r="T869" i="1"/>
  <c r="T123" i="1"/>
  <c r="T504" i="1"/>
  <c r="T124" i="1"/>
  <c r="T870" i="1"/>
  <c r="T505" i="1"/>
  <c r="T506" i="1"/>
  <c r="T871" i="1"/>
  <c r="T125" i="1"/>
  <c r="T1340" i="1"/>
  <c r="T126" i="1"/>
  <c r="T127" i="1"/>
  <c r="T872" i="1"/>
  <c r="T873" i="1"/>
  <c r="T507" i="1"/>
  <c r="T128" i="1"/>
  <c r="T129" i="1"/>
  <c r="T874" i="1"/>
  <c r="T875" i="1"/>
  <c r="T1341" i="1"/>
  <c r="T876" i="1"/>
  <c r="T130" i="1"/>
  <c r="T877" i="1"/>
  <c r="T131" i="1"/>
  <c r="T132" i="1"/>
  <c r="T508" i="1"/>
  <c r="T878" i="1"/>
  <c r="T879" i="1"/>
  <c r="T880" i="1"/>
  <c r="T509" i="1"/>
  <c r="T133" i="1"/>
  <c r="T134" i="1"/>
  <c r="T135" i="1"/>
  <c r="T881" i="1"/>
  <c r="T882" i="1"/>
  <c r="T883" i="1"/>
  <c r="T884" i="1"/>
  <c r="T1342" i="1"/>
  <c r="T885" i="1"/>
  <c r="T1343" i="1"/>
  <c r="T136" i="1"/>
  <c r="T137" i="1"/>
  <c r="T886" i="1"/>
  <c r="T510" i="1"/>
  <c r="T511" i="1"/>
  <c r="T512" i="1"/>
  <c r="T513" i="1"/>
  <c r="T1344" i="1"/>
  <c r="T1345" i="1"/>
  <c r="T138" i="1"/>
  <c r="T887" i="1"/>
  <c r="T1346" i="1"/>
  <c r="T888" i="1"/>
  <c r="T139" i="1"/>
  <c r="T889" i="1"/>
  <c r="T140" i="1"/>
  <c r="T141" i="1"/>
  <c r="T142" i="1"/>
  <c r="T143" i="1"/>
  <c r="T514" i="1"/>
  <c r="T890" i="1"/>
  <c r="T1347" i="1"/>
  <c r="T891" i="1"/>
  <c r="T1348" i="1"/>
  <c r="T892" i="1"/>
  <c r="T515" i="1"/>
  <c r="T893" i="1"/>
  <c r="T894" i="1"/>
  <c r="T895" i="1"/>
  <c r="T1349" i="1"/>
  <c r="T1350" i="1"/>
  <c r="T516" i="1"/>
  <c r="T517" i="1"/>
  <c r="T896" i="1"/>
  <c r="T144" i="1"/>
  <c r="T145" i="1"/>
  <c r="T146" i="1"/>
  <c r="T518" i="1"/>
  <c r="T1351" i="1"/>
  <c r="T147" i="1"/>
  <c r="T897" i="1"/>
  <c r="T148" i="1"/>
  <c r="T898" i="1"/>
  <c r="T899" i="1"/>
  <c r="T900" i="1"/>
  <c r="T149" i="1"/>
  <c r="T901" i="1"/>
  <c r="T1352" i="1"/>
  <c r="T519" i="1"/>
  <c r="T902" i="1"/>
  <c r="T1353" i="1"/>
  <c r="T903" i="1"/>
  <c r="T520" i="1"/>
  <c r="T150" i="1"/>
  <c r="T904" i="1"/>
  <c r="T521" i="1"/>
  <c r="T905" i="1"/>
  <c r="T151" i="1"/>
  <c r="T1354" i="1"/>
  <c r="T906" i="1"/>
  <c r="T152" i="1"/>
  <c r="T907" i="1"/>
  <c r="T908" i="1"/>
  <c r="T1355" i="1"/>
  <c r="T522" i="1"/>
  <c r="T153" i="1"/>
  <c r="T154" i="1"/>
  <c r="T909" i="1"/>
  <c r="T910" i="1"/>
  <c r="T1356" i="1"/>
  <c r="T911" i="1"/>
  <c r="T155" i="1"/>
  <c r="T156" i="1"/>
  <c r="T523" i="1"/>
  <c r="T912" i="1"/>
  <c r="T913" i="1"/>
  <c r="T914" i="1"/>
  <c r="T524" i="1"/>
  <c r="T915" i="1"/>
  <c r="T157" i="1"/>
  <c r="T1357" i="1"/>
  <c r="T525" i="1"/>
  <c r="T916" i="1"/>
  <c r="T1358" i="1"/>
  <c r="T526" i="1"/>
  <c r="T917" i="1"/>
  <c r="T527" i="1"/>
  <c r="T1359" i="1"/>
  <c r="T918" i="1"/>
  <c r="T158" i="1"/>
  <c r="T919" i="1"/>
  <c r="T528" i="1"/>
  <c r="T1360" i="1"/>
  <c r="T159" i="1"/>
  <c r="T160" i="1"/>
  <c r="T1361" i="1"/>
  <c r="T920" i="1"/>
  <c r="T921" i="1"/>
  <c r="T161" i="1"/>
  <c r="T922" i="1"/>
  <c r="T923" i="1"/>
  <c r="T924" i="1"/>
  <c r="T1362" i="1"/>
  <c r="T529" i="1"/>
  <c r="T162" i="1"/>
  <c r="T925" i="1"/>
  <c r="T530" i="1"/>
  <c r="T926" i="1"/>
  <c r="T1363" i="1"/>
  <c r="T1364" i="1"/>
  <c r="T163" i="1"/>
  <c r="T927" i="1"/>
  <c r="T928" i="1"/>
  <c r="T531" i="1"/>
  <c r="T164" i="1"/>
  <c r="T1365" i="1"/>
  <c r="T929" i="1"/>
  <c r="T165" i="1"/>
  <c r="T930" i="1"/>
  <c r="T166" i="1"/>
  <c r="T167" i="1"/>
  <c r="T168" i="1"/>
  <c r="T931" i="1"/>
  <c r="T169" i="1"/>
  <c r="T170" i="1"/>
  <c r="T1366" i="1"/>
  <c r="T532" i="1"/>
  <c r="T1367" i="1"/>
  <c r="T533" i="1"/>
  <c r="T171" i="1"/>
  <c r="T172" i="1"/>
  <c r="T1368" i="1"/>
  <c r="T932" i="1"/>
  <c r="T933" i="1"/>
  <c r="T934" i="1"/>
  <c r="T935" i="1"/>
  <c r="T936" i="1"/>
  <c r="T534" i="1"/>
  <c r="T937" i="1"/>
  <c r="T1369" i="1"/>
  <c r="T938" i="1"/>
  <c r="T173" i="1"/>
  <c r="T174" i="1"/>
  <c r="T939" i="1"/>
  <c r="T940" i="1"/>
  <c r="T1370" i="1"/>
  <c r="T941" i="1"/>
  <c r="T1371" i="1"/>
  <c r="T535" i="1"/>
  <c r="T536" i="1"/>
  <c r="T175" i="1"/>
  <c r="T176" i="1"/>
  <c r="T1372" i="1"/>
  <c r="T177" i="1"/>
  <c r="T1373" i="1"/>
  <c r="T942" i="1"/>
  <c r="T178" i="1"/>
  <c r="T943" i="1"/>
  <c r="T537" i="1"/>
  <c r="T944" i="1"/>
  <c r="T945" i="1"/>
  <c r="T1374" i="1"/>
  <c r="T179" i="1"/>
  <c r="T180" i="1"/>
  <c r="T1375" i="1"/>
  <c r="T181" i="1"/>
  <c r="T538" i="1"/>
  <c r="T946" i="1"/>
  <c r="T947" i="1"/>
  <c r="T1376" i="1"/>
  <c r="T948" i="1"/>
  <c r="T539" i="1"/>
  <c r="T949" i="1"/>
  <c r="T950" i="1"/>
  <c r="T1377" i="1"/>
  <c r="T951" i="1"/>
  <c r="T540" i="1"/>
  <c r="T952" i="1"/>
  <c r="T541" i="1"/>
  <c r="T182" i="1"/>
  <c r="T183" i="1"/>
  <c r="T953" i="1"/>
  <c r="T954" i="1"/>
  <c r="T184" i="1"/>
  <c r="T185" i="1"/>
  <c r="T955" i="1"/>
  <c r="T542" i="1"/>
  <c r="T543" i="1"/>
  <c r="T1378" i="1"/>
  <c r="T544" i="1"/>
  <c r="T186" i="1"/>
  <c r="T956" i="1"/>
  <c r="T957" i="1"/>
  <c r="T545" i="1"/>
  <c r="T958" i="1"/>
  <c r="T959" i="1"/>
  <c r="T960" i="1"/>
  <c r="T961" i="1"/>
  <c r="T962" i="1"/>
  <c r="T187" i="1"/>
  <c r="T546" i="1"/>
  <c r="T188" i="1"/>
  <c r="T963" i="1"/>
  <c r="T547" i="1"/>
  <c r="T964" i="1"/>
  <c r="T965" i="1"/>
  <c r="T966" i="1"/>
  <c r="T967" i="1"/>
  <c r="T1379" i="1"/>
  <c r="T1380" i="1"/>
  <c r="T1381" i="1"/>
  <c r="T548" i="1"/>
  <c r="T1382" i="1"/>
  <c r="T1383" i="1"/>
  <c r="T1384" i="1"/>
  <c r="T968" i="1"/>
  <c r="T1385" i="1"/>
  <c r="T1386" i="1"/>
  <c r="T969" i="1"/>
  <c r="T970" i="1"/>
  <c r="T1387" i="1"/>
  <c r="T1388" i="1"/>
  <c r="T189" i="1"/>
  <c r="T1389" i="1"/>
  <c r="T190" i="1"/>
  <c r="T549" i="1"/>
  <c r="T191" i="1"/>
  <c r="T971" i="1"/>
  <c r="T972" i="1"/>
  <c r="T973" i="1"/>
  <c r="T550" i="1"/>
  <c r="T1390" i="1"/>
  <c r="T1391" i="1"/>
  <c r="T974" i="1"/>
  <c r="T1392" i="1"/>
  <c r="T192" i="1"/>
  <c r="T193" i="1"/>
  <c r="T975" i="1"/>
  <c r="T976" i="1"/>
  <c r="T551" i="1"/>
  <c r="T1393" i="1"/>
  <c r="T1394" i="1"/>
  <c r="T194" i="1"/>
  <c r="T977" i="1"/>
  <c r="T195" i="1"/>
  <c r="T978" i="1"/>
  <c r="T552" i="1"/>
  <c r="T1395" i="1"/>
  <c r="T196" i="1"/>
  <c r="T197" i="1"/>
  <c r="T553" i="1"/>
  <c r="T979" i="1"/>
  <c r="T980" i="1"/>
  <c r="T981" i="1"/>
  <c r="T982" i="1"/>
  <c r="T554" i="1"/>
  <c r="T198" i="1"/>
  <c r="T983" i="1"/>
  <c r="T1396" i="1"/>
  <c r="T984" i="1"/>
  <c r="T985" i="1"/>
  <c r="T199" i="1"/>
  <c r="T986" i="1"/>
  <c r="T987" i="1"/>
  <c r="T555" i="1"/>
  <c r="T200" i="1"/>
  <c r="T556" i="1"/>
  <c r="T201" i="1"/>
  <c r="T202" i="1"/>
  <c r="T988" i="1"/>
  <c r="T203" i="1"/>
  <c r="T989" i="1"/>
  <c r="T990" i="1"/>
  <c r="T557" i="1"/>
  <c r="T991" i="1"/>
  <c r="T558" i="1"/>
  <c r="T992" i="1"/>
  <c r="T204" i="1"/>
  <c r="T205" i="1"/>
  <c r="T993" i="1"/>
  <c r="T994" i="1"/>
  <c r="T206" i="1"/>
  <c r="T1397" i="1"/>
  <c r="T995" i="1"/>
  <c r="T559" i="1"/>
  <c r="T996" i="1"/>
  <c r="T560" i="1"/>
  <c r="T207" i="1"/>
  <c r="T997" i="1"/>
  <c r="T998" i="1"/>
  <c r="T1398" i="1"/>
  <c r="T1399" i="1"/>
  <c r="T208" i="1"/>
  <c r="T999" i="1"/>
  <c r="T1000" i="1"/>
  <c r="T1400" i="1"/>
  <c r="T209" i="1"/>
  <c r="T210" i="1"/>
  <c r="T1001" i="1"/>
  <c r="T211" i="1"/>
  <c r="T561" i="1"/>
  <c r="T1002" i="1"/>
  <c r="T1003" i="1"/>
  <c r="T212" i="1"/>
  <c r="T562" i="1"/>
  <c r="T563" i="1"/>
  <c r="T213" i="1"/>
  <c r="T564" i="1"/>
  <c r="T1004" i="1"/>
  <c r="T1005" i="1"/>
  <c r="T214" i="1"/>
  <c r="T215" i="1"/>
  <c r="T1006" i="1"/>
  <c r="T1007" i="1"/>
  <c r="T1008" i="1"/>
  <c r="T216" i="1"/>
  <c r="T1009" i="1"/>
  <c r="T1401" i="1"/>
  <c r="T1010" i="1"/>
  <c r="T217" i="1"/>
  <c r="T218" i="1"/>
  <c r="T565" i="1"/>
  <c r="T1011" i="1"/>
  <c r="T219" i="1"/>
  <c r="T220" i="1"/>
  <c r="T1402" i="1"/>
  <c r="T1012" i="1"/>
  <c r="T221" i="1"/>
  <c r="T1013" i="1"/>
  <c r="T566" i="1"/>
  <c r="T567" i="1"/>
  <c r="T1014" i="1"/>
  <c r="T222" i="1"/>
  <c r="T223" i="1"/>
  <c r="T224" i="1"/>
  <c r="T1403" i="1"/>
  <c r="T1015" i="1"/>
  <c r="T568" i="1"/>
  <c r="T569" i="1"/>
  <c r="T570" i="1"/>
  <c r="T1404" i="1"/>
  <c r="T571" i="1"/>
  <c r="T225" i="1"/>
  <c r="T572" i="1"/>
  <c r="T1405" i="1"/>
  <c r="T226" i="1"/>
  <c r="T1406" i="1"/>
  <c r="T1016" i="1"/>
  <c r="T1017" i="1"/>
  <c r="T227" i="1"/>
  <c r="T228" i="1"/>
  <c r="T1407" i="1"/>
  <c r="T1408" i="1"/>
  <c r="T573" i="1"/>
  <c r="T1409" i="1"/>
  <c r="T229" i="1"/>
  <c r="T230" i="1"/>
  <c r="T1018" i="1"/>
  <c r="T1019" i="1"/>
  <c r="T1020" i="1"/>
  <c r="T231" i="1"/>
  <c r="T574" i="1"/>
  <c r="T1021" i="1"/>
  <c r="T232" i="1"/>
  <c r="T575" i="1"/>
  <c r="T1410" i="1"/>
  <c r="T233" i="1"/>
  <c r="T1022" i="1"/>
  <c r="T576" i="1"/>
  <c r="T234" i="1"/>
  <c r="T1023" i="1"/>
  <c r="T235" i="1"/>
  <c r="T577" i="1"/>
  <c r="T1024" i="1"/>
  <c r="T236" i="1"/>
  <c r="T237" i="1"/>
  <c r="T238" i="1"/>
  <c r="T239" i="1"/>
  <c r="T240" i="1"/>
  <c r="T1025" i="1"/>
  <c r="T1411" i="1"/>
  <c r="T578" i="1"/>
  <c r="T1412" i="1"/>
  <c r="T241" i="1"/>
  <c r="T579" i="1"/>
  <c r="T1026" i="1"/>
  <c r="T242" i="1"/>
  <c r="T1027" i="1"/>
  <c r="T1028" i="1"/>
  <c r="T1413" i="1"/>
  <c r="T580" i="1"/>
  <c r="T243" i="1"/>
  <c r="T244" i="1"/>
  <c r="T1414" i="1"/>
  <c r="T245" i="1"/>
  <c r="T1415" i="1"/>
  <c r="T1029" i="1"/>
  <c r="T246" i="1"/>
  <c r="T247" i="1"/>
  <c r="T248" i="1"/>
  <c r="T249" i="1"/>
  <c r="T581" i="1"/>
  <c r="T1416" i="1"/>
  <c r="T1030" i="1"/>
  <c r="T1031" i="1"/>
  <c r="T1032" i="1"/>
  <c r="T250" i="1"/>
  <c r="T1033" i="1"/>
  <c r="T582" i="1"/>
  <c r="T251" i="1"/>
  <c r="T1417" i="1"/>
  <c r="T252" i="1"/>
  <c r="T583" i="1"/>
  <c r="T584" i="1"/>
  <c r="T585" i="1"/>
  <c r="T253" i="1"/>
  <c r="T1034" i="1"/>
  <c r="T1035" i="1"/>
  <c r="T254" i="1"/>
  <c r="T255" i="1"/>
  <c r="T1036" i="1"/>
  <c r="T256" i="1"/>
  <c r="T1037" i="1"/>
  <c r="T1418" i="1"/>
  <c r="T1038" i="1"/>
  <c r="T586" i="1"/>
  <c r="T1039" i="1"/>
  <c r="T1040" i="1"/>
  <c r="T1419" i="1"/>
  <c r="T257" i="1"/>
  <c r="T258" i="1"/>
  <c r="T259" i="1"/>
  <c r="T260" i="1"/>
  <c r="T1041" i="1"/>
  <c r="T587" i="1"/>
  <c r="T1042" i="1"/>
  <c r="T1043" i="1"/>
  <c r="T261" i="1"/>
  <c r="T1044" i="1"/>
  <c r="T262" i="1"/>
  <c r="T1045" i="1"/>
  <c r="T263" i="1"/>
  <c r="T264" i="1"/>
  <c r="T265" i="1"/>
  <c r="T1046" i="1"/>
  <c r="T1047" i="1"/>
  <c r="T266" i="1"/>
  <c r="T1048" i="1"/>
  <c r="T1049" i="1"/>
  <c r="T588" i="1"/>
  <c r="T1420" i="1"/>
  <c r="T589" i="1"/>
  <c r="T267" i="1"/>
  <c r="T1421" i="1"/>
  <c r="T590" i="1"/>
  <c r="T1422" i="1"/>
  <c r="T1423" i="1"/>
  <c r="T1050" i="1"/>
  <c r="T1051" i="1"/>
  <c r="T268" i="1"/>
  <c r="T1052" i="1"/>
  <c r="T269" i="1"/>
  <c r="T270" i="1"/>
  <c r="T1424" i="1"/>
  <c r="T271" i="1"/>
  <c r="T591" i="1"/>
  <c r="T1425" i="1"/>
  <c r="T1053" i="1"/>
  <c r="T1054" i="1"/>
  <c r="T592" i="1"/>
  <c r="T1055" i="1"/>
  <c r="T1426" i="1"/>
  <c r="T1056" i="1"/>
  <c r="T1057" i="1"/>
  <c r="T1058" i="1"/>
  <c r="T1427" i="1"/>
  <c r="T593" i="1"/>
  <c r="T272" i="1"/>
  <c r="T273" i="1"/>
  <c r="T1059" i="1"/>
  <c r="T1428" i="1"/>
  <c r="T274" i="1"/>
  <c r="T1060" i="1"/>
  <c r="T1429" i="1"/>
  <c r="T1061" i="1"/>
  <c r="T594" i="1"/>
  <c r="T275" i="1"/>
  <c r="T1062" i="1"/>
  <c r="T1063" i="1"/>
  <c r="T1430" i="1"/>
  <c r="T1064" i="1"/>
  <c r="T1065" i="1"/>
  <c r="T1431" i="1"/>
  <c r="T595" i="1"/>
  <c r="T1066" i="1"/>
  <c r="T276" i="1"/>
  <c r="T596" i="1"/>
  <c r="T277" i="1"/>
  <c r="T278" i="1"/>
  <c r="T279" i="1"/>
  <c r="T280" i="1"/>
  <c r="T1432" i="1"/>
  <c r="T1067" i="1"/>
  <c r="T1068" i="1"/>
  <c r="T1069" i="1"/>
  <c r="T1070" i="1"/>
  <c r="T1071" i="1"/>
  <c r="T281" i="1"/>
  <c r="T282" i="1"/>
  <c r="T1072" i="1"/>
  <c r="T597" i="1"/>
  <c r="T283" i="1"/>
  <c r="T598" i="1"/>
  <c r="T1073" i="1"/>
  <c r="T1074" i="1"/>
  <c r="T599" i="1"/>
  <c r="T284" i="1"/>
  <c r="T1433" i="1"/>
  <c r="T1434" i="1"/>
  <c r="T285" i="1"/>
  <c r="T600" i="1"/>
  <c r="T286" i="1"/>
  <c r="T1075" i="1"/>
  <c r="T1076" i="1"/>
  <c r="T601" i="1"/>
  <c r="T1077" i="1"/>
  <c r="T287" i="1"/>
  <c r="T1435" i="1"/>
  <c r="T602" i="1"/>
  <c r="T1078" i="1"/>
  <c r="T288" i="1"/>
  <c r="T1079" i="1"/>
  <c r="T289" i="1"/>
  <c r="T1080" i="1"/>
  <c r="T1081" i="1"/>
  <c r="T1082" i="1"/>
  <c r="T290" i="1"/>
  <c r="T603" i="1"/>
  <c r="T1083" i="1"/>
  <c r="T1436" i="1"/>
  <c r="T291" i="1"/>
  <c r="T604" i="1"/>
  <c r="T1084" i="1"/>
  <c r="T292" i="1"/>
  <c r="T293" i="1"/>
  <c r="T1085" i="1"/>
  <c r="T605" i="1"/>
  <c r="T606" i="1"/>
  <c r="T1086" i="1"/>
  <c r="T1087" i="1"/>
  <c r="T607" i="1"/>
  <c r="T1437" i="1"/>
  <c r="T1088" i="1"/>
  <c r="T294" i="1"/>
  <c r="T1089" i="1"/>
  <c r="T1090" i="1"/>
  <c r="T1091" i="1"/>
  <c r="T295" i="1"/>
  <c r="T296" i="1"/>
  <c r="T1438" i="1"/>
  <c r="T1092" i="1"/>
  <c r="T1093" i="1"/>
  <c r="T297" i="1"/>
  <c r="T298" i="1"/>
  <c r="T299" i="1"/>
  <c r="T300" i="1"/>
  <c r="T608" i="1"/>
  <c r="T609" i="1"/>
  <c r="T1439" i="1"/>
  <c r="T1094" i="1"/>
  <c r="T1095" i="1"/>
  <c r="T1096" i="1"/>
  <c r="T1097" i="1"/>
  <c r="T1440" i="1"/>
  <c r="T1098" i="1"/>
  <c r="T1099" i="1"/>
  <c r="T610" i="1"/>
  <c r="T611" i="1"/>
  <c r="T612" i="1"/>
  <c r="T301" i="1"/>
  <c r="T302" i="1"/>
  <c r="T613" i="1"/>
  <c r="T1100" i="1"/>
  <c r="T1101" i="1"/>
  <c r="T1102" i="1"/>
  <c r="T1103" i="1"/>
  <c r="T1104" i="1"/>
  <c r="T614" i="1"/>
  <c r="T303" i="1"/>
  <c r="T615" i="1"/>
  <c r="T1105" i="1"/>
  <c r="T1106" i="1"/>
  <c r="T616" i="1"/>
  <c r="T617" i="1"/>
  <c r="T1107" i="1"/>
  <c r="T1441" i="1"/>
  <c r="T618" i="1"/>
  <c r="T304" i="1"/>
  <c r="T1108" i="1"/>
  <c r="T305" i="1"/>
  <c r="T306" i="1"/>
  <c r="T1442" i="1"/>
  <c r="T1109" i="1"/>
  <c r="T1443" i="1"/>
  <c r="T307" i="1"/>
  <c r="T1110" i="1"/>
  <c r="T1111" i="1"/>
  <c r="T1112" i="1"/>
  <c r="T619" i="1"/>
  <c r="T1444" i="1"/>
  <c r="T308" i="1"/>
  <c r="T620" i="1"/>
  <c r="T1113" i="1"/>
  <c r="T621" i="1"/>
  <c r="T1445" i="1"/>
  <c r="T1114" i="1"/>
  <c r="T309" i="1"/>
  <c r="T310" i="1"/>
  <c r="T1115" i="1"/>
  <c r="T1116" i="1"/>
  <c r="T311" i="1"/>
  <c r="T622" i="1"/>
  <c r="T1117" i="1"/>
  <c r="T623" i="1"/>
  <c r="T1118" i="1"/>
  <c r="T1119" i="1"/>
  <c r="T312" i="1"/>
  <c r="T624" i="1"/>
  <c r="T1120" i="1"/>
  <c r="T625" i="1"/>
  <c r="T1121" i="1"/>
  <c r="T1446" i="1"/>
  <c r="T1447" i="1"/>
  <c r="T1448" i="1"/>
  <c r="T1122" i="1"/>
  <c r="T313" i="1"/>
  <c r="T314" i="1"/>
  <c r="T315" i="1"/>
  <c r="T1449" i="1"/>
  <c r="T626" i="1"/>
  <c r="T1123" i="1"/>
  <c r="T1124" i="1"/>
  <c r="T1125" i="1"/>
  <c r="T627" i="1"/>
  <c r="T1450" i="1"/>
  <c r="T1451" i="1"/>
  <c r="T1126" i="1"/>
  <c r="T316" i="1"/>
  <c r="T1127" i="1"/>
  <c r="T1128" i="1"/>
  <c r="T317" i="1"/>
  <c r="T1129" i="1"/>
  <c r="T1130" i="1"/>
  <c r="T1131" i="1"/>
  <c r="T628" i="1"/>
  <c r="T1452" i="1"/>
  <c r="T1453" i="1"/>
  <c r="T629" i="1"/>
  <c r="T1132" i="1"/>
  <c r="T630" i="1"/>
  <c r="T318" i="1"/>
  <c r="T319" i="1"/>
  <c r="T1454" i="1"/>
  <c r="T631" i="1"/>
  <c r="T1133" i="1"/>
  <c r="T320" i="1"/>
  <c r="T321" i="1"/>
  <c r="T1134" i="1"/>
  <c r="T322" i="1"/>
  <c r="T632" i="1"/>
  <c r="T1135" i="1"/>
  <c r="T1136" i="1"/>
  <c r="T323" i="1"/>
  <c r="T324" i="1"/>
  <c r="T1137" i="1"/>
  <c r="T633" i="1"/>
  <c r="T1455" i="1"/>
  <c r="T1138" i="1"/>
  <c r="T634" i="1"/>
  <c r="T1139" i="1"/>
  <c r="T1140" i="1"/>
  <c r="T325" i="1"/>
  <c r="T1456" i="1"/>
  <c r="T1141" i="1"/>
  <c r="T1457" i="1"/>
  <c r="T1142" i="1"/>
  <c r="T326" i="1"/>
  <c r="T327" i="1"/>
  <c r="T1458" i="1"/>
  <c r="T635" i="1"/>
  <c r="T1459" i="1"/>
  <c r="T636" i="1"/>
  <c r="T1143" i="1"/>
  <c r="T1460" i="1"/>
  <c r="T328" i="1"/>
  <c r="T1144" i="1"/>
  <c r="T329" i="1"/>
  <c r="T330" i="1"/>
  <c r="T1145" i="1"/>
  <c r="T1146" i="1"/>
  <c r="T331" i="1"/>
  <c r="T637" i="1"/>
  <c r="T638" i="1"/>
  <c r="T1147" i="1"/>
  <c r="T332" i="1"/>
  <c r="T1148" i="1"/>
  <c r="T333" i="1"/>
  <c r="T1149" i="1"/>
  <c r="T1150" i="1"/>
  <c r="T334" i="1"/>
  <c r="T1461" i="1"/>
  <c r="T335" i="1"/>
  <c r="T336" i="1"/>
  <c r="T1151" i="1"/>
  <c r="T639" i="1"/>
  <c r="T1152" i="1"/>
  <c r="T337" i="1"/>
  <c r="T338" i="1"/>
  <c r="T1462" i="1"/>
  <c r="T1153" i="1"/>
  <c r="T640" i="1"/>
  <c r="T339" i="1"/>
  <c r="T641" i="1"/>
  <c r="T340" i="1"/>
  <c r="T341" i="1"/>
  <c r="T342" i="1"/>
  <c r="T642" i="1"/>
  <c r="T1154" i="1"/>
  <c r="T1463" i="1"/>
  <c r="T343" i="1"/>
  <c r="T344" i="1"/>
  <c r="T345" i="1"/>
  <c r="T346" i="1"/>
  <c r="T1155" i="1"/>
  <c r="T1156" i="1"/>
  <c r="T643" i="1"/>
  <c r="T347" i="1"/>
  <c r="T348" i="1"/>
  <c r="T349" i="1"/>
  <c r="T350" i="1"/>
  <c r="T1157" i="1"/>
  <c r="T351" i="1"/>
  <c r="T352" i="1"/>
  <c r="T1464" i="1"/>
  <c r="T1158" i="1"/>
  <c r="T353" i="1"/>
  <c r="T354" i="1"/>
  <c r="T644" i="1"/>
  <c r="T1159" i="1"/>
  <c r="T1160" i="1"/>
  <c r="T1161" i="1"/>
  <c r="T355" i="1"/>
  <c r="T1162" i="1"/>
  <c r="T1163" i="1"/>
  <c r="T645" i="1"/>
  <c r="T1164" i="1"/>
  <c r="T1165" i="1"/>
  <c r="T1166" i="1"/>
  <c r="T356" i="1"/>
  <c r="T357" i="1"/>
  <c r="T1167" i="1"/>
  <c r="T1168" i="1"/>
  <c r="T358" i="1"/>
  <c r="T1169" i="1"/>
  <c r="T646" i="1"/>
  <c r="T647" i="1"/>
  <c r="T359" i="1"/>
  <c r="T1170" i="1"/>
  <c r="T1465" i="1"/>
  <c r="T1466" i="1"/>
  <c r="T648" i="1"/>
  <c r="T1171" i="1"/>
  <c r="T1467" i="1"/>
  <c r="T360" i="1"/>
  <c r="T1172" i="1"/>
  <c r="T361" i="1"/>
  <c r="T362" i="1"/>
  <c r="T1173" i="1"/>
  <c r="T1174" i="1"/>
  <c r="T363" i="1"/>
  <c r="T1468" i="1"/>
  <c r="T1175" i="1"/>
  <c r="T1176" i="1"/>
  <c r="T649" i="1"/>
  <c r="T1177" i="1"/>
  <c r="T364" i="1"/>
  <c r="T365" i="1"/>
  <c r="T1469" i="1"/>
  <c r="T366" i="1"/>
  <c r="T1178" i="1"/>
  <c r="T650" i="1"/>
  <c r="T367" i="1"/>
  <c r="T368" i="1"/>
  <c r="T1179" i="1"/>
  <c r="T1470" i="1"/>
  <c r="T1180" i="1"/>
  <c r="T369" i="1"/>
  <c r="T651" i="1"/>
  <c r="T1181" i="1"/>
  <c r="T1471" i="1"/>
  <c r="T370" i="1"/>
  <c r="T1182" i="1"/>
  <c r="T1183" i="1"/>
  <c r="T652" i="1"/>
  <c r="T653" i="1"/>
  <c r="T1184" i="1"/>
  <c r="T654" i="1"/>
  <c r="T371" i="1"/>
  <c r="T1185" i="1"/>
  <c r="T1186" i="1"/>
  <c r="T655" i="1"/>
  <c r="T372" i="1"/>
  <c r="T373" i="1"/>
  <c r="T1472" i="1"/>
  <c r="T1187" i="1"/>
  <c r="T1188" i="1"/>
  <c r="T1189" i="1"/>
  <c r="T374" i="1"/>
  <c r="T1473" i="1"/>
  <c r="T1190" i="1"/>
  <c r="T1474" i="1"/>
  <c r="T1475" i="1"/>
  <c r="T656" i="1"/>
  <c r="T657" i="1"/>
  <c r="T1191" i="1"/>
  <c r="T375" i="1"/>
  <c r="T658" i="1"/>
  <c r="T1476" i="1"/>
  <c r="T376" i="1"/>
  <c r="T1477" i="1"/>
  <c r="T1192" i="1"/>
  <c r="T1193" i="1"/>
  <c r="T659" i="1"/>
  <c r="T660" i="1"/>
  <c r="T661" i="1"/>
  <c r="T377" i="1"/>
  <c r="T378" i="1"/>
  <c r="T662" i="1"/>
  <c r="T379" i="1"/>
  <c r="T380" i="1"/>
  <c r="T1194" i="1"/>
  <c r="T1195" i="1"/>
  <c r="T1196" i="1"/>
  <c r="T381" i="1"/>
  <c r="T382" i="1"/>
  <c r="T1197" i="1"/>
  <c r="T383" i="1"/>
  <c r="T663" i="1"/>
  <c r="T664" i="1"/>
  <c r="T1478" i="1"/>
  <c r="T384" i="1"/>
  <c r="T665" i="1"/>
  <c r="T1198" i="1"/>
  <c r="T1479" i="1"/>
  <c r="T1199" i="1"/>
  <c r="T1200" i="1"/>
  <c r="T385" i="1"/>
  <c r="T1201" i="1"/>
  <c r="T1202" i="1"/>
  <c r="T1203" i="1"/>
  <c r="T666" i="1"/>
  <c r="T667" i="1"/>
  <c r="T1480" i="1"/>
  <c r="T1204" i="1"/>
  <c r="T1205" i="1"/>
  <c r="T1206" i="1"/>
  <c r="T1207" i="1"/>
  <c r="T386" i="1"/>
  <c r="T1208" i="1"/>
  <c r="T668" i="1"/>
  <c r="T1209" i="1"/>
  <c r="T669" i="1"/>
  <c r="T670" i="1"/>
  <c r="T387" i="1"/>
  <c r="T388" i="1"/>
  <c r="T389" i="1"/>
  <c r="T1210" i="1"/>
  <c r="T1211" i="1"/>
  <c r="T671" i="1"/>
  <c r="T390" i="1"/>
  <c r="T1212" i="1"/>
  <c r="T391" i="1"/>
  <c r="T1213" i="1"/>
  <c r="T1481" i="1"/>
  <c r="T1214" i="1"/>
  <c r="T1215" i="1"/>
  <c r="T392" i="1"/>
  <c r="T1482" i="1"/>
  <c r="T1216" i="1"/>
  <c r="T1483" i="1"/>
  <c r="T672" i="1"/>
  <c r="T1217" i="1"/>
  <c r="T1218" i="1"/>
  <c r="T673" i="1"/>
  <c r="T393" i="1"/>
  <c r="T1219" i="1"/>
  <c r="T1220" i="1"/>
  <c r="T1484" i="1"/>
  <c r="T394" i="1"/>
  <c r="T1221" i="1"/>
  <c r="T395" i="1"/>
  <c r="T1222" i="1"/>
  <c r="T1223" i="1"/>
  <c r="T1485" i="1"/>
  <c r="T396" i="1"/>
  <c r="T674" i="1"/>
  <c r="T1486" i="1"/>
  <c r="T1224" i="1"/>
  <c r="T1225" i="1"/>
  <c r="T397" i="1"/>
  <c r="T1226" i="1"/>
  <c r="T1227" i="1"/>
  <c r="T1228" i="1"/>
  <c r="T675" i="1"/>
  <c r="T1229" i="1"/>
  <c r="T398" i="1"/>
  <c r="T676" i="1"/>
  <c r="T677" i="1"/>
  <c r="T1487" i="1"/>
  <c r="T1230" i="1"/>
  <c r="T399" i="1"/>
  <c r="T400" i="1"/>
  <c r="T1488" i="1"/>
  <c r="T1489" i="1"/>
  <c r="T401" i="1"/>
  <c r="T1490" i="1"/>
  <c r="T402" i="1"/>
  <c r="T1231" i="1"/>
  <c r="T1232" i="1"/>
  <c r="T1233" i="1"/>
  <c r="T678" i="1"/>
  <c r="T679" i="1"/>
  <c r="T680" i="1"/>
  <c r="T681" i="1"/>
  <c r="T1234" i="1"/>
  <c r="T682" i="1"/>
  <c r="T683" i="1"/>
  <c r="T403" i="1"/>
  <c r="T1235" i="1"/>
  <c r="T684" i="1"/>
  <c r="T404" i="1"/>
  <c r="T1236" i="1"/>
  <c r="T1237" i="1"/>
  <c r="T1491" i="1"/>
  <c r="T1238" i="1"/>
  <c r="T1239" i="1"/>
  <c r="T1240" i="1"/>
  <c r="T405" i="1"/>
  <c r="T406" i="1"/>
  <c r="T1241" i="1"/>
  <c r="T407" i="1"/>
  <c r="T1242" i="1"/>
  <c r="T408" i="1"/>
  <c r="T1243" i="1"/>
  <c r="T1492" i="1"/>
  <c r="T409" i="1"/>
  <c r="T410" i="1"/>
  <c r="T1244" i="1"/>
  <c r="T685" i="1"/>
  <c r="T1245" i="1"/>
  <c r="T411" i="1"/>
  <c r="T412" i="1"/>
  <c r="T1493" i="1"/>
  <c r="T686" i="1"/>
  <c r="T1246" i="1"/>
  <c r="T687" i="1"/>
  <c r="T1247" i="1"/>
  <c r="T413" i="1"/>
  <c r="T1248" i="1"/>
  <c r="T414" i="1"/>
  <c r="T1249" i="1"/>
  <c r="T1250" i="1"/>
  <c r="T1251" i="1"/>
  <c r="T1252" i="1"/>
  <c r="T415" i="1"/>
  <c r="T688" i="1"/>
  <c r="T1253" i="1"/>
  <c r="T1254" i="1"/>
  <c r="T1255" i="1"/>
  <c r="T1256" i="1"/>
  <c r="T1494" i="1"/>
  <c r="T1257" i="1"/>
  <c r="T416" i="1"/>
  <c r="T1495" i="1"/>
  <c r="T689" i="1"/>
  <c r="T1496" i="1"/>
  <c r="T417" i="1"/>
  <c r="T690" i="1"/>
  <c r="T1258" i="1"/>
  <c r="T1259" i="1"/>
  <c r="T1497" i="1"/>
  <c r="T418" i="1"/>
  <c r="T691" i="1"/>
  <c r="T419" i="1"/>
  <c r="T420" i="1"/>
  <c r="T692" i="1"/>
  <c r="T693" i="1"/>
  <c r="T421" i="1"/>
  <c r="T694" i="1"/>
  <c r="T1260" i="1"/>
  <c r="T1261" i="1"/>
  <c r="T1262" i="1"/>
  <c r="T695" i="1"/>
  <c r="T696" i="1"/>
  <c r="T697" i="1"/>
  <c r="T1263" i="1"/>
  <c r="T1498" i="1"/>
  <c r="T698" i="1"/>
  <c r="T1264" i="1"/>
  <c r="T422" i="1"/>
  <c r="T1265" i="1"/>
  <c r="T1266" i="1"/>
  <c r="T423" i="1"/>
  <c r="T424" i="1"/>
  <c r="T1267" i="1"/>
  <c r="T1268" i="1"/>
  <c r="T1499" i="1"/>
  <c r="T1269" i="1"/>
  <c r="T425" i="1"/>
  <c r="T1270" i="1"/>
  <c r="T426" i="1"/>
  <c r="T1271" i="1"/>
  <c r="T1272" i="1"/>
  <c r="T1273" i="1"/>
  <c r="T427" i="1"/>
  <c r="T1500" i="1"/>
  <c r="T1274" i="1"/>
  <c r="T1275" i="1"/>
  <c r="T1501" i="1"/>
  <c r="T428" i="1"/>
  <c r="T1276" i="1"/>
  <c r="T1277" i="1"/>
  <c r="T1278" i="1"/>
  <c r="T1279" i="1"/>
  <c r="T699" i="1"/>
  <c r="T700" i="1"/>
  <c r="T701" i="1"/>
  <c r="T1280" i="1"/>
  <c r="T429" i="1"/>
  <c r="T1281" i="1"/>
  <c r="S2" i="1"/>
  <c r="S430" i="1"/>
  <c r="S431" i="1"/>
  <c r="S432" i="1"/>
  <c r="S702" i="1"/>
  <c r="S3" i="1"/>
  <c r="S703" i="1"/>
  <c r="S1282" i="1"/>
  <c r="S704" i="1"/>
  <c r="S1283" i="1"/>
  <c r="S705" i="1"/>
  <c r="S706" i="1"/>
  <c r="S4" i="1"/>
  <c r="S433" i="1"/>
  <c r="S5" i="1"/>
  <c r="S707" i="1"/>
  <c r="S708" i="1"/>
  <c r="S709" i="1"/>
  <c r="S710" i="1"/>
  <c r="S6" i="1"/>
  <c r="S7" i="1"/>
  <c r="S8" i="1"/>
  <c r="S711" i="1"/>
  <c r="S9" i="1"/>
  <c r="S10" i="1"/>
  <c r="S11" i="1"/>
  <c r="S434" i="1"/>
  <c r="S12" i="1"/>
  <c r="S13" i="1"/>
  <c r="S435" i="1"/>
  <c r="S14" i="1"/>
  <c r="S712" i="1"/>
  <c r="S713" i="1"/>
  <c r="S15" i="1"/>
  <c r="S436" i="1"/>
  <c r="S437" i="1"/>
  <c r="S1284" i="1"/>
  <c r="S16" i="1"/>
  <c r="S714" i="1"/>
  <c r="S1285" i="1"/>
  <c r="S17" i="1"/>
  <c r="S18" i="1"/>
  <c r="S715" i="1"/>
  <c r="S716" i="1"/>
  <c r="S19" i="1"/>
  <c r="S717" i="1"/>
  <c r="S438" i="1"/>
  <c r="S20" i="1"/>
  <c r="S439" i="1"/>
  <c r="S718" i="1"/>
  <c r="S719" i="1"/>
  <c r="S440" i="1"/>
  <c r="S441" i="1"/>
  <c r="S1286" i="1"/>
  <c r="S442" i="1"/>
  <c r="S720" i="1"/>
  <c r="S721" i="1"/>
  <c r="S21" i="1"/>
  <c r="S22" i="1"/>
  <c r="S23" i="1"/>
  <c r="S24" i="1"/>
  <c r="S722" i="1"/>
  <c r="S723" i="1"/>
  <c r="S1287" i="1"/>
  <c r="S443" i="1"/>
  <c r="S25" i="1"/>
  <c r="S724" i="1"/>
  <c r="S444" i="1"/>
  <c r="S1288" i="1"/>
  <c r="S445" i="1"/>
  <c r="S446" i="1"/>
  <c r="S725" i="1"/>
  <c r="S726" i="1"/>
  <c r="S727" i="1"/>
  <c r="S728" i="1"/>
  <c r="S1289" i="1"/>
  <c r="S447" i="1"/>
  <c r="S26" i="1"/>
  <c r="S729" i="1"/>
  <c r="S730" i="1"/>
  <c r="S1290" i="1"/>
  <c r="S1291" i="1"/>
  <c r="S27" i="1"/>
  <c r="S448" i="1"/>
  <c r="S28" i="1"/>
  <c r="S29" i="1"/>
  <c r="S731" i="1"/>
  <c r="S449" i="1"/>
  <c r="S30" i="1"/>
  <c r="S1292" i="1"/>
  <c r="S732" i="1"/>
  <c r="S1293" i="1"/>
  <c r="S450" i="1"/>
  <c r="S31" i="1"/>
  <c r="S733" i="1"/>
  <c r="S1294" i="1"/>
  <c r="S451" i="1"/>
  <c r="S452" i="1"/>
  <c r="S32" i="1"/>
  <c r="S33" i="1"/>
  <c r="S734" i="1"/>
  <c r="S735" i="1"/>
  <c r="S736" i="1"/>
  <c r="S737" i="1"/>
  <c r="S453" i="1"/>
  <c r="S738" i="1"/>
  <c r="S739" i="1"/>
  <c r="S34" i="1"/>
  <c r="S454" i="1"/>
  <c r="S455" i="1"/>
  <c r="S740" i="1"/>
  <c r="S741" i="1"/>
  <c r="S35" i="1"/>
  <c r="S36" i="1"/>
  <c r="S456" i="1"/>
  <c r="S37" i="1"/>
  <c r="S742" i="1"/>
  <c r="S38" i="1"/>
  <c r="S743" i="1"/>
  <c r="S457" i="1"/>
  <c r="S744" i="1"/>
  <c r="S39" i="1"/>
  <c r="S458" i="1"/>
  <c r="S745" i="1"/>
  <c r="S746" i="1"/>
  <c r="S747" i="1"/>
  <c r="S748" i="1"/>
  <c r="S749" i="1"/>
  <c r="S750" i="1"/>
  <c r="S459" i="1"/>
  <c r="S751" i="1"/>
  <c r="S1295" i="1"/>
  <c r="S40" i="1"/>
  <c r="S1296" i="1"/>
  <c r="S752" i="1"/>
  <c r="S753" i="1"/>
  <c r="S41" i="1"/>
  <c r="S754" i="1"/>
  <c r="S755" i="1"/>
  <c r="S756" i="1"/>
  <c r="S42" i="1"/>
  <c r="S43" i="1"/>
  <c r="S757" i="1"/>
  <c r="S758" i="1"/>
  <c r="S44" i="1"/>
  <c r="S45" i="1"/>
  <c r="S759" i="1"/>
  <c r="S760" i="1"/>
  <c r="S1297" i="1"/>
  <c r="S761" i="1"/>
  <c r="S46" i="1"/>
  <c r="S762" i="1"/>
  <c r="S1298" i="1"/>
  <c r="S763" i="1"/>
  <c r="S47" i="1"/>
  <c r="S764" i="1"/>
  <c r="S48" i="1"/>
  <c r="S1299" i="1"/>
  <c r="S49" i="1"/>
  <c r="S765" i="1"/>
  <c r="S766" i="1"/>
  <c r="S50" i="1"/>
  <c r="S51" i="1"/>
  <c r="S460" i="1"/>
  <c r="S461" i="1"/>
  <c r="S767" i="1"/>
  <c r="S768" i="1"/>
  <c r="S1300" i="1"/>
  <c r="S769" i="1"/>
  <c r="S1301" i="1"/>
  <c r="S52" i="1"/>
  <c r="S462" i="1"/>
  <c r="S53" i="1"/>
  <c r="S54" i="1"/>
  <c r="S55" i="1"/>
  <c r="S770" i="1"/>
  <c r="S771" i="1"/>
  <c r="S1302" i="1"/>
  <c r="S772" i="1"/>
  <c r="S773" i="1"/>
  <c r="S774" i="1"/>
  <c r="S56" i="1"/>
  <c r="S1303" i="1"/>
  <c r="S775" i="1"/>
  <c r="S776" i="1"/>
  <c r="S57" i="1"/>
  <c r="S777" i="1"/>
  <c r="S778" i="1"/>
  <c r="S58" i="1"/>
  <c r="S59" i="1"/>
  <c r="S779" i="1"/>
  <c r="S463" i="1"/>
  <c r="S780" i="1"/>
  <c r="S464" i="1"/>
  <c r="S60" i="1"/>
  <c r="S61" i="1"/>
  <c r="S465" i="1"/>
  <c r="S62" i="1"/>
  <c r="S63" i="1"/>
  <c r="S781" i="1"/>
  <c r="S782" i="1"/>
  <c r="S466" i="1"/>
  <c r="S783" i="1"/>
  <c r="S784" i="1"/>
  <c r="S1304" i="1"/>
  <c r="S64" i="1"/>
  <c r="S785" i="1"/>
  <c r="S786" i="1"/>
  <c r="S787" i="1"/>
  <c r="S788" i="1"/>
  <c r="S65" i="1"/>
  <c r="S66" i="1"/>
  <c r="S1305" i="1"/>
  <c r="S67" i="1"/>
  <c r="S467" i="1"/>
  <c r="S468" i="1"/>
  <c r="S789" i="1"/>
  <c r="S790" i="1"/>
  <c r="S469" i="1"/>
  <c r="S470" i="1"/>
  <c r="S791" i="1"/>
  <c r="S792" i="1"/>
  <c r="S793" i="1"/>
  <c r="S794" i="1"/>
  <c r="S1306" i="1"/>
  <c r="S68" i="1"/>
  <c r="S1307" i="1"/>
  <c r="S69" i="1"/>
  <c r="S70" i="1"/>
  <c r="S471" i="1"/>
  <c r="S795" i="1"/>
  <c r="S472" i="1"/>
  <c r="S796" i="1"/>
  <c r="S473" i="1"/>
  <c r="S474" i="1"/>
  <c r="S797" i="1"/>
  <c r="S71" i="1"/>
  <c r="S798" i="1"/>
  <c r="S799" i="1"/>
  <c r="S800" i="1"/>
  <c r="S1308" i="1"/>
  <c r="S801" i="1"/>
  <c r="S72" i="1"/>
  <c r="S475" i="1"/>
  <c r="S802" i="1"/>
  <c r="S1309" i="1"/>
  <c r="S803" i="1"/>
  <c r="S73" i="1"/>
  <c r="S476" i="1"/>
  <c r="S1310" i="1"/>
  <c r="S1311" i="1"/>
  <c r="S477" i="1"/>
  <c r="S74" i="1"/>
  <c r="S478" i="1"/>
  <c r="S1312" i="1"/>
  <c r="S804" i="1"/>
  <c r="S75" i="1"/>
  <c r="S76" i="1"/>
  <c r="S479" i="1"/>
  <c r="S77" i="1"/>
  <c r="S805" i="1"/>
  <c r="S78" i="1"/>
  <c r="S480" i="1"/>
  <c r="S481" i="1"/>
  <c r="S806" i="1"/>
  <c r="S79" i="1"/>
  <c r="S80" i="1"/>
  <c r="S81" i="1"/>
  <c r="S1313" i="1"/>
  <c r="S807" i="1"/>
  <c r="S1314" i="1"/>
  <c r="S82" i="1"/>
  <c r="S482" i="1"/>
  <c r="S83" i="1"/>
  <c r="S84" i="1"/>
  <c r="S85" i="1"/>
  <c r="S1315" i="1"/>
  <c r="S1316" i="1"/>
  <c r="S808" i="1"/>
  <c r="S809" i="1"/>
  <c r="S810" i="1"/>
  <c r="S811" i="1"/>
  <c r="S812" i="1"/>
  <c r="S1317" i="1"/>
  <c r="S813" i="1"/>
  <c r="S483" i="1"/>
  <c r="S484" i="1"/>
  <c r="S485" i="1"/>
  <c r="S814" i="1"/>
  <c r="S815" i="1"/>
  <c r="S816" i="1"/>
  <c r="S817" i="1"/>
  <c r="S486" i="1"/>
  <c r="S1318" i="1"/>
  <c r="S86" i="1"/>
  <c r="S818" i="1"/>
  <c r="S819" i="1"/>
  <c r="S820" i="1"/>
  <c r="S487" i="1"/>
  <c r="S821" i="1"/>
  <c r="S87" i="1"/>
  <c r="S1319" i="1"/>
  <c r="S88" i="1"/>
  <c r="S822" i="1"/>
  <c r="S823" i="1"/>
  <c r="S89" i="1"/>
  <c r="S824" i="1"/>
  <c r="S1320" i="1"/>
  <c r="S1321" i="1"/>
  <c r="S90" i="1"/>
  <c r="S1322" i="1"/>
  <c r="S825" i="1"/>
  <c r="S91" i="1"/>
  <c r="S92" i="1"/>
  <c r="S93" i="1"/>
  <c r="S94" i="1"/>
  <c r="S95" i="1"/>
  <c r="S826" i="1"/>
  <c r="S96" i="1"/>
  <c r="S1323" i="1"/>
  <c r="S1324" i="1"/>
  <c r="S827" i="1"/>
  <c r="S488" i="1"/>
  <c r="S97" i="1"/>
  <c r="S489" i="1"/>
  <c r="S98" i="1"/>
  <c r="S490" i="1"/>
  <c r="S99" i="1"/>
  <c r="S100" i="1"/>
  <c r="S491" i="1"/>
  <c r="S492" i="1"/>
  <c r="S101" i="1"/>
  <c r="S493" i="1"/>
  <c r="S494" i="1"/>
  <c r="S102" i="1"/>
  <c r="S828" i="1"/>
  <c r="S103" i="1"/>
  <c r="S829" i="1"/>
  <c r="S830" i="1"/>
  <c r="S104" i="1"/>
  <c r="S105" i="1"/>
  <c r="S831" i="1"/>
  <c r="S832" i="1"/>
  <c r="S1325" i="1"/>
  <c r="S833" i="1"/>
  <c r="S834" i="1"/>
  <c r="S835" i="1"/>
  <c r="S1326" i="1"/>
  <c r="S495" i="1"/>
  <c r="S106" i="1"/>
  <c r="S836" i="1"/>
  <c r="S837" i="1"/>
  <c r="S107" i="1"/>
  <c r="S838" i="1"/>
  <c r="S108" i="1"/>
  <c r="S839" i="1"/>
  <c r="S840" i="1"/>
  <c r="S841" i="1"/>
  <c r="S842" i="1"/>
  <c r="S843" i="1"/>
  <c r="S109" i="1"/>
  <c r="S844" i="1"/>
  <c r="S1327" i="1"/>
  <c r="S845" i="1"/>
  <c r="S846" i="1"/>
  <c r="S110" i="1"/>
  <c r="S111" i="1"/>
  <c r="S847" i="1"/>
  <c r="S848" i="1"/>
  <c r="S849" i="1"/>
  <c r="S496" i="1"/>
  <c r="S850" i="1"/>
  <c r="S851" i="1"/>
  <c r="S852" i="1"/>
  <c r="S497" i="1"/>
  <c r="S1328" i="1"/>
  <c r="S853" i="1"/>
  <c r="S1329" i="1"/>
  <c r="S1330" i="1"/>
  <c r="S1331" i="1"/>
  <c r="S112" i="1"/>
  <c r="S854" i="1"/>
  <c r="S855" i="1"/>
  <c r="S113" i="1"/>
  <c r="S114" i="1"/>
  <c r="S1332" i="1"/>
  <c r="S115" i="1"/>
  <c r="S856" i="1"/>
  <c r="S498" i="1"/>
  <c r="S857" i="1"/>
  <c r="S858" i="1"/>
  <c r="S116" i="1"/>
  <c r="S117" i="1"/>
  <c r="S859" i="1"/>
  <c r="S1333" i="1"/>
  <c r="S118" i="1"/>
  <c r="S499" i="1"/>
  <c r="S860" i="1"/>
  <c r="S861" i="1"/>
  <c r="S500" i="1"/>
  <c r="S501" i="1"/>
  <c r="S862" i="1"/>
  <c r="S119" i="1"/>
  <c r="S1334" i="1"/>
  <c r="S1335" i="1"/>
  <c r="S863" i="1"/>
  <c r="S502" i="1"/>
  <c r="S120" i="1"/>
  <c r="S864" i="1"/>
  <c r="S865" i="1"/>
  <c r="S121" i="1"/>
  <c r="S1336" i="1"/>
  <c r="S866" i="1"/>
  <c r="S503" i="1"/>
  <c r="S867" i="1"/>
  <c r="S1337" i="1"/>
  <c r="S122" i="1"/>
  <c r="S868" i="1"/>
  <c r="S1338" i="1"/>
  <c r="S1339" i="1"/>
  <c r="S869" i="1"/>
  <c r="S123" i="1"/>
  <c r="S504" i="1"/>
  <c r="S124" i="1"/>
  <c r="S870" i="1"/>
  <c r="S505" i="1"/>
  <c r="S506" i="1"/>
  <c r="S871" i="1"/>
  <c r="S125" i="1"/>
  <c r="S1340" i="1"/>
  <c r="S126" i="1"/>
  <c r="S127" i="1"/>
  <c r="S872" i="1"/>
  <c r="S873" i="1"/>
  <c r="S507" i="1"/>
  <c r="S128" i="1"/>
  <c r="S129" i="1"/>
  <c r="S874" i="1"/>
  <c r="S875" i="1"/>
  <c r="S1341" i="1"/>
  <c r="S876" i="1"/>
  <c r="S130" i="1"/>
  <c r="S877" i="1"/>
  <c r="S131" i="1"/>
  <c r="S132" i="1"/>
  <c r="S508" i="1"/>
  <c r="S878" i="1"/>
  <c r="S879" i="1"/>
  <c r="S880" i="1"/>
  <c r="S509" i="1"/>
  <c r="S133" i="1"/>
  <c r="S134" i="1"/>
  <c r="S135" i="1"/>
  <c r="S881" i="1"/>
  <c r="S882" i="1"/>
  <c r="S883" i="1"/>
  <c r="S884" i="1"/>
  <c r="S1342" i="1"/>
  <c r="S885" i="1"/>
  <c r="S1343" i="1"/>
  <c r="S136" i="1"/>
  <c r="S137" i="1"/>
  <c r="S886" i="1"/>
  <c r="S510" i="1"/>
  <c r="S511" i="1"/>
  <c r="S512" i="1"/>
  <c r="S513" i="1"/>
  <c r="S1344" i="1"/>
  <c r="S1345" i="1"/>
  <c r="S138" i="1"/>
  <c r="S887" i="1"/>
  <c r="S1346" i="1"/>
  <c r="S888" i="1"/>
  <c r="S139" i="1"/>
  <c r="S889" i="1"/>
  <c r="S140" i="1"/>
  <c r="S141" i="1"/>
  <c r="S142" i="1"/>
  <c r="S143" i="1"/>
  <c r="S514" i="1"/>
  <c r="S890" i="1"/>
  <c r="S1347" i="1"/>
  <c r="S891" i="1"/>
  <c r="S1348" i="1"/>
  <c r="S892" i="1"/>
  <c r="S515" i="1"/>
  <c r="S893" i="1"/>
  <c r="S894" i="1"/>
  <c r="S895" i="1"/>
  <c r="S1349" i="1"/>
  <c r="S1350" i="1"/>
  <c r="S516" i="1"/>
  <c r="S517" i="1"/>
  <c r="S896" i="1"/>
  <c r="S144" i="1"/>
  <c r="S145" i="1"/>
  <c r="S146" i="1"/>
  <c r="S518" i="1"/>
  <c r="S1351" i="1"/>
  <c r="S147" i="1"/>
  <c r="S897" i="1"/>
  <c r="S148" i="1"/>
  <c r="S898" i="1"/>
  <c r="S899" i="1"/>
  <c r="S900" i="1"/>
  <c r="S149" i="1"/>
  <c r="S901" i="1"/>
  <c r="S1352" i="1"/>
  <c r="S519" i="1"/>
  <c r="S902" i="1"/>
  <c r="S1353" i="1"/>
  <c r="S903" i="1"/>
  <c r="S520" i="1"/>
  <c r="S150" i="1"/>
  <c r="S904" i="1"/>
  <c r="S521" i="1"/>
  <c r="S905" i="1"/>
  <c r="S151" i="1"/>
  <c r="S1354" i="1"/>
  <c r="S906" i="1"/>
  <c r="S152" i="1"/>
  <c r="S907" i="1"/>
  <c r="S908" i="1"/>
  <c r="S1355" i="1"/>
  <c r="S522" i="1"/>
  <c r="S153" i="1"/>
  <c r="S154" i="1"/>
  <c r="S909" i="1"/>
  <c r="S910" i="1"/>
  <c r="S1356" i="1"/>
  <c r="S911" i="1"/>
  <c r="S155" i="1"/>
  <c r="S156" i="1"/>
  <c r="S523" i="1"/>
  <c r="S912" i="1"/>
  <c r="S913" i="1"/>
  <c r="S914" i="1"/>
  <c r="S524" i="1"/>
  <c r="S915" i="1"/>
  <c r="S157" i="1"/>
  <c r="S1357" i="1"/>
  <c r="S525" i="1"/>
  <c r="S916" i="1"/>
  <c r="S1358" i="1"/>
  <c r="S526" i="1"/>
  <c r="S917" i="1"/>
  <c r="S527" i="1"/>
  <c r="S1359" i="1"/>
  <c r="S918" i="1"/>
  <c r="S158" i="1"/>
  <c r="S919" i="1"/>
  <c r="S528" i="1"/>
  <c r="S1360" i="1"/>
  <c r="S159" i="1"/>
  <c r="S160" i="1"/>
  <c r="S1361" i="1"/>
  <c r="S920" i="1"/>
  <c r="S921" i="1"/>
  <c r="S161" i="1"/>
  <c r="S922" i="1"/>
  <c r="S923" i="1"/>
  <c r="S924" i="1"/>
  <c r="S1362" i="1"/>
  <c r="S529" i="1"/>
  <c r="S162" i="1"/>
  <c r="S925" i="1"/>
  <c r="S530" i="1"/>
  <c r="S926" i="1"/>
  <c r="S1363" i="1"/>
  <c r="S1364" i="1"/>
  <c r="S163" i="1"/>
  <c r="S927" i="1"/>
  <c r="S928" i="1"/>
  <c r="S531" i="1"/>
  <c r="S164" i="1"/>
  <c r="S1365" i="1"/>
  <c r="S929" i="1"/>
  <c r="S165" i="1"/>
  <c r="S930" i="1"/>
  <c r="S166" i="1"/>
  <c r="S167" i="1"/>
  <c r="S168" i="1"/>
  <c r="S931" i="1"/>
  <c r="S169" i="1"/>
  <c r="S170" i="1"/>
  <c r="S1366" i="1"/>
  <c r="S532" i="1"/>
  <c r="S1367" i="1"/>
  <c r="S533" i="1"/>
  <c r="S171" i="1"/>
  <c r="S172" i="1"/>
  <c r="S1368" i="1"/>
  <c r="S932" i="1"/>
  <c r="S933" i="1"/>
  <c r="S934" i="1"/>
  <c r="S935" i="1"/>
  <c r="S936" i="1"/>
  <c r="S534" i="1"/>
  <c r="S937" i="1"/>
  <c r="S1369" i="1"/>
  <c r="S938" i="1"/>
  <c r="S173" i="1"/>
  <c r="S174" i="1"/>
  <c r="S939" i="1"/>
  <c r="S940" i="1"/>
  <c r="S1370" i="1"/>
  <c r="S941" i="1"/>
  <c r="S1371" i="1"/>
  <c r="S535" i="1"/>
  <c r="S536" i="1"/>
  <c r="S175" i="1"/>
  <c r="S176" i="1"/>
  <c r="S1372" i="1"/>
  <c r="S177" i="1"/>
  <c r="S1373" i="1"/>
  <c r="S942" i="1"/>
  <c r="S178" i="1"/>
  <c r="S943" i="1"/>
  <c r="S537" i="1"/>
  <c r="S944" i="1"/>
  <c r="S945" i="1"/>
  <c r="S1374" i="1"/>
  <c r="S179" i="1"/>
  <c r="S180" i="1"/>
  <c r="S1375" i="1"/>
  <c r="S181" i="1"/>
  <c r="S538" i="1"/>
  <c r="S946" i="1"/>
  <c r="S947" i="1"/>
  <c r="S1376" i="1"/>
  <c r="S948" i="1"/>
  <c r="S539" i="1"/>
  <c r="S949" i="1"/>
  <c r="S950" i="1"/>
  <c r="S1377" i="1"/>
  <c r="S951" i="1"/>
  <c r="S540" i="1"/>
  <c r="S952" i="1"/>
  <c r="S541" i="1"/>
  <c r="S182" i="1"/>
  <c r="S183" i="1"/>
  <c r="S953" i="1"/>
  <c r="S954" i="1"/>
  <c r="S184" i="1"/>
  <c r="S185" i="1"/>
  <c r="S955" i="1"/>
  <c r="S542" i="1"/>
  <c r="S543" i="1"/>
  <c r="S1378" i="1"/>
  <c r="S544" i="1"/>
  <c r="S186" i="1"/>
  <c r="S956" i="1"/>
  <c r="S957" i="1"/>
  <c r="S545" i="1"/>
  <c r="S958" i="1"/>
  <c r="S959" i="1"/>
  <c r="S960" i="1"/>
  <c r="S961" i="1"/>
  <c r="S962" i="1"/>
  <c r="S187" i="1"/>
  <c r="S546" i="1"/>
  <c r="S188" i="1"/>
  <c r="S963" i="1"/>
  <c r="S547" i="1"/>
  <c r="S964" i="1"/>
  <c r="S965" i="1"/>
  <c r="S966" i="1"/>
  <c r="S967" i="1"/>
  <c r="S1379" i="1"/>
  <c r="S1380" i="1"/>
  <c r="S1381" i="1"/>
  <c r="S548" i="1"/>
  <c r="S1382" i="1"/>
  <c r="S1383" i="1"/>
  <c r="S1384" i="1"/>
  <c r="S968" i="1"/>
  <c r="S1385" i="1"/>
  <c r="S1386" i="1"/>
  <c r="S969" i="1"/>
  <c r="S970" i="1"/>
  <c r="S1387" i="1"/>
  <c r="S1388" i="1"/>
  <c r="S189" i="1"/>
  <c r="S1389" i="1"/>
  <c r="S190" i="1"/>
  <c r="S549" i="1"/>
  <c r="S191" i="1"/>
  <c r="S971" i="1"/>
  <c r="S972" i="1"/>
  <c r="S973" i="1"/>
  <c r="S550" i="1"/>
  <c r="S1390" i="1"/>
  <c r="S1391" i="1"/>
  <c r="S974" i="1"/>
  <c r="S1392" i="1"/>
  <c r="S192" i="1"/>
  <c r="S193" i="1"/>
  <c r="S975" i="1"/>
  <c r="S976" i="1"/>
  <c r="S551" i="1"/>
  <c r="S1393" i="1"/>
  <c r="S1394" i="1"/>
  <c r="S194" i="1"/>
  <c r="S977" i="1"/>
  <c r="S195" i="1"/>
  <c r="S978" i="1"/>
  <c r="S552" i="1"/>
  <c r="S1395" i="1"/>
  <c r="S196" i="1"/>
  <c r="S197" i="1"/>
  <c r="S553" i="1"/>
  <c r="S979" i="1"/>
  <c r="S980" i="1"/>
  <c r="S981" i="1"/>
  <c r="S982" i="1"/>
  <c r="S554" i="1"/>
  <c r="S198" i="1"/>
  <c r="S983" i="1"/>
  <c r="S1396" i="1"/>
  <c r="S984" i="1"/>
  <c r="S985" i="1"/>
  <c r="S199" i="1"/>
  <c r="S986" i="1"/>
  <c r="S987" i="1"/>
  <c r="S555" i="1"/>
  <c r="S200" i="1"/>
  <c r="S556" i="1"/>
  <c r="S201" i="1"/>
  <c r="S202" i="1"/>
  <c r="S988" i="1"/>
  <c r="S203" i="1"/>
  <c r="S989" i="1"/>
  <c r="S990" i="1"/>
  <c r="S557" i="1"/>
  <c r="S991" i="1"/>
  <c r="S558" i="1"/>
  <c r="S992" i="1"/>
  <c r="S204" i="1"/>
  <c r="S205" i="1"/>
  <c r="S993" i="1"/>
  <c r="S994" i="1"/>
  <c r="S206" i="1"/>
  <c r="S1397" i="1"/>
  <c r="S995" i="1"/>
  <c r="S559" i="1"/>
  <c r="S996" i="1"/>
  <c r="S560" i="1"/>
  <c r="S207" i="1"/>
  <c r="S997" i="1"/>
  <c r="S998" i="1"/>
  <c r="S1398" i="1"/>
  <c r="S1399" i="1"/>
  <c r="S208" i="1"/>
  <c r="S999" i="1"/>
  <c r="S1000" i="1"/>
  <c r="S1400" i="1"/>
  <c r="S209" i="1"/>
  <c r="S210" i="1"/>
  <c r="S1001" i="1"/>
  <c r="S211" i="1"/>
  <c r="S561" i="1"/>
  <c r="S1002" i="1"/>
  <c r="S1003" i="1"/>
  <c r="S212" i="1"/>
  <c r="S562" i="1"/>
  <c r="S563" i="1"/>
  <c r="S213" i="1"/>
  <c r="S564" i="1"/>
  <c r="S1004" i="1"/>
  <c r="S1005" i="1"/>
  <c r="S214" i="1"/>
  <c r="S215" i="1"/>
  <c r="S1006" i="1"/>
  <c r="S1007" i="1"/>
  <c r="S1008" i="1"/>
  <c r="S216" i="1"/>
  <c r="S1009" i="1"/>
  <c r="S1401" i="1"/>
  <c r="S1010" i="1"/>
  <c r="S217" i="1"/>
  <c r="S218" i="1"/>
  <c r="S565" i="1"/>
  <c r="S1011" i="1"/>
  <c r="S219" i="1"/>
  <c r="S220" i="1"/>
  <c r="S1402" i="1"/>
  <c r="S1012" i="1"/>
  <c r="S221" i="1"/>
  <c r="S1013" i="1"/>
  <c r="S566" i="1"/>
  <c r="S567" i="1"/>
  <c r="S1014" i="1"/>
  <c r="S222" i="1"/>
  <c r="S223" i="1"/>
  <c r="S224" i="1"/>
  <c r="S1403" i="1"/>
  <c r="S1015" i="1"/>
  <c r="S568" i="1"/>
  <c r="S569" i="1"/>
  <c r="S570" i="1"/>
  <c r="S1404" i="1"/>
  <c r="S571" i="1"/>
  <c r="S225" i="1"/>
  <c r="S572" i="1"/>
  <c r="S1405" i="1"/>
  <c r="S226" i="1"/>
  <c r="S1406" i="1"/>
  <c r="S1016" i="1"/>
  <c r="S1017" i="1"/>
  <c r="S227" i="1"/>
  <c r="S228" i="1"/>
  <c r="S1407" i="1"/>
  <c r="S1408" i="1"/>
  <c r="S573" i="1"/>
  <c r="S1409" i="1"/>
  <c r="S229" i="1"/>
  <c r="S230" i="1"/>
  <c r="S1018" i="1"/>
  <c r="S1019" i="1"/>
  <c r="S1020" i="1"/>
  <c r="S231" i="1"/>
  <c r="S574" i="1"/>
  <c r="S1021" i="1"/>
  <c r="S232" i="1"/>
  <c r="S575" i="1"/>
  <c r="S1410" i="1"/>
  <c r="S233" i="1"/>
  <c r="S1022" i="1"/>
  <c r="S576" i="1"/>
  <c r="S234" i="1"/>
  <c r="S1023" i="1"/>
  <c r="S235" i="1"/>
  <c r="S577" i="1"/>
  <c r="S1024" i="1"/>
  <c r="S236" i="1"/>
  <c r="S237" i="1"/>
  <c r="S238" i="1"/>
  <c r="S239" i="1"/>
  <c r="S240" i="1"/>
  <c r="S1025" i="1"/>
  <c r="S1411" i="1"/>
  <c r="S578" i="1"/>
  <c r="S1412" i="1"/>
  <c r="S241" i="1"/>
  <c r="S579" i="1"/>
  <c r="S1026" i="1"/>
  <c r="S242" i="1"/>
  <c r="S1027" i="1"/>
  <c r="S1028" i="1"/>
  <c r="S1413" i="1"/>
  <c r="S580" i="1"/>
  <c r="S243" i="1"/>
  <c r="S244" i="1"/>
  <c r="S1414" i="1"/>
  <c r="S245" i="1"/>
  <c r="S1415" i="1"/>
  <c r="S1029" i="1"/>
  <c r="S246" i="1"/>
  <c r="S247" i="1"/>
  <c r="S248" i="1"/>
  <c r="S249" i="1"/>
  <c r="S581" i="1"/>
  <c r="S1416" i="1"/>
  <c r="S1030" i="1"/>
  <c r="S1031" i="1"/>
  <c r="S1032" i="1"/>
  <c r="S250" i="1"/>
  <c r="S1033" i="1"/>
  <c r="S582" i="1"/>
  <c r="S251" i="1"/>
  <c r="S1417" i="1"/>
  <c r="S252" i="1"/>
  <c r="S583" i="1"/>
  <c r="S584" i="1"/>
  <c r="S585" i="1"/>
  <c r="S253" i="1"/>
  <c r="S1034" i="1"/>
  <c r="S1035" i="1"/>
  <c r="S254" i="1"/>
  <c r="S255" i="1"/>
  <c r="S1036" i="1"/>
  <c r="S256" i="1"/>
  <c r="S1037" i="1"/>
  <c r="S1418" i="1"/>
  <c r="S1038" i="1"/>
  <c r="S586" i="1"/>
  <c r="S1039" i="1"/>
  <c r="S1040" i="1"/>
  <c r="S1419" i="1"/>
  <c r="S257" i="1"/>
  <c r="S258" i="1"/>
  <c r="S259" i="1"/>
  <c r="S260" i="1"/>
  <c r="S1041" i="1"/>
  <c r="S587" i="1"/>
  <c r="S1042" i="1"/>
  <c r="S1043" i="1"/>
  <c r="S261" i="1"/>
  <c r="S1044" i="1"/>
  <c r="S262" i="1"/>
  <c r="S1045" i="1"/>
  <c r="S263" i="1"/>
  <c r="S264" i="1"/>
  <c r="S265" i="1"/>
  <c r="S1046" i="1"/>
  <c r="S1047" i="1"/>
  <c r="S266" i="1"/>
  <c r="S1048" i="1"/>
  <c r="S1049" i="1"/>
  <c r="S588" i="1"/>
  <c r="S1420" i="1"/>
  <c r="S589" i="1"/>
  <c r="S267" i="1"/>
  <c r="S1421" i="1"/>
  <c r="S590" i="1"/>
  <c r="S1422" i="1"/>
  <c r="S1423" i="1"/>
  <c r="S1050" i="1"/>
  <c r="S1051" i="1"/>
  <c r="S268" i="1"/>
  <c r="S1052" i="1"/>
  <c r="S269" i="1"/>
  <c r="S270" i="1"/>
  <c r="S1424" i="1"/>
  <c r="S271" i="1"/>
  <c r="S591" i="1"/>
  <c r="S1425" i="1"/>
  <c r="S1053" i="1"/>
  <c r="S1054" i="1"/>
  <c r="S592" i="1"/>
  <c r="S1055" i="1"/>
  <c r="S1426" i="1"/>
  <c r="S1056" i="1"/>
  <c r="S1057" i="1"/>
  <c r="S1058" i="1"/>
  <c r="S1427" i="1"/>
  <c r="S593" i="1"/>
  <c r="S272" i="1"/>
  <c r="S273" i="1"/>
  <c r="S1059" i="1"/>
  <c r="S1428" i="1"/>
  <c r="S274" i="1"/>
  <c r="S1060" i="1"/>
  <c r="S1429" i="1"/>
  <c r="S1061" i="1"/>
  <c r="S594" i="1"/>
  <c r="S275" i="1"/>
  <c r="S1062" i="1"/>
  <c r="S1063" i="1"/>
  <c r="S1430" i="1"/>
  <c r="S1064" i="1"/>
  <c r="S1065" i="1"/>
  <c r="S1431" i="1"/>
  <c r="S595" i="1"/>
  <c r="S1066" i="1"/>
  <c r="S276" i="1"/>
  <c r="S596" i="1"/>
  <c r="S277" i="1"/>
  <c r="S278" i="1"/>
  <c r="S279" i="1"/>
  <c r="S280" i="1"/>
  <c r="S1432" i="1"/>
  <c r="S1067" i="1"/>
  <c r="S1068" i="1"/>
  <c r="S1069" i="1"/>
  <c r="S1070" i="1"/>
  <c r="S1071" i="1"/>
  <c r="S281" i="1"/>
  <c r="S282" i="1"/>
  <c r="S1072" i="1"/>
  <c r="S597" i="1"/>
  <c r="S283" i="1"/>
  <c r="S598" i="1"/>
  <c r="S1073" i="1"/>
  <c r="S1074" i="1"/>
  <c r="S599" i="1"/>
  <c r="S284" i="1"/>
  <c r="S1433" i="1"/>
  <c r="S1434" i="1"/>
  <c r="S285" i="1"/>
  <c r="S600" i="1"/>
  <c r="S286" i="1"/>
  <c r="S1075" i="1"/>
  <c r="S1076" i="1"/>
  <c r="S601" i="1"/>
  <c r="S1077" i="1"/>
  <c r="S287" i="1"/>
  <c r="S1435" i="1"/>
  <c r="S602" i="1"/>
  <c r="S1078" i="1"/>
  <c r="S288" i="1"/>
  <c r="S1079" i="1"/>
  <c r="S289" i="1"/>
  <c r="S1080" i="1"/>
  <c r="S1081" i="1"/>
  <c r="S1082" i="1"/>
  <c r="S290" i="1"/>
  <c r="S603" i="1"/>
  <c r="S1083" i="1"/>
  <c r="S1436" i="1"/>
  <c r="S291" i="1"/>
  <c r="S604" i="1"/>
  <c r="S1084" i="1"/>
  <c r="S292" i="1"/>
  <c r="S293" i="1"/>
  <c r="S1085" i="1"/>
  <c r="S605" i="1"/>
  <c r="S606" i="1"/>
  <c r="S1086" i="1"/>
  <c r="S1087" i="1"/>
  <c r="S607" i="1"/>
  <c r="S1437" i="1"/>
  <c r="S1088" i="1"/>
  <c r="S294" i="1"/>
  <c r="S1089" i="1"/>
  <c r="S1090" i="1"/>
  <c r="S1091" i="1"/>
  <c r="S295" i="1"/>
  <c r="S296" i="1"/>
  <c r="S1438" i="1"/>
  <c r="S1092" i="1"/>
  <c r="S1093" i="1"/>
  <c r="S297" i="1"/>
  <c r="S298" i="1"/>
  <c r="S299" i="1"/>
  <c r="S300" i="1"/>
  <c r="S608" i="1"/>
  <c r="S609" i="1"/>
  <c r="S1439" i="1"/>
  <c r="S1094" i="1"/>
  <c r="S1095" i="1"/>
  <c r="S1096" i="1"/>
  <c r="S1097" i="1"/>
  <c r="S1440" i="1"/>
  <c r="S1098" i="1"/>
  <c r="S1099" i="1"/>
  <c r="S610" i="1"/>
  <c r="S611" i="1"/>
  <c r="S612" i="1"/>
  <c r="S301" i="1"/>
  <c r="S302" i="1"/>
  <c r="S613" i="1"/>
  <c r="S1100" i="1"/>
  <c r="S1101" i="1"/>
  <c r="S1102" i="1"/>
  <c r="S1103" i="1"/>
  <c r="S1104" i="1"/>
  <c r="S614" i="1"/>
  <c r="S303" i="1"/>
  <c r="S615" i="1"/>
  <c r="S1105" i="1"/>
  <c r="S1106" i="1"/>
  <c r="S616" i="1"/>
  <c r="S617" i="1"/>
  <c r="S1107" i="1"/>
  <c r="S1441" i="1"/>
  <c r="S618" i="1"/>
  <c r="S304" i="1"/>
  <c r="S1108" i="1"/>
  <c r="S305" i="1"/>
  <c r="S306" i="1"/>
  <c r="S1442" i="1"/>
  <c r="S1109" i="1"/>
  <c r="S1443" i="1"/>
  <c r="S307" i="1"/>
  <c r="S1110" i="1"/>
  <c r="S1111" i="1"/>
  <c r="S1112" i="1"/>
  <c r="S619" i="1"/>
  <c r="S1444" i="1"/>
  <c r="S308" i="1"/>
  <c r="S620" i="1"/>
  <c r="S1113" i="1"/>
  <c r="S621" i="1"/>
  <c r="S1445" i="1"/>
  <c r="S1114" i="1"/>
  <c r="S309" i="1"/>
  <c r="S310" i="1"/>
  <c r="S1115" i="1"/>
  <c r="S1116" i="1"/>
  <c r="S311" i="1"/>
  <c r="S622" i="1"/>
  <c r="S1117" i="1"/>
  <c r="S623" i="1"/>
  <c r="S1118" i="1"/>
  <c r="S1119" i="1"/>
  <c r="S312" i="1"/>
  <c r="S624" i="1"/>
  <c r="S1120" i="1"/>
  <c r="S625" i="1"/>
  <c r="S1121" i="1"/>
  <c r="S1446" i="1"/>
  <c r="S1447" i="1"/>
  <c r="S1448" i="1"/>
  <c r="S1122" i="1"/>
  <c r="S313" i="1"/>
  <c r="S314" i="1"/>
  <c r="S315" i="1"/>
  <c r="S1449" i="1"/>
  <c r="S626" i="1"/>
  <c r="S1123" i="1"/>
  <c r="S1124" i="1"/>
  <c r="S1125" i="1"/>
  <c r="S627" i="1"/>
  <c r="S1450" i="1"/>
  <c r="S1451" i="1"/>
  <c r="S1126" i="1"/>
  <c r="S316" i="1"/>
  <c r="S1127" i="1"/>
  <c r="S1128" i="1"/>
  <c r="S317" i="1"/>
  <c r="S1129" i="1"/>
  <c r="S1130" i="1"/>
  <c r="S1131" i="1"/>
  <c r="S628" i="1"/>
  <c r="S1452" i="1"/>
  <c r="S1453" i="1"/>
  <c r="S629" i="1"/>
  <c r="S1132" i="1"/>
  <c r="S630" i="1"/>
  <c r="S318" i="1"/>
  <c r="S319" i="1"/>
  <c r="S1454" i="1"/>
  <c r="S631" i="1"/>
  <c r="S1133" i="1"/>
  <c r="S320" i="1"/>
  <c r="S321" i="1"/>
  <c r="S1134" i="1"/>
  <c r="S322" i="1"/>
  <c r="S632" i="1"/>
  <c r="S1135" i="1"/>
  <c r="S1136" i="1"/>
  <c r="S323" i="1"/>
  <c r="S324" i="1"/>
  <c r="S1137" i="1"/>
  <c r="S633" i="1"/>
  <c r="S1455" i="1"/>
  <c r="S1138" i="1"/>
  <c r="S634" i="1"/>
  <c r="S1139" i="1"/>
  <c r="S1140" i="1"/>
  <c r="S325" i="1"/>
  <c r="S1456" i="1"/>
  <c r="S1141" i="1"/>
  <c r="S1457" i="1"/>
  <c r="S1142" i="1"/>
  <c r="S326" i="1"/>
  <c r="S327" i="1"/>
  <c r="S1458" i="1"/>
  <c r="S635" i="1"/>
  <c r="S1459" i="1"/>
  <c r="S636" i="1"/>
  <c r="S1143" i="1"/>
  <c r="S1460" i="1"/>
  <c r="S328" i="1"/>
  <c r="S1144" i="1"/>
  <c r="S329" i="1"/>
  <c r="S330" i="1"/>
  <c r="S1145" i="1"/>
  <c r="S1146" i="1"/>
  <c r="S331" i="1"/>
  <c r="S637" i="1"/>
  <c r="S638" i="1"/>
  <c r="S1147" i="1"/>
  <c r="S332" i="1"/>
  <c r="S1148" i="1"/>
  <c r="S333" i="1"/>
  <c r="S1149" i="1"/>
  <c r="S1150" i="1"/>
  <c r="S334" i="1"/>
  <c r="S1461" i="1"/>
  <c r="S335" i="1"/>
  <c r="S336" i="1"/>
  <c r="S1151" i="1"/>
  <c r="S639" i="1"/>
  <c r="S1152" i="1"/>
  <c r="S337" i="1"/>
  <c r="S338" i="1"/>
  <c r="S1462" i="1"/>
  <c r="S1153" i="1"/>
  <c r="S640" i="1"/>
  <c r="S339" i="1"/>
  <c r="S641" i="1"/>
  <c r="S340" i="1"/>
  <c r="S341" i="1"/>
  <c r="S342" i="1"/>
  <c r="S642" i="1"/>
  <c r="S1154" i="1"/>
  <c r="S1463" i="1"/>
  <c r="S343" i="1"/>
  <c r="S344" i="1"/>
  <c r="S345" i="1"/>
  <c r="S346" i="1"/>
  <c r="S1155" i="1"/>
  <c r="S1156" i="1"/>
  <c r="S643" i="1"/>
  <c r="S347" i="1"/>
  <c r="S348" i="1"/>
  <c r="S349" i="1"/>
  <c r="S350" i="1"/>
  <c r="S1157" i="1"/>
  <c r="S351" i="1"/>
  <c r="S352" i="1"/>
  <c r="S1464" i="1"/>
  <c r="S1158" i="1"/>
  <c r="S353" i="1"/>
  <c r="S354" i="1"/>
  <c r="S644" i="1"/>
  <c r="S1159" i="1"/>
  <c r="S1160" i="1"/>
  <c r="S1161" i="1"/>
  <c r="S355" i="1"/>
  <c r="S1162" i="1"/>
  <c r="S1163" i="1"/>
  <c r="S645" i="1"/>
  <c r="S1164" i="1"/>
  <c r="S1165" i="1"/>
  <c r="S1166" i="1"/>
  <c r="S356" i="1"/>
  <c r="S357" i="1"/>
  <c r="S1167" i="1"/>
  <c r="S1168" i="1"/>
  <c r="S358" i="1"/>
  <c r="S1169" i="1"/>
  <c r="S646" i="1"/>
  <c r="S647" i="1"/>
  <c r="S359" i="1"/>
  <c r="S1170" i="1"/>
  <c r="S1465" i="1"/>
  <c r="S1466" i="1"/>
  <c r="S648" i="1"/>
  <c r="S1171" i="1"/>
  <c r="S1467" i="1"/>
  <c r="S360" i="1"/>
  <c r="S1172" i="1"/>
  <c r="S361" i="1"/>
  <c r="S362" i="1"/>
  <c r="S1173" i="1"/>
  <c r="S1174" i="1"/>
  <c r="S363" i="1"/>
  <c r="S1468" i="1"/>
  <c r="S1175" i="1"/>
  <c r="S1176" i="1"/>
  <c r="S649" i="1"/>
  <c r="S1177" i="1"/>
  <c r="S364" i="1"/>
  <c r="S365" i="1"/>
  <c r="S1469" i="1"/>
  <c r="S366" i="1"/>
  <c r="S1178" i="1"/>
  <c r="S650" i="1"/>
  <c r="S367" i="1"/>
  <c r="S368" i="1"/>
  <c r="S1179" i="1"/>
  <c r="S1470" i="1"/>
  <c r="S1180" i="1"/>
  <c r="S369" i="1"/>
  <c r="S651" i="1"/>
  <c r="S1181" i="1"/>
  <c r="S1471" i="1"/>
  <c r="S370" i="1"/>
  <c r="S1182" i="1"/>
  <c r="S1183" i="1"/>
  <c r="S652" i="1"/>
  <c r="S653" i="1"/>
  <c r="S1184" i="1"/>
  <c r="S654" i="1"/>
  <c r="S371" i="1"/>
  <c r="S1185" i="1"/>
  <c r="S1186" i="1"/>
  <c r="S655" i="1"/>
  <c r="S372" i="1"/>
  <c r="S373" i="1"/>
  <c r="S1472" i="1"/>
  <c r="S1187" i="1"/>
  <c r="S1188" i="1"/>
  <c r="S1189" i="1"/>
  <c r="S374" i="1"/>
  <c r="S1473" i="1"/>
  <c r="S1190" i="1"/>
  <c r="S1474" i="1"/>
  <c r="S1475" i="1"/>
  <c r="S656" i="1"/>
  <c r="S657" i="1"/>
  <c r="S1191" i="1"/>
  <c r="S375" i="1"/>
  <c r="S658" i="1"/>
  <c r="S1476" i="1"/>
  <c r="S376" i="1"/>
  <c r="S1477" i="1"/>
  <c r="S1192" i="1"/>
  <c r="S1193" i="1"/>
  <c r="S659" i="1"/>
  <c r="S660" i="1"/>
  <c r="S661" i="1"/>
  <c r="S377" i="1"/>
  <c r="S378" i="1"/>
  <c r="S662" i="1"/>
  <c r="S379" i="1"/>
  <c r="S380" i="1"/>
  <c r="S1194" i="1"/>
  <c r="S1195" i="1"/>
  <c r="S1196" i="1"/>
  <c r="S381" i="1"/>
  <c r="S382" i="1"/>
  <c r="S1197" i="1"/>
  <c r="S383" i="1"/>
  <c r="S663" i="1"/>
  <c r="S664" i="1"/>
  <c r="S1478" i="1"/>
  <c r="S384" i="1"/>
  <c r="S665" i="1"/>
  <c r="S1198" i="1"/>
  <c r="S1479" i="1"/>
  <c r="S1199" i="1"/>
  <c r="S1200" i="1"/>
  <c r="S385" i="1"/>
  <c r="S1201" i="1"/>
  <c r="S1202" i="1"/>
  <c r="S1203" i="1"/>
  <c r="S666" i="1"/>
  <c r="S667" i="1"/>
  <c r="S1480" i="1"/>
  <c r="S1204" i="1"/>
  <c r="S1205" i="1"/>
  <c r="S1206" i="1"/>
  <c r="S1207" i="1"/>
  <c r="S386" i="1"/>
  <c r="S1208" i="1"/>
  <c r="S668" i="1"/>
  <c r="S1209" i="1"/>
  <c r="S669" i="1"/>
  <c r="S670" i="1"/>
  <c r="S387" i="1"/>
  <c r="S388" i="1"/>
  <c r="S389" i="1"/>
  <c r="S1210" i="1"/>
  <c r="S1211" i="1"/>
  <c r="S671" i="1"/>
  <c r="S390" i="1"/>
  <c r="S1212" i="1"/>
  <c r="S391" i="1"/>
  <c r="S1213" i="1"/>
  <c r="S1481" i="1"/>
  <c r="S1214" i="1"/>
  <c r="S1215" i="1"/>
  <c r="S392" i="1"/>
  <c r="S1482" i="1"/>
  <c r="S1216" i="1"/>
  <c r="S1483" i="1"/>
  <c r="S672" i="1"/>
  <c r="S1217" i="1"/>
  <c r="S1218" i="1"/>
  <c r="S673" i="1"/>
  <c r="S393" i="1"/>
  <c r="S1219" i="1"/>
  <c r="S1220" i="1"/>
  <c r="S1484" i="1"/>
  <c r="S394" i="1"/>
  <c r="S1221" i="1"/>
  <c r="S395" i="1"/>
  <c r="S1222" i="1"/>
  <c r="S1223" i="1"/>
  <c r="S1485" i="1"/>
  <c r="S396" i="1"/>
  <c r="S674" i="1"/>
  <c r="S1486" i="1"/>
  <c r="S1224" i="1"/>
  <c r="S1225" i="1"/>
  <c r="S397" i="1"/>
  <c r="S1226" i="1"/>
  <c r="S1227" i="1"/>
  <c r="S1228" i="1"/>
  <c r="S675" i="1"/>
  <c r="S1229" i="1"/>
  <c r="S398" i="1"/>
  <c r="S676" i="1"/>
  <c r="S677" i="1"/>
  <c r="S1487" i="1"/>
  <c r="S1230" i="1"/>
  <c r="S399" i="1"/>
  <c r="S400" i="1"/>
  <c r="S1488" i="1"/>
  <c r="S1489" i="1"/>
  <c r="S401" i="1"/>
  <c r="S1490" i="1"/>
  <c r="S402" i="1"/>
  <c r="S1231" i="1"/>
  <c r="S1232" i="1"/>
  <c r="S1233" i="1"/>
  <c r="S678" i="1"/>
  <c r="S679" i="1"/>
  <c r="S680" i="1"/>
  <c r="S681" i="1"/>
  <c r="S1234" i="1"/>
  <c r="S682" i="1"/>
  <c r="S683" i="1"/>
  <c r="S403" i="1"/>
  <c r="S1235" i="1"/>
  <c r="S684" i="1"/>
  <c r="S404" i="1"/>
  <c r="S1236" i="1"/>
  <c r="S1237" i="1"/>
  <c r="S1491" i="1"/>
  <c r="S1238" i="1"/>
  <c r="S1239" i="1"/>
  <c r="S1240" i="1"/>
  <c r="S405" i="1"/>
  <c r="S406" i="1"/>
  <c r="S1241" i="1"/>
  <c r="S407" i="1"/>
  <c r="S1242" i="1"/>
  <c r="S408" i="1"/>
  <c r="S1243" i="1"/>
  <c r="S1492" i="1"/>
  <c r="S409" i="1"/>
  <c r="S410" i="1"/>
  <c r="S1244" i="1"/>
  <c r="S685" i="1"/>
  <c r="S1245" i="1"/>
  <c r="S411" i="1"/>
  <c r="S412" i="1"/>
  <c r="S1493" i="1"/>
  <c r="S686" i="1"/>
  <c r="S1246" i="1"/>
  <c r="S687" i="1"/>
  <c r="S1247" i="1"/>
  <c r="S413" i="1"/>
  <c r="S1248" i="1"/>
  <c r="S414" i="1"/>
  <c r="S1249" i="1"/>
  <c r="S1250" i="1"/>
  <c r="S1251" i="1"/>
  <c r="S1252" i="1"/>
  <c r="S415" i="1"/>
  <c r="S688" i="1"/>
  <c r="S1253" i="1"/>
  <c r="S1254" i="1"/>
  <c r="S1255" i="1"/>
  <c r="S1256" i="1"/>
  <c r="S1494" i="1"/>
  <c r="S1257" i="1"/>
  <c r="S416" i="1"/>
  <c r="S1495" i="1"/>
  <c r="S689" i="1"/>
  <c r="S1496" i="1"/>
  <c r="S417" i="1"/>
  <c r="S690" i="1"/>
  <c r="S1258" i="1"/>
  <c r="S1259" i="1"/>
  <c r="S1497" i="1"/>
  <c r="S418" i="1"/>
  <c r="S691" i="1"/>
  <c r="S419" i="1"/>
  <c r="S420" i="1"/>
  <c r="S692" i="1"/>
  <c r="S693" i="1"/>
  <c r="S421" i="1"/>
  <c r="S694" i="1"/>
  <c r="S1260" i="1"/>
  <c r="S1261" i="1"/>
  <c r="S1262" i="1"/>
  <c r="S695" i="1"/>
  <c r="S696" i="1"/>
  <c r="S697" i="1"/>
  <c r="S1263" i="1"/>
  <c r="S1498" i="1"/>
  <c r="S698" i="1"/>
  <c r="S1264" i="1"/>
  <c r="S422" i="1"/>
  <c r="S1265" i="1"/>
  <c r="S1266" i="1"/>
  <c r="S423" i="1"/>
  <c r="S424" i="1"/>
  <c r="S1267" i="1"/>
  <c r="S1268" i="1"/>
  <c r="S1499" i="1"/>
  <c r="S1269" i="1"/>
  <c r="S425" i="1"/>
  <c r="S1270" i="1"/>
  <c r="S426" i="1"/>
  <c r="S1271" i="1"/>
  <c r="S1272" i="1"/>
  <c r="S1273" i="1"/>
  <c r="S427" i="1"/>
  <c r="S1500" i="1"/>
  <c r="S1274" i="1"/>
  <c r="S1275" i="1"/>
  <c r="S1501" i="1"/>
  <c r="S428" i="1"/>
  <c r="S1276" i="1"/>
  <c r="S1277" i="1"/>
  <c r="S1278" i="1"/>
  <c r="S1279" i="1"/>
  <c r="S699" i="1"/>
  <c r="S700" i="1"/>
  <c r="S701" i="1"/>
  <c r="S1280" i="1"/>
  <c r="S429" i="1"/>
  <c r="S1281" i="1"/>
  <c r="N3" i="2"/>
  <c r="J3" i="2"/>
  <c r="F3" i="2"/>
  <c r="B3" i="2"/>
  <c r="B22" i="3"/>
  <c r="B21" i="3"/>
  <c r="B20" i="3"/>
  <c r="B16" i="3"/>
  <c r="B15" i="3"/>
  <c r="B14" i="3"/>
  <c r="B13" i="3"/>
  <c r="B12" i="3"/>
  <c r="B11" i="3"/>
  <c r="B8" i="3"/>
  <c r="B7" i="3"/>
  <c r="B6" i="3"/>
  <c r="B5" i="3"/>
  <c r="B3" i="3"/>
  <c r="B4" i="3"/>
  <c r="B2" i="3"/>
  <c r="L11" i="4"/>
  <c r="L8" i="4"/>
  <c r="L9" i="4"/>
  <c r="L6" i="4"/>
  <c r="L10" i="4"/>
  <c r="L5" i="4"/>
  <c r="L7" i="4"/>
  <c r="L4" i="4"/>
  <c r="G11" i="4"/>
  <c r="G10" i="4"/>
  <c r="G9" i="4"/>
  <c r="G8" i="4"/>
  <c r="G7" i="4"/>
  <c r="G6" i="4"/>
  <c r="G5" i="4"/>
  <c r="G4" i="4"/>
  <c r="R3" i="2" l="1"/>
  <c r="B23" i="3"/>
  <c r="B17" i="3"/>
</calcChain>
</file>

<file path=xl/sharedStrings.xml><?xml version="1.0" encoding="utf-8"?>
<sst xmlns="http://schemas.openxmlformats.org/spreadsheetml/2006/main" count="12175" uniqueCount="1636">
  <si>
    <t>ticket_id</t>
  </si>
  <si>
    <t>customer_id</t>
  </si>
  <si>
    <t>customer_name</t>
  </si>
  <si>
    <t>Email</t>
  </si>
  <si>
    <t>agent_id</t>
  </si>
  <si>
    <t>order_id</t>
  </si>
  <si>
    <t>opened_at</t>
  </si>
  <si>
    <t>closed_at</t>
  </si>
  <si>
    <t>channel</t>
  </si>
  <si>
    <t>issue_type</t>
  </si>
  <si>
    <t>priority</t>
  </si>
  <si>
    <t>status</t>
  </si>
  <si>
    <t>first_response_minutes</t>
  </si>
  <si>
    <t>resolution_minutes</t>
  </si>
  <si>
    <t>sla_breached_flag</t>
  </si>
  <si>
    <t>ticket_summary</t>
  </si>
  <si>
    <t>Mark Jones</t>
  </si>
  <si>
    <t>brian62@example.net</t>
  </si>
  <si>
    <t>Phone</t>
  </si>
  <si>
    <t>Delivery Delay</t>
  </si>
  <si>
    <t>High</t>
  </si>
  <si>
    <t>Resolved</t>
  </si>
  <si>
    <t>Shipment or installation appointment delayed beyond ETA</t>
  </si>
  <si>
    <t>Haley Davis</t>
  </si>
  <si>
    <t>marypeterson@example.net</t>
  </si>
  <si>
    <t>Refund</t>
  </si>
  <si>
    <t>Low</t>
  </si>
  <si>
    <t>Refund status or reversal timeline inquiry</t>
  </si>
  <si>
    <t>Nathan Jones</t>
  </si>
  <si>
    <t>stephanie67@example.net</t>
  </si>
  <si>
    <t>Account Access</t>
  </si>
  <si>
    <t>Login, OTP, or password reset issue</t>
  </si>
  <si>
    <t>Christy Payne</t>
  </si>
  <si>
    <t>ana92@example.net</t>
  </si>
  <si>
    <t>In Progress</t>
  </si>
  <si>
    <t>Linda Hall</t>
  </si>
  <si>
    <t>hevans@example.net</t>
  </si>
  <si>
    <t>WhatsApp</t>
  </si>
  <si>
    <t>Service Quality</t>
  </si>
  <si>
    <t>Closed</t>
  </si>
  <si>
    <t>Customer reported intermittent service and repeat disruptions</t>
  </si>
  <si>
    <t>Tony Smith</t>
  </si>
  <si>
    <t>karen68@example.org</t>
  </si>
  <si>
    <t>Chat</t>
  </si>
  <si>
    <t>Barbara Pope</t>
  </si>
  <si>
    <t>keith07@example.net</t>
  </si>
  <si>
    <t>Mobile App</t>
  </si>
  <si>
    <t>Medium</t>
  </si>
  <si>
    <t>Kelly Rodriguez</t>
  </si>
  <si>
    <t>lucassusan@example.org</t>
  </si>
  <si>
    <t>Mr. William Adams PhD</t>
  </si>
  <si>
    <t>khendricks@example.net</t>
  </si>
  <si>
    <t>Web</t>
  </si>
  <si>
    <t>Open</t>
  </si>
  <si>
    <t>Christina Martin</t>
  </si>
  <si>
    <t>hubbardkeith@example.net</t>
  </si>
  <si>
    <t>IVR</t>
  </si>
  <si>
    <t>Andrew Villanueva</t>
  </si>
  <si>
    <t>lukemiller@example.org</t>
  </si>
  <si>
    <t>Billing</t>
  </si>
  <si>
    <t>Escalated</t>
  </si>
  <si>
    <t>Customer questioned invoice amount and prorated charges</t>
  </si>
  <si>
    <t>Kenneth Schmidt</t>
  </si>
  <si>
    <t>marissasutton@example.com</t>
  </si>
  <si>
    <t>Nicole Norman</t>
  </si>
  <si>
    <t>megangates@example.com</t>
  </si>
  <si>
    <t>Pending Customer</t>
  </si>
  <si>
    <t>Travis Nielsen</t>
  </si>
  <si>
    <t>gerald46@example.org</t>
  </si>
  <si>
    <t>Mary Hill</t>
  </si>
  <si>
    <t>danielhernandez@example.com</t>
  </si>
  <si>
    <t>Priscilla Kent</t>
  </si>
  <si>
    <t>jessicaanderson@example.com</t>
  </si>
  <si>
    <t>Urgent</t>
  </si>
  <si>
    <t>Kaitlyn Heath</t>
  </si>
  <si>
    <t>jameshudson@example.com</t>
  </si>
  <si>
    <t>Brianna Murray</t>
  </si>
  <si>
    <t>michaelbrown@example.com</t>
  </si>
  <si>
    <t>Jeanette Brown</t>
  </si>
  <si>
    <t>umcclure@example.com</t>
  </si>
  <si>
    <t>John Mckinney</t>
  </si>
  <si>
    <t>fburns@example.net</t>
  </si>
  <si>
    <t>Brian Hampton</t>
  </si>
  <si>
    <t>amber07@example.net</t>
  </si>
  <si>
    <t>Jonathan Williams</t>
  </si>
  <si>
    <t>abaker@example.com</t>
  </si>
  <si>
    <t>Technical Issue</t>
  </si>
  <si>
    <t>App, network, or device troubleshooting requested</t>
  </si>
  <si>
    <t>Laura Woods</t>
  </si>
  <si>
    <t>xboyd@example.org</t>
  </si>
  <si>
    <t>Sean Chapman</t>
  </si>
  <si>
    <t>johnsonjames@example.org</t>
  </si>
  <si>
    <t>Sara Cochran</t>
  </si>
  <si>
    <t>lweaver@example.com</t>
  </si>
  <si>
    <t>Mark Moss</t>
  </si>
  <si>
    <t>austinjohnson@example.net</t>
  </si>
  <si>
    <t>Patricia Ramos</t>
  </si>
  <si>
    <t>patriciamorrison@example.org</t>
  </si>
  <si>
    <t>Michael Morgan</t>
  </si>
  <si>
    <t>jamierodriguez@example.net</t>
  </si>
  <si>
    <t>Brett Newman</t>
  </si>
  <si>
    <t>patriciagrant@example.net</t>
  </si>
  <si>
    <t>Christopher Barr</t>
  </si>
  <si>
    <t>amy49@example.com</t>
  </si>
  <si>
    <t>Ashley Fernandez</t>
  </si>
  <si>
    <t>probinson@example.org</t>
  </si>
  <si>
    <t>Michael Hunt</t>
  </si>
  <si>
    <t>housedaniel@example.com</t>
  </si>
  <si>
    <t>Allen Schneider</t>
  </si>
  <si>
    <t>dmiller@example.org</t>
  </si>
  <si>
    <t>Daniel Petersen</t>
  </si>
  <si>
    <t>brownkevin@example.com</t>
  </si>
  <si>
    <t>Bobby Williams MD</t>
  </si>
  <si>
    <t>cassandra01@example.org</t>
  </si>
  <si>
    <t>Karen Gray</t>
  </si>
  <si>
    <t>nguyenchristine@example.net</t>
  </si>
  <si>
    <t>Elizabeth Johnson</t>
  </si>
  <si>
    <t>lisa39@example.org</t>
  </si>
  <si>
    <t>Shawn Vasquez</t>
  </si>
  <si>
    <t>zchapman@example.com</t>
  </si>
  <si>
    <t>Randy Barr</t>
  </si>
  <si>
    <t>fernandothomas@example.net</t>
  </si>
  <si>
    <t>Kyle Francis</t>
  </si>
  <si>
    <t>michellehill@example.com</t>
  </si>
  <si>
    <t>Joshua Howard</t>
  </si>
  <si>
    <t>rgarcia@example.net</t>
  </si>
  <si>
    <t>Kimberly Leon</t>
  </si>
  <si>
    <t>brooksthomas@example.com</t>
  </si>
  <si>
    <t>William Torres</t>
  </si>
  <si>
    <t>zandrews@example.com</t>
  </si>
  <si>
    <t>Greg Jones</t>
  </si>
  <si>
    <t>hgardner@example.com</t>
  </si>
  <si>
    <t>Brenda Carrillo</t>
  </si>
  <si>
    <t>susan57@example.net</t>
  </si>
  <si>
    <t>Anna May</t>
  </si>
  <si>
    <t>crossbarbara@example.org</t>
  </si>
  <si>
    <t>Sharon Ayala</t>
  </si>
  <si>
    <t>mark87@example.org</t>
  </si>
  <si>
    <t>Paul Estrada</t>
  </si>
  <si>
    <t>glenmoore@example.com</t>
  </si>
  <si>
    <t>Steven Holland</t>
  </si>
  <si>
    <t>cobbkaitlyn@example.net</t>
  </si>
  <si>
    <t>Thomas Wilson</t>
  </si>
  <si>
    <t>kimberlyross@example.org</t>
  </si>
  <si>
    <t>Michael Gray</t>
  </si>
  <si>
    <t>jameshenry@example.net</t>
  </si>
  <si>
    <t>Patrick Schroeder</t>
  </si>
  <si>
    <t>joseph69@example.net</t>
  </si>
  <si>
    <t>Robert Gonzalez</t>
  </si>
  <si>
    <t>eric11@example.net</t>
  </si>
  <si>
    <t>Brian Welch</t>
  </si>
  <si>
    <t>dthompson@example.org</t>
  </si>
  <si>
    <t>Veronica Lewis</t>
  </si>
  <si>
    <t>mirandacisneros@example.net</t>
  </si>
  <si>
    <t>Charles Delgado</t>
  </si>
  <si>
    <t>thomasantonio@example.net</t>
  </si>
  <si>
    <t>Jennifer Bruce</t>
  </si>
  <si>
    <t>ecampos@example.net</t>
  </si>
  <si>
    <t>William Vasquez</t>
  </si>
  <si>
    <t>hillsabrina@example.net</t>
  </si>
  <si>
    <t>Jacqueline Thompson</t>
  </si>
  <si>
    <t>toddlloyd@example.org</t>
  </si>
  <si>
    <t>John Griffin</t>
  </si>
  <si>
    <t>wmatthews@example.com</t>
  </si>
  <si>
    <t>Ryan Barker</t>
  </si>
  <si>
    <t>swalters@example.net</t>
  </si>
  <si>
    <t>Matthew Dougherty</t>
  </si>
  <si>
    <t>colemancassandra@example.org</t>
  </si>
  <si>
    <t>Jacqueline Harrison</t>
  </si>
  <si>
    <t>barbara85@example.net</t>
  </si>
  <si>
    <t>Timothy Davis</t>
  </si>
  <si>
    <t>nvargas@example.net</t>
  </si>
  <si>
    <t>Rebecca Pacheco</t>
  </si>
  <si>
    <t>davisjennifer@example.org</t>
  </si>
  <si>
    <t>Shawn Avila</t>
  </si>
  <si>
    <t>michealhardy@example.net</t>
  </si>
  <si>
    <t>Adam Garcia</t>
  </si>
  <si>
    <t>michelle63@example.org</t>
  </si>
  <si>
    <t>Andrew Ford</t>
  </si>
  <si>
    <t>rwheeler@example.org</t>
  </si>
  <si>
    <t>Dr. Christy Pittman MD</t>
  </si>
  <si>
    <t>jocelynhart@example.com</t>
  </si>
  <si>
    <t>Christopher Knight</t>
  </si>
  <si>
    <t>jillwebb@example.com</t>
  </si>
  <si>
    <t>Sean Johnson</t>
  </si>
  <si>
    <t>edwardford@example.net</t>
  </si>
  <si>
    <t>Dustin Dorsey</t>
  </si>
  <si>
    <t>tmcdaniel@example.org</t>
  </si>
  <si>
    <t>Jeremy Smith</t>
  </si>
  <si>
    <t>mjones@example.org</t>
  </si>
  <si>
    <t>Joshua Miller</t>
  </si>
  <si>
    <t>harriswendy@example.org</t>
  </si>
  <si>
    <t>Alejandra Price</t>
  </si>
  <si>
    <t>elizabeth51@example.org</t>
  </si>
  <si>
    <t>Jennifer Rivera</t>
  </si>
  <si>
    <t>sanchezcindy@example.net</t>
  </si>
  <si>
    <t>Linda Hughes</t>
  </si>
  <si>
    <t>jesseboone@example.com</t>
  </si>
  <si>
    <t>Teresa Davis</t>
  </si>
  <si>
    <t>thomaslinda@example.net</t>
  </si>
  <si>
    <t>Glenda Calderon</t>
  </si>
  <si>
    <t>yglenn@example.net</t>
  </si>
  <si>
    <t>Crystal Cummings</t>
  </si>
  <si>
    <t>thomasblack@example.net</t>
  </si>
  <si>
    <t>Matthew Miller</t>
  </si>
  <si>
    <t>williamporter@example.net</t>
  </si>
  <si>
    <t>Cheryl Rose</t>
  </si>
  <si>
    <t>derek96@example.net</t>
  </si>
  <si>
    <t>Amanda Miller</t>
  </si>
  <si>
    <t>brianrowe@example.org</t>
  </si>
  <si>
    <t>Hector Mcgee</t>
  </si>
  <si>
    <t>kparker@example.com</t>
  </si>
  <si>
    <t>James Spears</t>
  </si>
  <si>
    <t>cooperluis@example.com</t>
  </si>
  <si>
    <t>Crystal Hansen</t>
  </si>
  <si>
    <t>kelsey85@example.org</t>
  </si>
  <si>
    <t>Travis Wagner</t>
  </si>
  <si>
    <t>jacklee@example.net</t>
  </si>
  <si>
    <t>Lauren Bowman</t>
  </si>
  <si>
    <t>angelathomas@example.org</t>
  </si>
  <si>
    <t>Lisa Diaz</t>
  </si>
  <si>
    <t>malikbrown@example.net</t>
  </si>
  <si>
    <t>Kevin Marquez</t>
  </si>
  <si>
    <t>nicoledavis@example.com</t>
  </si>
  <si>
    <t>Stephanie Cabrera</t>
  </si>
  <si>
    <t>wchambers@example.com</t>
  </si>
  <si>
    <t>Fernando Thomas</t>
  </si>
  <si>
    <t>audrey21@example.com</t>
  </si>
  <si>
    <t>Shannon Carlson</t>
  </si>
  <si>
    <t>figueroapreston@example.net</t>
  </si>
  <si>
    <t>Sheryl Gutierrez</t>
  </si>
  <si>
    <t>vturner@example.net</t>
  </si>
  <si>
    <t>Brandon Stewart</t>
  </si>
  <si>
    <t>wangkristina@example.org</t>
  </si>
  <si>
    <t>Diane Byrd MD</t>
  </si>
  <si>
    <t>bsparks@example.com</t>
  </si>
  <si>
    <t>Brenda Ramirez</t>
  </si>
  <si>
    <t>ehammond@example.net</t>
  </si>
  <si>
    <t>Cassandra Maldonado</t>
  </si>
  <si>
    <t>ricky53@example.net</t>
  </si>
  <si>
    <t>Evan Buchanan</t>
  </si>
  <si>
    <t>meyertiffany@example.net</t>
  </si>
  <si>
    <t>Ryan Perez</t>
  </si>
  <si>
    <t>williamskatherine@example.org</t>
  </si>
  <si>
    <t>Travis Stevens</t>
  </si>
  <si>
    <t>christopher13@example.com</t>
  </si>
  <si>
    <t>Michael Sweeney</t>
  </si>
  <si>
    <t>michaellopez@example.net</t>
  </si>
  <si>
    <t>Breanna Randolph</t>
  </si>
  <si>
    <t>jackwyatt@example.org</t>
  </si>
  <si>
    <t>Teresa Mcdaniel MD</t>
  </si>
  <si>
    <t>jessicamills@example.org</t>
  </si>
  <si>
    <t>Valerie Kim</t>
  </si>
  <si>
    <t>caleb43@example.org</t>
  </si>
  <si>
    <t>Scott Rubio</t>
  </si>
  <si>
    <t>uwatson@example.com</t>
  </si>
  <si>
    <t>Robert Wilkinson</t>
  </si>
  <si>
    <t>jenniferpierce@example.org</t>
  </si>
  <si>
    <t>Michael Forbes</t>
  </si>
  <si>
    <t>jennifer54@example.org</t>
  </si>
  <si>
    <t>Lee Barker</t>
  </si>
  <si>
    <t>vthompson@example.org</t>
  </si>
  <si>
    <t>Tara Myers</t>
  </si>
  <si>
    <t>kaitlynanderson@example.net</t>
  </si>
  <si>
    <t>Kurt Williams</t>
  </si>
  <si>
    <t>vhill@example.com</t>
  </si>
  <si>
    <t>Crystal Greene</t>
  </si>
  <si>
    <t>chavezsteven@example.com</t>
  </si>
  <si>
    <t>Russell Mcguire</t>
  </si>
  <si>
    <t>watkinsmatthew@example.org</t>
  </si>
  <si>
    <t>Brianna Hodges</t>
  </si>
  <si>
    <t>epalmer@example.net</t>
  </si>
  <si>
    <t>Sonya Robinson</t>
  </si>
  <si>
    <t>broberts@example.net</t>
  </si>
  <si>
    <t>Janet Leonard</t>
  </si>
  <si>
    <t>adamvaughan@example.net</t>
  </si>
  <si>
    <t>Diane Gregory</t>
  </si>
  <si>
    <t>kcook@example.net</t>
  </si>
  <si>
    <t>Shawn Yu</t>
  </si>
  <si>
    <t>debbiebrown@example.net</t>
  </si>
  <si>
    <t>Chase Pittman</t>
  </si>
  <si>
    <t>tonya82@example.net</t>
  </si>
  <si>
    <t>Richard Warren</t>
  </si>
  <si>
    <t>thompsonnancy@example.org</t>
  </si>
  <si>
    <t>Brett Thompson</t>
  </si>
  <si>
    <t>phelpsmichael@example.net</t>
  </si>
  <si>
    <t>Nicole Ward</t>
  </si>
  <si>
    <t>daviskevin@example.com</t>
  </si>
  <si>
    <t>Adam Russell</t>
  </si>
  <si>
    <t>victoriadurham@example.com</t>
  </si>
  <si>
    <t>Kelly Welch</t>
  </si>
  <si>
    <t>ltaylor@example.com</t>
  </si>
  <si>
    <t>Travis Peterson</t>
  </si>
  <si>
    <t>jamie24@example.net</t>
  </si>
  <si>
    <t>Megan Kaiser</t>
  </si>
  <si>
    <t>amy01@example.org</t>
  </si>
  <si>
    <t>Evan Lamb</t>
  </si>
  <si>
    <t>daniellegarcia@example.com</t>
  </si>
  <si>
    <t>Jay Jackson</t>
  </si>
  <si>
    <t>mortonjames@example.net</t>
  </si>
  <si>
    <t>Eric Hodges</t>
  </si>
  <si>
    <t>cainana@example.net</t>
  </si>
  <si>
    <t>Evelyn Williams</t>
  </si>
  <si>
    <t>lisa27@example.net</t>
  </si>
  <si>
    <t>Donald Thomas</t>
  </si>
  <si>
    <t>vwilliams@example.net</t>
  </si>
  <si>
    <t>Eric Lopez</t>
  </si>
  <si>
    <t>colongabrielle@example.com</t>
  </si>
  <si>
    <t>Brittany Anderson</t>
  </si>
  <si>
    <t>qpierce@example.net</t>
  </si>
  <si>
    <t>Anne Anderson</t>
  </si>
  <si>
    <t>ricardomurphy@example.com</t>
  </si>
  <si>
    <t>Valerie Benson</t>
  </si>
  <si>
    <t>gregory57@example.org</t>
  </si>
  <si>
    <t>Nicholas Le</t>
  </si>
  <si>
    <t>zking@example.com</t>
  </si>
  <si>
    <t>James Rice</t>
  </si>
  <si>
    <t>ryandodson@example.org</t>
  </si>
  <si>
    <t>Andrew Carroll</t>
  </si>
  <si>
    <t>derek77@example.com</t>
  </si>
  <si>
    <t>Jerry Taylor</t>
  </si>
  <si>
    <t>zhall@example.org</t>
  </si>
  <si>
    <t>Jeffery Brown</t>
  </si>
  <si>
    <t>tschneider@example.org</t>
  </si>
  <si>
    <t>Margaret Padilla</t>
  </si>
  <si>
    <t>meyershannon@example.org</t>
  </si>
  <si>
    <t>Jennifer Soto</t>
  </si>
  <si>
    <t>edwardmolina@example.com</t>
  </si>
  <si>
    <t>Mrs. Samantha Rivera DDS</t>
  </si>
  <si>
    <t>douglas31@example.net</t>
  </si>
  <si>
    <t>Rodney Daugherty</t>
  </si>
  <si>
    <t>velasqueztaylor@example.com</t>
  </si>
  <si>
    <t>Tiffany Alexander</t>
  </si>
  <si>
    <t>katie44@example.com</t>
  </si>
  <si>
    <t>Samantha Davis</t>
  </si>
  <si>
    <t>marybrown@example.org</t>
  </si>
  <si>
    <t>Laura Walls</t>
  </si>
  <si>
    <t>jonathan12@example.org</t>
  </si>
  <si>
    <t>Amanda Hunt</t>
  </si>
  <si>
    <t>marcus39@example.org</t>
  </si>
  <si>
    <t>Renee Johnson</t>
  </si>
  <si>
    <t>johncasey@example.com</t>
  </si>
  <si>
    <t>Kevin Mendoza</t>
  </si>
  <si>
    <t>sheltontiffany@example.com</t>
  </si>
  <si>
    <t>Barry Welch</t>
  </si>
  <si>
    <t>wendy16@example.org</t>
  </si>
  <si>
    <t>James Cook</t>
  </si>
  <si>
    <t>mooneyjeremiah@example.net</t>
  </si>
  <si>
    <t>Andre Lane</t>
  </si>
  <si>
    <t>msanchez@example.com</t>
  </si>
  <si>
    <t>Keith Brooks</t>
  </si>
  <si>
    <t>colepamela@example.net</t>
  </si>
  <si>
    <t>Jeffrey Hawkins</t>
  </si>
  <si>
    <t>eugenesingleton@example.org</t>
  </si>
  <si>
    <t>Jonathan Chandler</t>
  </si>
  <si>
    <t>williamjones@example.net</t>
  </si>
  <si>
    <t>Anthony Stanley</t>
  </si>
  <si>
    <t>nicholasfields@example.org</t>
  </si>
  <si>
    <t>Whitney Atkins</t>
  </si>
  <si>
    <t>logansusan@example.net</t>
  </si>
  <si>
    <t>Jennifer Russo</t>
  </si>
  <si>
    <t>barkerjohn@example.net</t>
  </si>
  <si>
    <t>Dillon Jones</t>
  </si>
  <si>
    <t>derekcarrillo@example.org</t>
  </si>
  <si>
    <t>Justin Day</t>
  </si>
  <si>
    <t>douglas11@example.net</t>
  </si>
  <si>
    <t>Austin Smith</t>
  </si>
  <si>
    <t>curtis22@example.com</t>
  </si>
  <si>
    <t>Kimberly May</t>
  </si>
  <si>
    <t>timothy64@example.com</t>
  </si>
  <si>
    <t>Christine Crawford</t>
  </si>
  <si>
    <t>alexandramyers@example.net</t>
  </si>
  <si>
    <t>Anna Wade</t>
  </si>
  <si>
    <t>thomasmaldonado@example.com</t>
  </si>
  <si>
    <t>Timothy Johnson</t>
  </si>
  <si>
    <t>cynthia05@example.org</t>
  </si>
  <si>
    <t>Ernest Holden</t>
  </si>
  <si>
    <t>ryanlong@example.org</t>
  </si>
  <si>
    <t>Sharon Lester</t>
  </si>
  <si>
    <t>qmosley@example.net</t>
  </si>
  <si>
    <t>Frank Stanley</t>
  </si>
  <si>
    <t>kyle29@example.com</t>
  </si>
  <si>
    <t>Carolyn Bradley</t>
  </si>
  <si>
    <t>higginsryan@example.com</t>
  </si>
  <si>
    <t>Jennifer Fletcher</t>
  </si>
  <si>
    <t>shannon56@example.net</t>
  </si>
  <si>
    <t>Robert Gill</t>
  </si>
  <si>
    <t>kathleen47@example.net</t>
  </si>
  <si>
    <t>Jennifer Conley</t>
  </si>
  <si>
    <t>nicole24@example.com</t>
  </si>
  <si>
    <t>James Henderson</t>
  </si>
  <si>
    <t>qspencer@example.net</t>
  </si>
  <si>
    <t>Terri Gomez</t>
  </si>
  <si>
    <t>hwalton@example.com</t>
  </si>
  <si>
    <t>Warren Miles</t>
  </si>
  <si>
    <t>rodriguezjohn@example.net</t>
  </si>
  <si>
    <t>Kelly Owen</t>
  </si>
  <si>
    <t>mmiller@example.org</t>
  </si>
  <si>
    <t>Nicole Peterson</t>
  </si>
  <si>
    <t>crivera@example.net</t>
  </si>
  <si>
    <t>Mary Reyes</t>
  </si>
  <si>
    <t>jessica11@example.net</t>
  </si>
  <si>
    <t>Brittany Kim</t>
  </si>
  <si>
    <t>lisawilkerson@example.org</t>
  </si>
  <si>
    <t>Troy Fowler</t>
  </si>
  <si>
    <t>natalie87@example.net</t>
  </si>
  <si>
    <t>Jason Johnson</t>
  </si>
  <si>
    <t>qatkinson@example.com</t>
  </si>
  <si>
    <t>Chad Rojas</t>
  </si>
  <si>
    <t>nathanjohnson@example.org</t>
  </si>
  <si>
    <t>Jeffrey Gonzales</t>
  </si>
  <si>
    <t>michaelhardin@example.com</t>
  </si>
  <si>
    <t>Jeremy Johnson</t>
  </si>
  <si>
    <t>sarah80@example.org</t>
  </si>
  <si>
    <t>Daniel Meza</t>
  </si>
  <si>
    <t>ilee@example.org</t>
  </si>
  <si>
    <t>Misty Whitney</t>
  </si>
  <si>
    <t>christopher60@example.com</t>
  </si>
  <si>
    <t>Sylvia Anderson</t>
  </si>
  <si>
    <t>william95@example.com</t>
  </si>
  <si>
    <t>Alisha Martin</t>
  </si>
  <si>
    <t>lisamcdaniel@example.org</t>
  </si>
  <si>
    <t>David Moss</t>
  </si>
  <si>
    <t>bpeterson@example.com</t>
  </si>
  <si>
    <t>Gary Garcia</t>
  </si>
  <si>
    <t>bartonpaige@example.net</t>
  </si>
  <si>
    <t>Penny Anderson</t>
  </si>
  <si>
    <t>zschultz@example.com</t>
  </si>
  <si>
    <t>Andrea Kaiser</t>
  </si>
  <si>
    <t>marypeck@example.com</t>
  </si>
  <si>
    <t>Daniel Brown</t>
  </si>
  <si>
    <t>webbhaley@example.net</t>
  </si>
  <si>
    <t>Kristin Flores</t>
  </si>
  <si>
    <t>michaelmontes@example.com</t>
  </si>
  <si>
    <t>Micheal West</t>
  </si>
  <si>
    <t>nfleming@example.net</t>
  </si>
  <si>
    <t>Paula Kelly</t>
  </si>
  <si>
    <t>andredonaldson@example.com</t>
  </si>
  <si>
    <t>Andrea Smith</t>
  </si>
  <si>
    <t>timothy83@example.net</t>
  </si>
  <si>
    <t>Antonio Atkins</t>
  </si>
  <si>
    <t>bwilliams@example.com</t>
  </si>
  <si>
    <t>Emily Perry</t>
  </si>
  <si>
    <t>colleen78@example.org</t>
  </si>
  <si>
    <t>Christopher Hansen</t>
  </si>
  <si>
    <t>guzmanricky@example.org</t>
  </si>
  <si>
    <t>Matthew Bender</t>
  </si>
  <si>
    <t>sharon37@example.net</t>
  </si>
  <si>
    <t>Elizabeth Baldwin</t>
  </si>
  <si>
    <t>thomas74@example.org</t>
  </si>
  <si>
    <t>Sarah Perry</t>
  </si>
  <si>
    <t>rachelquinn@example.com</t>
  </si>
  <si>
    <t>Robin Hernandez</t>
  </si>
  <si>
    <t>terrytaylor@example.net</t>
  </si>
  <si>
    <t>Alan Frazier</t>
  </si>
  <si>
    <t>mary88@example.org</t>
  </si>
  <si>
    <t>Heather Hester</t>
  </si>
  <si>
    <t>jamesthompson@example.com</t>
  </si>
  <si>
    <t>Chelsea Johnson</t>
  </si>
  <si>
    <t>pwong@example.org</t>
  </si>
  <si>
    <t>Jason Jenkins</t>
  </si>
  <si>
    <t>gainesanthony@example.com</t>
  </si>
  <si>
    <t>Christopher Hobbs</t>
  </si>
  <si>
    <t>smithharry@example.org</t>
  </si>
  <si>
    <t>Courtney Garcia</t>
  </si>
  <si>
    <t>john76@example.com</t>
  </si>
  <si>
    <t>Kayla Mccullough</t>
  </si>
  <si>
    <t>taylorkaren@example.com</t>
  </si>
  <si>
    <t>Mr. Thomas Arias</t>
  </si>
  <si>
    <t>angelaburns@example.org</t>
  </si>
  <si>
    <t>Danielle Lee</t>
  </si>
  <si>
    <t>allisonbrown@example.com</t>
  </si>
  <si>
    <t>James Thomas</t>
  </si>
  <si>
    <t>adkinslauren@example.net</t>
  </si>
  <si>
    <t>Kenneth Ballard</t>
  </si>
  <si>
    <t>robbinsbelinda@example.net</t>
  </si>
  <si>
    <t>George Chavez</t>
  </si>
  <si>
    <t>mannleroy@example.org</t>
  </si>
  <si>
    <t>Karl Murphy</t>
  </si>
  <si>
    <t>ericnunez@example.com</t>
  </si>
  <si>
    <t>Clayton Beasley</t>
  </si>
  <si>
    <t>jason06@example.org</t>
  </si>
  <si>
    <t>Jennifer Ford</t>
  </si>
  <si>
    <t>sandradavenport@example.org</t>
  </si>
  <si>
    <t>Erin Williams</t>
  </si>
  <si>
    <t>mcneilchristina@example.org</t>
  </si>
  <si>
    <t>Kevin Morton</t>
  </si>
  <si>
    <t>omoore@example.net</t>
  </si>
  <si>
    <t>Victor Hudson</t>
  </si>
  <si>
    <t>schneiderraymond@example.com</t>
  </si>
  <si>
    <t>Anthony Price</t>
  </si>
  <si>
    <t>douglas54@example.com</t>
  </si>
  <si>
    <t>Hailey Cunningham</t>
  </si>
  <si>
    <t>paul20@example.com</t>
  </si>
  <si>
    <t>Carlos Delgado</t>
  </si>
  <si>
    <t>michelleparker@example.net</t>
  </si>
  <si>
    <t>Lori Franco</t>
  </si>
  <si>
    <t>petersrussell@example.org</t>
  </si>
  <si>
    <t>Julian Conner</t>
  </si>
  <si>
    <t>colelisa@example.net</t>
  </si>
  <si>
    <t>Benjamin Phillips</t>
  </si>
  <si>
    <t>prattsue@example.net</t>
  </si>
  <si>
    <t>Debra Valentine</t>
  </si>
  <si>
    <t>victorgonzalez@example.net</t>
  </si>
  <si>
    <t>Samuel Galvan</t>
  </si>
  <si>
    <t>james98@example.net</t>
  </si>
  <si>
    <t>Christian Riddle</t>
  </si>
  <si>
    <t>mgray@example.org</t>
  </si>
  <si>
    <t>James Hall</t>
  </si>
  <si>
    <t>rreed@example.org</t>
  </si>
  <si>
    <t>Robert Woods</t>
  </si>
  <si>
    <t>colematthew@example.com</t>
  </si>
  <si>
    <t>James Pacheco</t>
  </si>
  <si>
    <t>chavezjohn@example.net</t>
  </si>
  <si>
    <t>Jacqueline Randolph</t>
  </si>
  <si>
    <t>bryanjohnson@example.net</t>
  </si>
  <si>
    <t>Russell Phillips</t>
  </si>
  <si>
    <t>shunter@example.org</t>
  </si>
  <si>
    <t>Travis Horton</t>
  </si>
  <si>
    <t>umatthews@example.org</t>
  </si>
  <si>
    <t>Anna Smith</t>
  </si>
  <si>
    <t>smithpaul@example.org</t>
  </si>
  <si>
    <t>Brian Smith</t>
  </si>
  <si>
    <t>andersonkayla@example.com</t>
  </si>
  <si>
    <t>Jason Morris</t>
  </si>
  <si>
    <t>hodgemark@example.net</t>
  </si>
  <si>
    <t>Kimberly Davis</t>
  </si>
  <si>
    <t>karen90@example.net</t>
  </si>
  <si>
    <t>Jill Rosario</t>
  </si>
  <si>
    <t>wcox@example.net</t>
  </si>
  <si>
    <t>Kathryn Thomas</t>
  </si>
  <si>
    <t>markperez@example.com</t>
  </si>
  <si>
    <t>Eric Gardner</t>
  </si>
  <si>
    <t>tcrawford@example.net</t>
  </si>
  <si>
    <t>Shane Torres</t>
  </si>
  <si>
    <t>porterdonna@example.com</t>
  </si>
  <si>
    <t>Mrs. Beverly Myers</t>
  </si>
  <si>
    <t>daniel84@example.org</t>
  </si>
  <si>
    <t>Elijah Moore</t>
  </si>
  <si>
    <t>laurahicks@example.org</t>
  </si>
  <si>
    <t>Michael Davis</t>
  </si>
  <si>
    <t>williegonzalez@example.net</t>
  </si>
  <si>
    <t>Jeffrey Bailey</t>
  </si>
  <si>
    <t>sean69@example.com</t>
  </si>
  <si>
    <t>Leslie Mueller</t>
  </si>
  <si>
    <t>vbradley@example.net</t>
  </si>
  <si>
    <t>Douglas Obrien</t>
  </si>
  <si>
    <t>flopez@example.com</t>
  </si>
  <si>
    <t>Alexis Mccall</t>
  </si>
  <si>
    <t>fhebert@example.com</t>
  </si>
  <si>
    <t>Luis Bartlett</t>
  </si>
  <si>
    <t>kleinjacqueline@example.net</t>
  </si>
  <si>
    <t>Craig Daniels</t>
  </si>
  <si>
    <t>carmenevans@example.org</t>
  </si>
  <si>
    <t>Jeffrey Gonzalez</t>
  </si>
  <si>
    <t>robertgentry@example.org</t>
  </si>
  <si>
    <t>Rebecca Hill</t>
  </si>
  <si>
    <t>berryamy@example.com</t>
  </si>
  <si>
    <t>Krystal Hamilton</t>
  </si>
  <si>
    <t>gordonjason@example.com</t>
  </si>
  <si>
    <t>Jose Palmer</t>
  </si>
  <si>
    <t>fergusontrevor@example.net</t>
  </si>
  <si>
    <t>Steven White</t>
  </si>
  <si>
    <t>davisrachel@example.com</t>
  </si>
  <si>
    <t>Heather Butler</t>
  </si>
  <si>
    <t>whitney22@example.org</t>
  </si>
  <si>
    <t>Stacy Fitzgerald</t>
  </si>
  <si>
    <t>clinejasmine@example.net</t>
  </si>
  <si>
    <t>Christian Rowe</t>
  </si>
  <si>
    <t>rebeccajohnson@example.net</t>
  </si>
  <si>
    <t>Carolyn Johnson</t>
  </si>
  <si>
    <t>michelle57@example.com</t>
  </si>
  <si>
    <t>Nathan Mcgee</t>
  </si>
  <si>
    <t>kwoods@example.com</t>
  </si>
  <si>
    <t>Jason Barrett</t>
  </si>
  <si>
    <t>rperez@example.org</t>
  </si>
  <si>
    <t>Amy Higgins</t>
  </si>
  <si>
    <t>reynoldsmichelle@example.org</t>
  </si>
  <si>
    <t>Grant Wilson</t>
  </si>
  <si>
    <t>rrivers@example.com</t>
  </si>
  <si>
    <t>Jeremy Martinez</t>
  </si>
  <si>
    <t>hphillips@example.net</t>
  </si>
  <si>
    <t>Shane Barnes</t>
  </si>
  <si>
    <t>phillipsryan@example.com</t>
  </si>
  <si>
    <t>Gabriel Reyes</t>
  </si>
  <si>
    <t>mitchelldawn@example.net</t>
  </si>
  <si>
    <t>William Anderson</t>
  </si>
  <si>
    <t>emendoza@example.com</t>
  </si>
  <si>
    <t>Susan Price</t>
  </si>
  <si>
    <t>wilsontina@example.com</t>
  </si>
  <si>
    <t>Ashley Bird</t>
  </si>
  <si>
    <t>shawn88@example.com</t>
  </si>
  <si>
    <t>Melissa Travis</t>
  </si>
  <si>
    <t>daniellechavez@example.net</t>
  </si>
  <si>
    <t>Eric Cooper</t>
  </si>
  <si>
    <t>qfitzgerald@example.org</t>
  </si>
  <si>
    <t>Jamie Lindsey</t>
  </si>
  <si>
    <t>ureed@example.com</t>
  </si>
  <si>
    <t>Barry Wilson</t>
  </si>
  <si>
    <t>qchapman@example.com</t>
  </si>
  <si>
    <t>Hayley Buchanan</t>
  </si>
  <si>
    <t>williamssamuel@example.com</t>
  </si>
  <si>
    <t>Matthew Morris</t>
  </si>
  <si>
    <t>stevegreene@example.org</t>
  </si>
  <si>
    <t>Nicole Middleton DDS</t>
  </si>
  <si>
    <t>codyarnold@example.net</t>
  </si>
  <si>
    <t>Amber Rodriguez</t>
  </si>
  <si>
    <t>williamsdarrell@example.com</t>
  </si>
  <si>
    <t>Lisa King</t>
  </si>
  <si>
    <t>gregory51@example.com</t>
  </si>
  <si>
    <t>Alicia Barrett</t>
  </si>
  <si>
    <t>suzannehill@example.org</t>
  </si>
  <si>
    <t>Martha Ruiz</t>
  </si>
  <si>
    <t>booneryan@example.com</t>
  </si>
  <si>
    <t>Christopher Mcdonald</t>
  </si>
  <si>
    <t>carneysara@example.org</t>
  </si>
  <si>
    <t>Jackson Daniel</t>
  </si>
  <si>
    <t>kelleyglen@example.org</t>
  </si>
  <si>
    <t>Christopher Woods</t>
  </si>
  <si>
    <t>vmelton@example.net</t>
  </si>
  <si>
    <t>Stephanie Rodriguez</t>
  </si>
  <si>
    <t>jasonhernandez@example.org</t>
  </si>
  <si>
    <t>Peggy Carr</t>
  </si>
  <si>
    <t>timothyfreeman@example.com</t>
  </si>
  <si>
    <t>Harold Mckinney</t>
  </si>
  <si>
    <t>rrodriguez@example.net</t>
  </si>
  <si>
    <t>James Taylor</t>
  </si>
  <si>
    <t>joseph21@example.org</t>
  </si>
  <si>
    <t>Brenda Hopkins</t>
  </si>
  <si>
    <t>lovejustin@example.net</t>
  </si>
  <si>
    <t>Ryan Thompson</t>
  </si>
  <si>
    <t>andersoneric@example.net</t>
  </si>
  <si>
    <t>Brandon Munoz</t>
  </si>
  <si>
    <t>pamela83@example.net</t>
  </si>
  <si>
    <t>Matthew Wright</t>
  </si>
  <si>
    <t>elizabeth62@example.net</t>
  </si>
  <si>
    <t>Manuel Sanchez</t>
  </si>
  <si>
    <t>victor87@example.org</t>
  </si>
  <si>
    <t>Sergio Gomez</t>
  </si>
  <si>
    <t>yhill@example.org</t>
  </si>
  <si>
    <t>Jason Randall</t>
  </si>
  <si>
    <t>mccoydonna@example.com</t>
  </si>
  <si>
    <t>Lee Roberts</t>
  </si>
  <si>
    <t>bentondavid@example.org</t>
  </si>
  <si>
    <t>Keith Knox</t>
  </si>
  <si>
    <t>tthomas@example.org</t>
  </si>
  <si>
    <t>Ashley Ramirez</t>
  </si>
  <si>
    <t>berrydebbie@example.net</t>
  </si>
  <si>
    <t>Kathy Calhoun DDS</t>
  </si>
  <si>
    <t>adam17@example.net</t>
  </si>
  <si>
    <t>Melissa Taylor</t>
  </si>
  <si>
    <t>johnsantiago@example.net</t>
  </si>
  <si>
    <t>Heather Blake</t>
  </si>
  <si>
    <t>trevor68@example.org</t>
  </si>
  <si>
    <t>Angela Warren</t>
  </si>
  <si>
    <t>greenmartin@example.org</t>
  </si>
  <si>
    <t>Krista Davis</t>
  </si>
  <si>
    <t>laradonald@example.org</t>
  </si>
  <si>
    <t>Shawn Collins</t>
  </si>
  <si>
    <t>reyesbrianna@example.org</t>
  </si>
  <si>
    <t>Alice Robinson</t>
  </si>
  <si>
    <t>garybernard@example.net</t>
  </si>
  <si>
    <t>Kimberly Smith</t>
  </si>
  <si>
    <t>ehunt@example.net</t>
  </si>
  <si>
    <t>Catherine Keller</t>
  </si>
  <si>
    <t>gary57@example.net</t>
  </si>
  <si>
    <t>Danny Bell MD</t>
  </si>
  <si>
    <t>andrewbrown@example.org</t>
  </si>
  <si>
    <t>Roger Lee</t>
  </si>
  <si>
    <t>daniel60@example.net</t>
  </si>
  <si>
    <t>Kristina Marquez</t>
  </si>
  <si>
    <t>wrightalyssa@example.com</t>
  </si>
  <si>
    <t>Cheryl Foster</t>
  </si>
  <si>
    <t>smithcrystal@example.com</t>
  </si>
  <si>
    <t>Barbara Anderson</t>
  </si>
  <si>
    <t>haileyparker@example.org</t>
  </si>
  <si>
    <t>Austin Hanson</t>
  </si>
  <si>
    <t>brandy77@example.com</t>
  </si>
  <si>
    <t>Kyle Watkins</t>
  </si>
  <si>
    <t>tjensen@example.com</t>
  </si>
  <si>
    <t>Nathan Carter</t>
  </si>
  <si>
    <t>jamietyler@example.com</t>
  </si>
  <si>
    <t>David Anderson</t>
  </si>
  <si>
    <t>stacey25@example.net</t>
  </si>
  <si>
    <t>Nicholas Hernandez</t>
  </si>
  <si>
    <t>sandersnicholas@example.org</t>
  </si>
  <si>
    <t>Brandi Mcclain</t>
  </si>
  <si>
    <t>carpenterjorge@example.net</t>
  </si>
  <si>
    <t>Zachary Johnson</t>
  </si>
  <si>
    <t>dhansen@example.com</t>
  </si>
  <si>
    <t>Thomas Rodriguez</t>
  </si>
  <si>
    <t>christophermiller@example.org</t>
  </si>
  <si>
    <t>Christopher Williams</t>
  </si>
  <si>
    <t>carrie34@example.org</t>
  </si>
  <si>
    <t>Stephanie Mccarthy</t>
  </si>
  <si>
    <t>williamolsen@example.com</t>
  </si>
  <si>
    <t>Wendy Carroll</t>
  </si>
  <si>
    <t>nbaird@example.com</t>
  </si>
  <si>
    <t>Anthony Moore</t>
  </si>
  <si>
    <t>craigjoseph@example.net</t>
  </si>
  <si>
    <t>Tammy Richards</t>
  </si>
  <si>
    <t>madelinebrooks@example.net</t>
  </si>
  <si>
    <t>Lisa Li</t>
  </si>
  <si>
    <t>tracyharrison@example.org</t>
  </si>
  <si>
    <t>Richard Watson</t>
  </si>
  <si>
    <t>carolynnguyen@example.org</t>
  </si>
  <si>
    <t>Robin Hall</t>
  </si>
  <si>
    <t>kristinacarlson@example.com</t>
  </si>
  <si>
    <t>Beth Brown</t>
  </si>
  <si>
    <t>castroralph@example.net</t>
  </si>
  <si>
    <t>Miguel Hernandez</t>
  </si>
  <si>
    <t>davidgonzales@example.com</t>
  </si>
  <si>
    <t>John Golden DDS</t>
  </si>
  <si>
    <t>johnsonanthony@example.net</t>
  </si>
  <si>
    <t>Paige Robinson</t>
  </si>
  <si>
    <t>danny30@example.com</t>
  </si>
  <si>
    <t>Michael Morris</t>
  </si>
  <si>
    <t>katiefloyd@example.org</t>
  </si>
  <si>
    <t>Sally Leon</t>
  </si>
  <si>
    <t>gillronald@example.org</t>
  </si>
  <si>
    <t>Curtis Torres</t>
  </si>
  <si>
    <t>melaniejennings@example.com</t>
  </si>
  <si>
    <t>Anthony Davidson</t>
  </si>
  <si>
    <t>kimberlywang@example.org</t>
  </si>
  <si>
    <t>Angel Hayes</t>
  </si>
  <si>
    <t>matthew11@example.com</t>
  </si>
  <si>
    <t>Anthony Harmon</t>
  </si>
  <si>
    <t>reesethomas@example.com</t>
  </si>
  <si>
    <t>Katherine Browning</t>
  </si>
  <si>
    <t>lammarc@example.org</t>
  </si>
  <si>
    <t>Nancy Cook</t>
  </si>
  <si>
    <t>rachael29@example.net</t>
  </si>
  <si>
    <t>John Morris MD</t>
  </si>
  <si>
    <t>ytorres@example.com</t>
  </si>
  <si>
    <t>Jessica Williams</t>
  </si>
  <si>
    <t>brownkevin@example.org</t>
  </si>
  <si>
    <t>Bryan Roman</t>
  </si>
  <si>
    <t>marisa63@example.com</t>
  </si>
  <si>
    <t>Jeffrey Carter</t>
  </si>
  <si>
    <t>laurakelley@example.org</t>
  </si>
  <si>
    <t>Cassandra Martinez</t>
  </si>
  <si>
    <t>qjackson@example.org</t>
  </si>
  <si>
    <t>Christopher Thomas</t>
  </si>
  <si>
    <t>vjones@example.net</t>
  </si>
  <si>
    <t>Kathy Bailey</t>
  </si>
  <si>
    <t>lpalmer@example.net</t>
  </si>
  <si>
    <t>Michael Robertson</t>
  </si>
  <si>
    <t>brandi19@example.com</t>
  </si>
  <si>
    <t>Bridget Guerrero</t>
  </si>
  <si>
    <t>bowerspatrick@example.com</t>
  </si>
  <si>
    <t>Michael Melton</t>
  </si>
  <si>
    <t>morganandrew@example.com</t>
  </si>
  <si>
    <t>Samuel Smith</t>
  </si>
  <si>
    <t>brendagoodwin@example.net</t>
  </si>
  <si>
    <t>Jonathan Gilbert</t>
  </si>
  <si>
    <t>xobrien@example.org</t>
  </si>
  <si>
    <t>Krista Gray</t>
  </si>
  <si>
    <t>christianwallace@example.net</t>
  </si>
  <si>
    <t>Kimberly Burnett</t>
  </si>
  <si>
    <t>lbrown@example.net</t>
  </si>
  <si>
    <t>Sheena Guerra</t>
  </si>
  <si>
    <t>kevinmartin@example.net</t>
  </si>
  <si>
    <t>Erik Delgado</t>
  </si>
  <si>
    <t>catherine64@example.com</t>
  </si>
  <si>
    <t>Richard Kelly</t>
  </si>
  <si>
    <t>champton@example.org</t>
  </si>
  <si>
    <t>Bryan Sanders</t>
  </si>
  <si>
    <t>hailey26@example.net</t>
  </si>
  <si>
    <t>Jessica Stephens</t>
  </si>
  <si>
    <t>rebekahserrano@example.org</t>
  </si>
  <si>
    <t>Laura Mosley</t>
  </si>
  <si>
    <t>steelejoel@example.org</t>
  </si>
  <si>
    <t>Eugene Sparks</t>
  </si>
  <si>
    <t>elizabethrobertson@example.com</t>
  </si>
  <si>
    <t>Sandra Pope</t>
  </si>
  <si>
    <t>butlersabrina@example.org</t>
  </si>
  <si>
    <t>Dan Jensen</t>
  </si>
  <si>
    <t>matthewwalker@example.com</t>
  </si>
  <si>
    <t>Taylor Pittman</t>
  </si>
  <si>
    <t>danielallen@example.com</t>
  </si>
  <si>
    <t>Luke Alexander</t>
  </si>
  <si>
    <t>sbradley@example.org</t>
  </si>
  <si>
    <t>Matthew Parker</t>
  </si>
  <si>
    <t>anunez@example.com</t>
  </si>
  <si>
    <t>Toni Moreno</t>
  </si>
  <si>
    <t>ingramjessica@example.com</t>
  </si>
  <si>
    <t>Christopher Smith</t>
  </si>
  <si>
    <t>holtpaul@example.com</t>
  </si>
  <si>
    <t>Sandra Hunt</t>
  </si>
  <si>
    <t>ygriffin@example.com</t>
  </si>
  <si>
    <t>gmcdowell@example.org</t>
  </si>
  <si>
    <t>Adam Johnson</t>
  </si>
  <si>
    <t>jonmcdonald@example.org</t>
  </si>
  <si>
    <t>Christopher Parker</t>
  </si>
  <si>
    <t>thomasnancy@example.net</t>
  </si>
  <si>
    <t>Nicole Carson</t>
  </si>
  <si>
    <t>brandybonilla@example.net</t>
  </si>
  <si>
    <t>Holly Stewart</t>
  </si>
  <si>
    <t>ujackson@example.org</t>
  </si>
  <si>
    <t>Becky Young</t>
  </si>
  <si>
    <t>ntodd@example.org</t>
  </si>
  <si>
    <t>Scott Washington</t>
  </si>
  <si>
    <t>linda52@example.org</t>
  </si>
  <si>
    <t>Alexis Barker</t>
  </si>
  <si>
    <t>thomas74@example.net</t>
  </si>
  <si>
    <t>Shannon Bates</t>
  </si>
  <si>
    <t>rburns@example.com</t>
  </si>
  <si>
    <t>Penny Marshall</t>
  </si>
  <si>
    <t>olsonchristina@example.org</t>
  </si>
  <si>
    <t>Jenna Powell</t>
  </si>
  <si>
    <t>fordkathryn@example.net</t>
  </si>
  <si>
    <t>ogeorge@example.com</t>
  </si>
  <si>
    <t>Ronald Morrison</t>
  </si>
  <si>
    <t>lopezchad@example.com</t>
  </si>
  <si>
    <t>Kimberly Gutierrez</t>
  </si>
  <si>
    <t>aprildean@example.com</t>
  </si>
  <si>
    <t>Kathy Sandoval</t>
  </si>
  <si>
    <t>umahoney@example.net</t>
  </si>
  <si>
    <t>Omar Hernandez</t>
  </si>
  <si>
    <t>fvasquez@example.net</t>
  </si>
  <si>
    <t>Taylor Mullins</t>
  </si>
  <si>
    <t>anthonydavis@example.net</t>
  </si>
  <si>
    <t>Elizabeth Sharp</t>
  </si>
  <si>
    <t>greenmichael@example.org</t>
  </si>
  <si>
    <t>Kathleen Morton</t>
  </si>
  <si>
    <t>jeanettekrause@example.org</t>
  </si>
  <si>
    <t>Mrs. Nicole Moreno</t>
  </si>
  <si>
    <t>kelly57@example.net</t>
  </si>
  <si>
    <t>Pamela Matthews</t>
  </si>
  <si>
    <t>kristine53@example.org</t>
  </si>
  <si>
    <t>Susan Khan MD</t>
  </si>
  <si>
    <t>clarence54@example.org</t>
  </si>
  <si>
    <t>Natalie Patrick</t>
  </si>
  <si>
    <t>michaelbuckley@example.org</t>
  </si>
  <si>
    <t>Victoria Guerra</t>
  </si>
  <si>
    <t>kara01@example.org</t>
  </si>
  <si>
    <t>Shelly Alexander</t>
  </si>
  <si>
    <t>jsmith@example.com</t>
  </si>
  <si>
    <t>Kelly Aguirre</t>
  </si>
  <si>
    <t>diazaaron@example.net</t>
  </si>
  <si>
    <t>Kenneth Lopez</t>
  </si>
  <si>
    <t>millsmichael@example.net</t>
  </si>
  <si>
    <t>Suzanne Yang</t>
  </si>
  <si>
    <t>pwalker@example.com</t>
  </si>
  <si>
    <t>Kristen Rowe</t>
  </si>
  <si>
    <t>powens@example.com</t>
  </si>
  <si>
    <t>Breanna Rivas</t>
  </si>
  <si>
    <t>huntchristine@example.com</t>
  </si>
  <si>
    <t>Kathleen Morris</t>
  </si>
  <si>
    <t>matthew92@example.net</t>
  </si>
  <si>
    <t>Michelle Cobb</t>
  </si>
  <si>
    <t>obrienjames@example.net</t>
  </si>
  <si>
    <t>Manuel Jennings</t>
  </si>
  <si>
    <t>johnsondavid@example.com</t>
  </si>
  <si>
    <t>Michael Edwards</t>
  </si>
  <si>
    <t>ctodd@example.net</t>
  </si>
  <si>
    <t>Margaret Lane</t>
  </si>
  <si>
    <t>robinsontiffany@example.com</t>
  </si>
  <si>
    <t>Diana King DDS</t>
  </si>
  <si>
    <t>jose60@example.net</t>
  </si>
  <si>
    <t>Mary Peterson</t>
  </si>
  <si>
    <t>bryan56@example.net</t>
  </si>
  <si>
    <t>Jennifer Nichols</t>
  </si>
  <si>
    <t>parmstrong@example.com</t>
  </si>
  <si>
    <t>Courtney Powers</t>
  </si>
  <si>
    <t>katherinejones@example.com</t>
  </si>
  <si>
    <t>Brandon Rasmussen</t>
  </si>
  <si>
    <t>timothy88@example.org</t>
  </si>
  <si>
    <t>William Murphy</t>
  </si>
  <si>
    <t>kanesarah@example.net</t>
  </si>
  <si>
    <t>Kathleen Ramirez</t>
  </si>
  <si>
    <t>jenniferbutler@example.org</t>
  </si>
  <si>
    <t>Daniel Barrett</t>
  </si>
  <si>
    <t>debra50@example.org</t>
  </si>
  <si>
    <t>Dr. Douglas Ward MD</t>
  </si>
  <si>
    <t>chloe48@example.com</t>
  </si>
  <si>
    <t>Jerry Peters</t>
  </si>
  <si>
    <t>fgarcia@example.com</t>
  </si>
  <si>
    <t>Steven Thomas</t>
  </si>
  <si>
    <t>woodphillip@example.com</t>
  </si>
  <si>
    <t>Mr. Zachary Mora DVM</t>
  </si>
  <si>
    <t>hbowers@example.net</t>
  </si>
  <si>
    <t>Andrew Chavez</t>
  </si>
  <si>
    <t>brianmarquez@example.com</t>
  </si>
  <si>
    <t>Larry Scott</t>
  </si>
  <si>
    <t>bsoto@example.com</t>
  </si>
  <si>
    <t>Shelly Carroll</t>
  </si>
  <si>
    <t>kimberlyevans@example.org</t>
  </si>
  <si>
    <t>Sonya Simmons</t>
  </si>
  <si>
    <t>veronica30@example.org</t>
  </si>
  <si>
    <t>Debbie Watson</t>
  </si>
  <si>
    <t>grayadrian@example.org</t>
  </si>
  <si>
    <t>Wanda Brooks</t>
  </si>
  <si>
    <t>nicholasrush@example.org</t>
  </si>
  <si>
    <t>Peter Haynes</t>
  </si>
  <si>
    <t>phall@example.com</t>
  </si>
  <si>
    <t>William Velez</t>
  </si>
  <si>
    <t>richard28@example.org</t>
  </si>
  <si>
    <t>Gail Mayo</t>
  </si>
  <si>
    <t>vthompson@example.com</t>
  </si>
  <si>
    <t>Jesse Ryan</t>
  </si>
  <si>
    <t>mark98@example.com</t>
  </si>
  <si>
    <t>Jeffrey Hernandez</t>
  </si>
  <si>
    <t>dromero@example.com</t>
  </si>
  <si>
    <t>Leah Bell</t>
  </si>
  <si>
    <t>imartin@example.org</t>
  </si>
  <si>
    <t>Amy Farrell</t>
  </si>
  <si>
    <t>jamesrobinson@example.com</t>
  </si>
  <si>
    <t>Susan Watts</t>
  </si>
  <si>
    <t>arivera@example.org</t>
  </si>
  <si>
    <t>Andrew Kelly</t>
  </si>
  <si>
    <t>josephpreston@example.org</t>
  </si>
  <si>
    <t>Michael Fox</t>
  </si>
  <si>
    <t>abigailhartman@example.org</t>
  </si>
  <si>
    <t>Adam Foley</t>
  </si>
  <si>
    <t>william08@example.net</t>
  </si>
  <si>
    <t>Brendan Zuniga</t>
  </si>
  <si>
    <t>bkelley@example.com</t>
  </si>
  <si>
    <t>John Sanchez</t>
  </si>
  <si>
    <t>courtney10@example.org</t>
  </si>
  <si>
    <t>Amy Campos</t>
  </si>
  <si>
    <t>wmiller@example.net</t>
  </si>
  <si>
    <t>Mary Giles</t>
  </si>
  <si>
    <t>cwhite@example.org</t>
  </si>
  <si>
    <t>Bryan Perry</t>
  </si>
  <si>
    <t>curtis61@example.org</t>
  </si>
  <si>
    <t>Mr. Logan Gregory</t>
  </si>
  <si>
    <t>dhall@example.net</t>
  </si>
  <si>
    <t>Richard Moody</t>
  </si>
  <si>
    <t>jennifer50@example.com</t>
  </si>
  <si>
    <t>James Salinas</t>
  </si>
  <si>
    <t>susan24@example.net</t>
  </si>
  <si>
    <t>James Edwards</t>
  </si>
  <si>
    <t>karenlewis@example.net</t>
  </si>
  <si>
    <t>Pamela Jimenez</t>
  </si>
  <si>
    <t>mooremichael@example.org</t>
  </si>
  <si>
    <t>Courtney Smith</t>
  </si>
  <si>
    <t>opetty@example.com</t>
  </si>
  <si>
    <t>Larry Jackson</t>
  </si>
  <si>
    <t>davidjackson@example.org</t>
  </si>
  <si>
    <t>Christopher King</t>
  </si>
  <si>
    <t>laurarodriguez@example.net</t>
  </si>
  <si>
    <t>Maria Henry</t>
  </si>
  <si>
    <t>jessicabell@example.org</t>
  </si>
  <si>
    <t>Charles Hill</t>
  </si>
  <si>
    <t>wrightcarolyn@example.net</t>
  </si>
  <si>
    <t>Jessica Fowler</t>
  </si>
  <si>
    <t>lbanks@example.net</t>
  </si>
  <si>
    <t>Jon Garza</t>
  </si>
  <si>
    <t>dalton78@example.net</t>
  </si>
  <si>
    <t>Erik Hill</t>
  </si>
  <si>
    <t>uwilliams@example.com</t>
  </si>
  <si>
    <t>Barbara Davis</t>
  </si>
  <si>
    <t>dalejohnson@example.net</t>
  </si>
  <si>
    <t>Cindy Cole</t>
  </si>
  <si>
    <t>cherylnorton@example.com</t>
  </si>
  <si>
    <t>Matthew Miles</t>
  </si>
  <si>
    <t>martinezjesse@example.net</t>
  </si>
  <si>
    <t>Eric Guerrero</t>
  </si>
  <si>
    <t>melanie77@example.org</t>
  </si>
  <si>
    <t>Derrick Buck</t>
  </si>
  <si>
    <t>timothy23@example.net</t>
  </si>
  <si>
    <t>Mitchell Brown</t>
  </si>
  <si>
    <t>theresa05@example.net</t>
  </si>
  <si>
    <t>Larry Reese</t>
  </si>
  <si>
    <t>wilsonpatrick@example.org</t>
  </si>
  <si>
    <t>Grant Munoz</t>
  </si>
  <si>
    <t>jacquelinealvarez@example.com</t>
  </si>
  <si>
    <t>Tony Huerta</t>
  </si>
  <si>
    <t>danielle64@example.com</t>
  </si>
  <si>
    <t>Nancy Quinn</t>
  </si>
  <si>
    <t>simmonschris@example.org</t>
  </si>
  <si>
    <t>Lori Graves</t>
  </si>
  <si>
    <t>hannah31@example.net</t>
  </si>
  <si>
    <t>Sarah Whitney</t>
  </si>
  <si>
    <t>kelsey28@example.net</t>
  </si>
  <si>
    <t>Sierra Williams</t>
  </si>
  <si>
    <t>dakota84@example.net</t>
  </si>
  <si>
    <t>Chris Miller</t>
  </si>
  <si>
    <t>sheilabarnes@example.org</t>
  </si>
  <si>
    <t>Anna Hill</t>
  </si>
  <si>
    <t>youngjamie@example.com</t>
  </si>
  <si>
    <t>Oscar Farmer</t>
  </si>
  <si>
    <t>wstewart@example.net</t>
  </si>
  <si>
    <t>Chris Garza</t>
  </si>
  <si>
    <t>lynchlindsey@example.net</t>
  </si>
  <si>
    <t>Kelly Wallace</t>
  </si>
  <si>
    <t>dominguezlisa@example.com</t>
  </si>
  <si>
    <t>Danielle Skinner</t>
  </si>
  <si>
    <t>maryking@example.com</t>
  </si>
  <si>
    <t>Dennis Jones</t>
  </si>
  <si>
    <t>brandiwilson@example.org</t>
  </si>
  <si>
    <t>Jessica Taylor</t>
  </si>
  <si>
    <t>tsmith@example.org</t>
  </si>
  <si>
    <t>Ashley Roach</t>
  </si>
  <si>
    <t>lisa89@example.net</t>
  </si>
  <si>
    <t>Amanda Clark</t>
  </si>
  <si>
    <t>bennettabigail@example.com</t>
  </si>
  <si>
    <t>Maria Olson</t>
  </si>
  <si>
    <t>imcclain@example.com</t>
  </si>
  <si>
    <t>Allison Grant</t>
  </si>
  <si>
    <t>raymondwilson@example.com</t>
  </si>
  <si>
    <t>Curtis Maynard</t>
  </si>
  <si>
    <t>justin01@example.net</t>
  </si>
  <si>
    <t>Robert Kennedy</t>
  </si>
  <si>
    <t>mullinsjames@example.com</t>
  </si>
  <si>
    <t>Scott Jackson</t>
  </si>
  <si>
    <t>jonathangarcia@example.net</t>
  </si>
  <si>
    <t>Cheryl Berry</t>
  </si>
  <si>
    <t>michael79@example.com</t>
  </si>
  <si>
    <t>Paige Baird</t>
  </si>
  <si>
    <t>sarah17@example.com</t>
  </si>
  <si>
    <t>Lori Taylor</t>
  </si>
  <si>
    <t>michelle95@example.org</t>
  </si>
  <si>
    <t>Mark Mcmahon</t>
  </si>
  <si>
    <t>allen50@example.net</t>
  </si>
  <si>
    <t>Ashley Gardner</t>
  </si>
  <si>
    <t>rvega@example.org</t>
  </si>
  <si>
    <t>Rachel Brown</t>
  </si>
  <si>
    <t>jose56@example.com</t>
  </si>
  <si>
    <t>Jeffery Johnson</t>
  </si>
  <si>
    <t>ywilson@example.org</t>
  </si>
  <si>
    <t>Carmen Meadows</t>
  </si>
  <si>
    <t>osmith@example.net</t>
  </si>
  <si>
    <t>Jennifer Houston</t>
  </si>
  <si>
    <t>thomaskevin@example.net</t>
  </si>
  <si>
    <t>Travis Price</t>
  </si>
  <si>
    <t>stephen69@example.org</t>
  </si>
  <si>
    <t>Amanda Campbell</t>
  </si>
  <si>
    <t>hallkelsey@example.org</t>
  </si>
  <si>
    <t>Carrie Daniels</t>
  </si>
  <si>
    <t>mclaughlinjames@example.org</t>
  </si>
  <si>
    <t>Elizabeth Arellano</t>
  </si>
  <si>
    <t>kathrynsantana@example.net</t>
  </si>
  <si>
    <t>Christina Watkins</t>
  </si>
  <si>
    <t>crossjoshua@example.com</t>
  </si>
  <si>
    <t>Christina Cochran</t>
  </si>
  <si>
    <t>susanharper@example.org</t>
  </si>
  <si>
    <t>Mary Jones</t>
  </si>
  <si>
    <t>udavis@example.net</t>
  </si>
  <si>
    <t>Amanda Gardner</t>
  </si>
  <si>
    <t>banksrenee@example.net</t>
  </si>
  <si>
    <t>Paul Sweeney</t>
  </si>
  <si>
    <t>georgekyle@example.net</t>
  </si>
  <si>
    <t>Kurt Wells</t>
  </si>
  <si>
    <t>tranrobert@example.org</t>
  </si>
  <si>
    <t>Johnny Cruz</t>
  </si>
  <si>
    <t>tburke@example.net</t>
  </si>
  <si>
    <t>Antonio Mccormick</t>
  </si>
  <si>
    <t>courtney86@example.com</t>
  </si>
  <si>
    <t>Anthony Riddle</t>
  </si>
  <si>
    <t>sally78@example.net</t>
  </si>
  <si>
    <t>Jennifer Thompson</t>
  </si>
  <si>
    <t>martinezduane@example.com</t>
  </si>
  <si>
    <t>Michael Jones</t>
  </si>
  <si>
    <t>bakerstacy@example.com</t>
  </si>
  <si>
    <t>Gregory Dalton</t>
  </si>
  <si>
    <t>stephenmartinez@example.net</t>
  </si>
  <si>
    <t>Elizabeth Warren</t>
  </si>
  <si>
    <t>danielglover@example.org</t>
  </si>
  <si>
    <t>Lynn Young</t>
  </si>
  <si>
    <t>todd24@example.org</t>
  </si>
  <si>
    <t>Kevin Thomas</t>
  </si>
  <si>
    <t>kyle62@example.net</t>
  </si>
  <si>
    <t>Todd Lewis</t>
  </si>
  <si>
    <t>katrinaking@example.com</t>
  </si>
  <si>
    <t>Carla Clark</t>
  </si>
  <si>
    <t>johnsonedward@example.net</t>
  </si>
  <si>
    <t>Jennifer Pierce</t>
  </si>
  <si>
    <t>patrick26@example.com</t>
  </si>
  <si>
    <t>Samantha Howard</t>
  </si>
  <si>
    <t>michelle36@example.net</t>
  </si>
  <si>
    <t>Craig Wise</t>
  </si>
  <si>
    <t>davisgregory@example.net</t>
  </si>
  <si>
    <t>Diana Huffman</t>
  </si>
  <si>
    <t>trevormorgan@example.com</t>
  </si>
  <si>
    <t>Katherine Porter DVM</t>
  </si>
  <si>
    <t>rodneynolan@example.com</t>
  </si>
  <si>
    <t>Daniel Bryant</t>
  </si>
  <si>
    <t>lisa28@example.net</t>
  </si>
  <si>
    <t>Laura Pennington</t>
  </si>
  <si>
    <t>david59@example.net</t>
  </si>
  <si>
    <t>Anthony Nichols</t>
  </si>
  <si>
    <t>teresacampbell@example.org</t>
  </si>
  <si>
    <t>Teresa Ramirez</t>
  </si>
  <si>
    <t>josephgibbs@example.net</t>
  </si>
  <si>
    <t>William Brandt</t>
  </si>
  <si>
    <t>donaldmartin@example.net</t>
  </si>
  <si>
    <t>Kevin Berry</t>
  </si>
  <si>
    <t>mcooper@example.com</t>
  </si>
  <si>
    <t>Jonathan Wheeler</t>
  </si>
  <si>
    <t>hatfieldsarah@example.org</t>
  </si>
  <si>
    <t>Anne Hardy</t>
  </si>
  <si>
    <t>hlopez@example.net</t>
  </si>
  <si>
    <t>Amanda Smith</t>
  </si>
  <si>
    <t>stephanie15@example.org</t>
  </si>
  <si>
    <t>Scott Jordan</t>
  </si>
  <si>
    <t>nallen@example.net</t>
  </si>
  <si>
    <t>Laura Gregory</t>
  </si>
  <si>
    <t>nicholasmcgrath@example.net</t>
  </si>
  <si>
    <t>Theresa Harrington</t>
  </si>
  <si>
    <t>twatts@example.com</t>
  </si>
  <si>
    <t>Joseph Horn</t>
  </si>
  <si>
    <t>cheryl54@example.com</t>
  </si>
  <si>
    <t>James Harris</t>
  </si>
  <si>
    <t>jessicasmith@example.org</t>
  </si>
  <si>
    <t>Jacob Jimenez</t>
  </si>
  <si>
    <t>patrick27@example.org</t>
  </si>
  <si>
    <t>Jonathan Smith</t>
  </si>
  <si>
    <t>pmelendez@example.org</t>
  </si>
  <si>
    <t>Mrs. Charlotte Stone MD</t>
  </si>
  <si>
    <t>tfrancis@example.com</t>
  </si>
  <si>
    <t>Ricardo Morris</t>
  </si>
  <si>
    <t>rodriguezrobert@example.com</t>
  </si>
  <si>
    <t>Valerie Norman</t>
  </si>
  <si>
    <t>laurenmathis@example.org</t>
  </si>
  <si>
    <t>Eugene Kirk</t>
  </si>
  <si>
    <t>joseph51@example.net</t>
  </si>
  <si>
    <t>Jesus Becker</t>
  </si>
  <si>
    <t>john92@example.org</t>
  </si>
  <si>
    <t>Lori Green</t>
  </si>
  <si>
    <t>stacyharris@example.org</t>
  </si>
  <si>
    <t>Amy Ramirez</t>
  </si>
  <si>
    <t>jason12@example.org</t>
  </si>
  <si>
    <t>Zachary Vargas PhD</t>
  </si>
  <si>
    <t>alexis63@example.org</t>
  </si>
  <si>
    <t>Cynthia Lambert</t>
  </si>
  <si>
    <t>lauradyer@example.org</t>
  </si>
  <si>
    <t>Anthony Medina</t>
  </si>
  <si>
    <t>kristenwashington@example.org</t>
  </si>
  <si>
    <t>Michelle Munoz</t>
  </si>
  <si>
    <t>chiggins@example.com</t>
  </si>
  <si>
    <t>Morgan Lowery</t>
  </si>
  <si>
    <t>alexandrabrown@example.org</t>
  </si>
  <si>
    <t>Joseph Rhodes</t>
  </si>
  <si>
    <t>thomasrichard@example.net</t>
  </si>
  <si>
    <t>Megan Jones</t>
  </si>
  <si>
    <t>bishopfrank@example.com</t>
  </si>
  <si>
    <t>Chad Brady</t>
  </si>
  <si>
    <t>tiffany62@example.org</t>
  </si>
  <si>
    <t>Charles Smith</t>
  </si>
  <si>
    <t>lorisandoval@example.org</t>
  </si>
  <si>
    <t>Brenda Mitchell</t>
  </si>
  <si>
    <t>ihorton@example.net</t>
  </si>
  <si>
    <t>Mark Gamble</t>
  </si>
  <si>
    <t>laurengutierrez@example.com</t>
  </si>
  <si>
    <t>Keith Jennings</t>
  </si>
  <si>
    <t>lozanojulie@example.com</t>
  </si>
  <si>
    <t>Alexander Rice</t>
  </si>
  <si>
    <t>hscott@example.org</t>
  </si>
  <si>
    <t>Mackenzie Faulkner</t>
  </si>
  <si>
    <t>markramirez@example.com</t>
  </si>
  <si>
    <t>Allison Simmons</t>
  </si>
  <si>
    <t>jnguyen@example.net</t>
  </si>
  <si>
    <t>Jason Gonzalez</t>
  </si>
  <si>
    <t>charlesrichards@example.org</t>
  </si>
  <si>
    <t>Joshua Marsh</t>
  </si>
  <si>
    <t>markduran@example.com</t>
  </si>
  <si>
    <t>Lisa Flynn</t>
  </si>
  <si>
    <t>lee16@example.com</t>
  </si>
  <si>
    <t>Juan Jones</t>
  </si>
  <si>
    <t>russelljesus@example.org</t>
  </si>
  <si>
    <t>Cheryl Adams</t>
  </si>
  <si>
    <t>russojacob@example.net</t>
  </si>
  <si>
    <t>Elizabeth Potter</t>
  </si>
  <si>
    <t>caguilar@example.org</t>
  </si>
  <si>
    <t>Amanda Pace</t>
  </si>
  <si>
    <t>morganharris@example.com</t>
  </si>
  <si>
    <t>Jeanne Lee</t>
  </si>
  <si>
    <t>chad42@example.com</t>
  </si>
  <si>
    <t>John Huffman</t>
  </si>
  <si>
    <t>tbrooks@example.org</t>
  </si>
  <si>
    <t>Tanya Barrett</t>
  </si>
  <si>
    <t>kevincoleman@example.com</t>
  </si>
  <si>
    <t>Stephanie Jackson</t>
  </si>
  <si>
    <t>zwhite@example.net</t>
  </si>
  <si>
    <t>Matthew Smith</t>
  </si>
  <si>
    <t>maria48@example.net</t>
  </si>
  <si>
    <t>Richard Murray</t>
  </si>
  <si>
    <t>beverly97@example.org</t>
  </si>
  <si>
    <t>Keith Mills</t>
  </si>
  <si>
    <t>charlessimmons@example.com</t>
  </si>
  <si>
    <t>Adam Jackson</t>
  </si>
  <si>
    <t>pbruce@example.com</t>
  </si>
  <si>
    <t>David Hudson</t>
  </si>
  <si>
    <t>xcohen@example.org</t>
  </si>
  <si>
    <t>Kevin Morris</t>
  </si>
  <si>
    <t>martinezmindy@example.net</t>
  </si>
  <si>
    <t>Scott Long</t>
  </si>
  <si>
    <t>erivers@example.com</t>
  </si>
  <si>
    <t>Austin Holmes</t>
  </si>
  <si>
    <t>montgomerygeoffrey@example.com</t>
  </si>
  <si>
    <t>Elizabeth Miller</t>
  </si>
  <si>
    <t>jacob69@example.org</t>
  </si>
  <si>
    <t>Betty Williams</t>
  </si>
  <si>
    <t>bauerheather@example.net</t>
  </si>
  <si>
    <t>Henry Rivera</t>
  </si>
  <si>
    <t>smithmonica@example.com</t>
  </si>
  <si>
    <t>Stephanie Combs</t>
  </si>
  <si>
    <t>kellyadam@example.net</t>
  </si>
  <si>
    <t>Samuel Moore</t>
  </si>
  <si>
    <t>crawfordjeffrey@example.com</t>
  </si>
  <si>
    <t>Jesus Randolph</t>
  </si>
  <si>
    <t>davidfields@example.net</t>
  </si>
  <si>
    <t>John Campbell</t>
  </si>
  <si>
    <t>joseph83@example.com</t>
  </si>
  <si>
    <t>Raymond Mccarthy</t>
  </si>
  <si>
    <t>larry85@example.net</t>
  </si>
  <si>
    <t>Anthony Smith</t>
  </si>
  <si>
    <t>rebecca67@example.net</t>
  </si>
  <si>
    <t>Thomas Carter</t>
  </si>
  <si>
    <t>kennedymichael@example.net</t>
  </si>
  <si>
    <t>Jacqueline Winters</t>
  </si>
  <si>
    <t>malikfowler@example.com</t>
  </si>
  <si>
    <t>Jeffrey Edwards</t>
  </si>
  <si>
    <t>herbertward@example.org</t>
  </si>
  <si>
    <t>Kayla Hancock</t>
  </si>
  <si>
    <t>wellsdavid@example.org</t>
  </si>
  <si>
    <t>John Tate</t>
  </si>
  <si>
    <t>lindsay63@example.com</t>
  </si>
  <si>
    <t>Michelle Erickson</t>
  </si>
  <si>
    <t>charles80@example.org</t>
  </si>
  <si>
    <t>Deborah Graves</t>
  </si>
  <si>
    <t>gandrews@example.net</t>
  </si>
  <si>
    <t>Pamela Wheeler</t>
  </si>
  <si>
    <t>qkelly@example.net</t>
  </si>
  <si>
    <t>Tiffany Miller</t>
  </si>
  <si>
    <t>lsmith@example.com</t>
  </si>
  <si>
    <t>Stacey Hunt</t>
  </si>
  <si>
    <t>jennifer83@example.org</t>
  </si>
  <si>
    <t>Christopher Rodriguez</t>
  </si>
  <si>
    <t>fernandoobrien@example.org</t>
  </si>
  <si>
    <t>Dennis White</t>
  </si>
  <si>
    <t>snydermichael@example.org</t>
  </si>
  <si>
    <t>Benjamin Weaver</t>
  </si>
  <si>
    <t>juanfranklin@example.net</t>
  </si>
  <si>
    <t>Shane Mcintyre</t>
  </si>
  <si>
    <t>ryankathryn@example.net</t>
  </si>
  <si>
    <t>Erik Bartlett DVM</t>
  </si>
  <si>
    <t>haileybates@example.org</t>
  </si>
  <si>
    <t>Joshua Cook</t>
  </si>
  <si>
    <t>john43@example.net</t>
  </si>
  <si>
    <t>Kristopher Shannon</t>
  </si>
  <si>
    <t>stephanielittle@example.net</t>
  </si>
  <si>
    <t>Phillip Bennett</t>
  </si>
  <si>
    <t>molly39@example.com</t>
  </si>
  <si>
    <t>Luke Yates</t>
  </si>
  <si>
    <t>millereric@example.net</t>
  </si>
  <si>
    <t>Kyle Flores</t>
  </si>
  <si>
    <t>crystal58@example.net</t>
  </si>
  <si>
    <t>Anthony Neal</t>
  </si>
  <si>
    <t>lmartin@example.org</t>
  </si>
  <si>
    <t>Kenneth Smith</t>
  </si>
  <si>
    <t>tonya99@example.net</t>
  </si>
  <si>
    <t>Kenneth Cooper Jr.</t>
  </si>
  <si>
    <t>sethvance@example.net</t>
  </si>
  <si>
    <t>Eric Brown</t>
  </si>
  <si>
    <t>diazmelissa@example.com</t>
  </si>
  <si>
    <t>Karen Shepard</t>
  </si>
  <si>
    <t>william28@example.org</t>
  </si>
  <si>
    <t>Crystal Williams</t>
  </si>
  <si>
    <t>qtaylor@example.com</t>
  </si>
  <si>
    <t>Jordan Duffy</t>
  </si>
  <si>
    <t>smithlinda@example.com</t>
  </si>
  <si>
    <t>Rhonda Martinez</t>
  </si>
  <si>
    <t>rmiller@example.com</t>
  </si>
  <si>
    <t>Anthony Mooney</t>
  </si>
  <si>
    <t>mitchellchristopher@example.net</t>
  </si>
  <si>
    <t>Jason Foster</t>
  </si>
  <si>
    <t>hyates@example.org</t>
  </si>
  <si>
    <t>Kelly Mclaughlin</t>
  </si>
  <si>
    <t>calhounandrea@example.net</t>
  </si>
  <si>
    <t>David Edwards</t>
  </si>
  <si>
    <t>thomasjohnson@example.net</t>
  </si>
  <si>
    <t>Michelle Kane</t>
  </si>
  <si>
    <t>andersonlaura@example.com</t>
  </si>
  <si>
    <t>Michele Bennett</t>
  </si>
  <si>
    <t>hortonroger@example.org</t>
  </si>
  <si>
    <t>Dylan Raymond</t>
  </si>
  <si>
    <t>laurenchandler@example.com</t>
  </si>
  <si>
    <t>Shane Buchanan</t>
  </si>
  <si>
    <t>jrodriguez@example.org</t>
  </si>
  <si>
    <t>Allison Gibson</t>
  </si>
  <si>
    <t>morgansullivan@example.com</t>
  </si>
  <si>
    <t>Tina Hall</t>
  </si>
  <si>
    <t>lsoto@example.net</t>
  </si>
  <si>
    <t>Erin Green</t>
  </si>
  <si>
    <t>steven17@example.org</t>
  </si>
  <si>
    <t>Brian Harris</t>
  </si>
  <si>
    <t>robertspencer@example.net</t>
  </si>
  <si>
    <t>Ariel Gentry</t>
  </si>
  <si>
    <t>francisco82@example.org</t>
  </si>
  <si>
    <t>Christine Murray</t>
  </si>
  <si>
    <t>benjaminbrown@example.org</t>
  </si>
  <si>
    <t>Michael Weber</t>
  </si>
  <si>
    <t>jenniferwilliams@example.com</t>
  </si>
  <si>
    <t>Kyle Wood</t>
  </si>
  <si>
    <t>srogers@example.org</t>
  </si>
  <si>
    <t>Mary Vega</t>
  </si>
  <si>
    <t>reyesdenise@example.com</t>
  </si>
  <si>
    <t>Heather Thomas</t>
  </si>
  <si>
    <t>sylviaprice@example.com</t>
  </si>
  <si>
    <t>Carla Benton</t>
  </si>
  <si>
    <t>gary24@example.net</t>
  </si>
  <si>
    <t>Kimberly Ellison</t>
  </si>
  <si>
    <t>fitzgeraldlaura@example.org</t>
  </si>
  <si>
    <t>Heather Parrish</t>
  </si>
  <si>
    <t>msparks@example.org</t>
  </si>
  <si>
    <t>William Walton</t>
  </si>
  <si>
    <t>elizabethkramer@example.org</t>
  </si>
  <si>
    <t>Sergio Crawford</t>
  </si>
  <si>
    <t>pageandrew@example.net</t>
  </si>
  <si>
    <t>Melissa Holden</t>
  </si>
  <si>
    <t>melissa95@example.net</t>
  </si>
  <si>
    <t>Philip Martinez</t>
  </si>
  <si>
    <t>charles18@example.com</t>
  </si>
  <si>
    <t>Heather Garcia</t>
  </si>
  <si>
    <t>fpoole@example.org</t>
  </si>
  <si>
    <t>Mary Cowan</t>
  </si>
  <si>
    <t>garywebster@example.org</t>
  </si>
  <si>
    <t>Barbara Herrera</t>
  </si>
  <si>
    <t>morgan69@example.net</t>
  </si>
  <si>
    <t>Bryan King</t>
  </si>
  <si>
    <t>turneralex@example.org</t>
  </si>
  <si>
    <t>Steven West</t>
  </si>
  <si>
    <t>rbennett@example.net</t>
  </si>
  <si>
    <t>Erik Price</t>
  </si>
  <si>
    <t>carrolltracy@example.net</t>
  </si>
  <si>
    <t>Anna Sutton</t>
  </si>
  <si>
    <t>wallssean@example.net</t>
  </si>
  <si>
    <t>Douglas Reyes</t>
  </si>
  <si>
    <t>mburch@example.net</t>
  </si>
  <si>
    <t>Margaret Wood</t>
  </si>
  <si>
    <t>erikabarnes@example.com</t>
  </si>
  <si>
    <t>Cheryl Newman</t>
  </si>
  <si>
    <t>solisbecky@example.org</t>
  </si>
  <si>
    <t>Dawn Hernandez</t>
  </si>
  <si>
    <t>micheleramirez@example.org</t>
  </si>
  <si>
    <t>Elizabeth Kaufman</t>
  </si>
  <si>
    <t>lwilliams@example.com</t>
  </si>
  <si>
    <t>Christopher Lang</t>
  </si>
  <si>
    <t>brian29@example.net</t>
  </si>
  <si>
    <t>William Mueller</t>
  </si>
  <si>
    <t>gnichols@example.net</t>
  </si>
  <si>
    <t>Wendy Anderson</t>
  </si>
  <si>
    <t>thompsoncaitlin@example.com</t>
  </si>
  <si>
    <t>William Barnett</t>
  </si>
  <si>
    <t>eadams@example.org</t>
  </si>
  <si>
    <t>Pamela Ramirez</t>
  </si>
  <si>
    <t>andersoncolin@example.com</t>
  </si>
  <si>
    <t>Mark Michael</t>
  </si>
  <si>
    <t>chaselisa@example.org</t>
  </si>
  <si>
    <t>Margaret Hahn</t>
  </si>
  <si>
    <t>nashmarcus@example.com</t>
  </si>
  <si>
    <t>Daniel Holloway</t>
  </si>
  <si>
    <t>tyler23@example.com</t>
  </si>
  <si>
    <t>Melissa Hall</t>
  </si>
  <si>
    <t>natalie54@example.org</t>
  </si>
  <si>
    <t>Lindsey Sanchez</t>
  </si>
  <si>
    <t>marthaduffy@example.com</t>
  </si>
  <si>
    <t>Caroline David</t>
  </si>
  <si>
    <t>georgeweber@example.net</t>
  </si>
  <si>
    <t>Jillian Sanders</t>
  </si>
  <si>
    <t>birdcaitlin@example.net</t>
  </si>
  <si>
    <t>Mallory Taylor</t>
  </si>
  <si>
    <t>patrickdunn@example.net</t>
  </si>
  <si>
    <t>Brittany Parker</t>
  </si>
  <si>
    <t>kelly08@example.net</t>
  </si>
  <si>
    <t>Adam Thomas</t>
  </si>
  <si>
    <t>summerscassidy@example.org</t>
  </si>
  <si>
    <t>Kylie Sparks</t>
  </si>
  <si>
    <t>gregorylynch@example.com</t>
  </si>
  <si>
    <t>Cesar Woods</t>
  </si>
  <si>
    <t>reneemiller@example.net</t>
  </si>
  <si>
    <t>Stacy Kim</t>
  </si>
  <si>
    <t>christianrichards@example.net</t>
  </si>
  <si>
    <t>Brittany Carr</t>
  </si>
  <si>
    <t>morrowdonald@example.net</t>
  </si>
  <si>
    <t>Bridget Powell</t>
  </si>
  <si>
    <t>paigeweber@example.net</t>
  </si>
  <si>
    <t>Mary Gomez</t>
  </si>
  <si>
    <t>chensley@example.com</t>
  </si>
  <si>
    <t>Aaron Armstrong</t>
  </si>
  <si>
    <t>suarezkrystal@example.com</t>
  </si>
  <si>
    <t>Christopher Gallegos PhD</t>
  </si>
  <si>
    <t>jeremy79@example.net</t>
  </si>
  <si>
    <t>William Miller</t>
  </si>
  <si>
    <t>raymondpugh@example.net</t>
  </si>
  <si>
    <t>Jennifer Monroe</t>
  </si>
  <si>
    <t>michelle12@example.org</t>
  </si>
  <si>
    <t>Catherine Simmons</t>
  </si>
  <si>
    <t>ernestrich@example.net</t>
  </si>
  <si>
    <t>Jamie Wu</t>
  </si>
  <si>
    <t>pattonbryan@example.com</t>
  </si>
  <si>
    <t>Lawrence Wilkinson</t>
  </si>
  <si>
    <t>patriciagonzalez@example.net</t>
  </si>
  <si>
    <t>Eric Rush</t>
  </si>
  <si>
    <t>meagan65@example.com</t>
  </si>
  <si>
    <t>Danielle Gonzalez</t>
  </si>
  <si>
    <t>wlynn@example.org</t>
  </si>
  <si>
    <t>Barry Ramos</t>
  </si>
  <si>
    <t>laura90@example.com</t>
  </si>
  <si>
    <t>Vicki Stokes</t>
  </si>
  <si>
    <t>danielgilmore@example.net</t>
  </si>
  <si>
    <t>Sarah Walters</t>
  </si>
  <si>
    <t>blairshirley@example.org</t>
  </si>
  <si>
    <t>Shelly Gonzalez</t>
  </si>
  <si>
    <t>marissa39@example.com</t>
  </si>
  <si>
    <t>Christopher Hart</t>
  </si>
  <si>
    <t>millerdavid@example.com</t>
  </si>
  <si>
    <t>Tony Lara</t>
  </si>
  <si>
    <t>thenry@example.net</t>
  </si>
  <si>
    <t>Jeff Wilkins</t>
  </si>
  <si>
    <t>lkelly@example.com</t>
  </si>
  <si>
    <t>John Khan</t>
  </si>
  <si>
    <t>danderson@example.org</t>
  </si>
  <si>
    <t>Amy Hayes</t>
  </si>
  <si>
    <t>dmartin@example.com</t>
  </si>
  <si>
    <t>Nathan Brown</t>
  </si>
  <si>
    <t>haynescharles@example.net</t>
  </si>
  <si>
    <t>George Weber</t>
  </si>
  <si>
    <t>justin33@example.org</t>
  </si>
  <si>
    <t>zwilliams@example.com</t>
  </si>
  <si>
    <t>Douglas Weaver</t>
  </si>
  <si>
    <t>lewisalex@example.com</t>
  </si>
  <si>
    <t>John Harris</t>
  </si>
  <si>
    <t>icooper@example.org</t>
  </si>
  <si>
    <t>Raven Mclaughlin</t>
  </si>
  <si>
    <t>barbaramcgrath@example.com</t>
  </si>
  <si>
    <t>Susan Wilson</t>
  </si>
  <si>
    <t>jane39@example.com</t>
  </si>
  <si>
    <t>Michelle Salazar</t>
  </si>
  <si>
    <t>burtonkimberly@example.com</t>
  </si>
  <si>
    <t>Deanna Weeks</t>
  </si>
  <si>
    <t>jamie46@example.net</t>
  </si>
  <si>
    <t>Andrew Reynolds</t>
  </si>
  <si>
    <t>veronicaanderson@example.net</t>
  </si>
  <si>
    <t>Amanda Landry</t>
  </si>
  <si>
    <t>russellramirez@example.net</t>
  </si>
  <si>
    <t>Victor Blake</t>
  </si>
  <si>
    <t>wellsamy@example.org</t>
  </si>
  <si>
    <t>Eileen Valdez</t>
  </si>
  <si>
    <t>luis88@example.org</t>
  </si>
  <si>
    <t>Cheryl Rogers</t>
  </si>
  <si>
    <t>mramirez@example.com</t>
  </si>
  <si>
    <t>Jesse Tucker</t>
  </si>
  <si>
    <t>dhenderson@example.com</t>
  </si>
  <si>
    <t>Christopher Lee</t>
  </si>
  <si>
    <t>maryjohnson@example.com</t>
  </si>
  <si>
    <t>Robert Garrett</t>
  </si>
  <si>
    <t>jimsnyder@example.com</t>
  </si>
  <si>
    <t>Robin Johnson</t>
  </si>
  <si>
    <t>jeremiah56@example.net</t>
  </si>
  <si>
    <t>Bobby Ross</t>
  </si>
  <si>
    <t>thomascassandra@example.org</t>
  </si>
  <si>
    <t>Philip Chambers</t>
  </si>
  <si>
    <t>schaeferscott@example.net</t>
  </si>
  <si>
    <t>Rachel Tucker</t>
  </si>
  <si>
    <t>kellis@example.org</t>
  </si>
  <si>
    <t>Christina Taylor</t>
  </si>
  <si>
    <t>kevinmiller@example.net</t>
  </si>
  <si>
    <t>Mary Butler</t>
  </si>
  <si>
    <t>natalie60@example.net</t>
  </si>
  <si>
    <t>Edward Stanley</t>
  </si>
  <si>
    <t>bgonzalez@example.org</t>
  </si>
  <si>
    <t>Aaron Joyce</t>
  </si>
  <si>
    <t>cooperlaura@example.org</t>
  </si>
  <si>
    <t>Anthony Hendricks</t>
  </si>
  <si>
    <t>coxcarol@example.com</t>
  </si>
  <si>
    <t>Amanda Wilson</t>
  </si>
  <si>
    <t>ibentley@example.org</t>
  </si>
  <si>
    <t>Mrs. Stephanie Newman</t>
  </si>
  <si>
    <t>sandersjames@example.org</t>
  </si>
  <si>
    <t>Caleb Thomas</t>
  </si>
  <si>
    <t>katherine91@example.net</t>
  </si>
  <si>
    <t>Scott Pacheco</t>
  </si>
  <si>
    <t>collinsterrance@example.com</t>
  </si>
  <si>
    <t>Zachary Morgan</t>
  </si>
  <si>
    <t>karen71@example.com</t>
  </si>
  <si>
    <t>Courtney Harris</t>
  </si>
  <si>
    <t>brittney02@example.com</t>
  </si>
  <si>
    <t>Christina Melton</t>
  </si>
  <si>
    <t>ogreer@example.net</t>
  </si>
  <si>
    <t>Brenda Lawrence</t>
  </si>
  <si>
    <t>zunigakevin@example.com</t>
  </si>
  <si>
    <t>Mary Johnson</t>
  </si>
  <si>
    <t>xhill@example.org</t>
  </si>
  <si>
    <t>Joseph Alvarado</t>
  </si>
  <si>
    <t>rhonda99@example.net</t>
  </si>
  <si>
    <t>Lisa Williams</t>
  </si>
  <si>
    <t>sharris@example.org</t>
  </si>
  <si>
    <t>Brian Thompson</t>
  </si>
  <si>
    <t>davisrenee@example.net</t>
  </si>
  <si>
    <t>Kelly Haynes</t>
  </si>
  <si>
    <t>stephen19@example.org</t>
  </si>
  <si>
    <t>John Boone</t>
  </si>
  <si>
    <t>megan51@example.com</t>
  </si>
  <si>
    <t>Angela Gilmore</t>
  </si>
  <si>
    <t>robertsonrenee@example.com</t>
  </si>
  <si>
    <t>Tiffany Henderson</t>
  </si>
  <si>
    <t>hjackson@example.com</t>
  </si>
  <si>
    <t>Carlos Browning</t>
  </si>
  <si>
    <t>julie23@example.org</t>
  </si>
  <si>
    <t>Anthony Jones</t>
  </si>
  <si>
    <t>stantonpatrick@example.net</t>
  </si>
  <si>
    <t>Bianca Mathis</t>
  </si>
  <si>
    <t>shelly20@example.org</t>
  </si>
  <si>
    <t>Jared George</t>
  </si>
  <si>
    <t>pmurphy@example.net</t>
  </si>
  <si>
    <t>Lori Browning</t>
  </si>
  <si>
    <t>veronicarogers@example.net</t>
  </si>
  <si>
    <t>Christopher Jordan</t>
  </si>
  <si>
    <t>victor24@example.com</t>
  </si>
  <si>
    <t>Sharon Lyons</t>
  </si>
  <si>
    <t>wgutierrez@example.com</t>
  </si>
  <si>
    <t>Lori Howard</t>
  </si>
  <si>
    <t>lisarandolph@example.org</t>
  </si>
  <si>
    <t>Nicholas Perez</t>
  </si>
  <si>
    <t>katie15@example.net</t>
  </si>
  <si>
    <t>Shirley Mooney</t>
  </si>
  <si>
    <t>stonebarbara@example.com</t>
  </si>
  <si>
    <t>Melody Lee</t>
  </si>
  <si>
    <t>jedwards@example.com</t>
  </si>
  <si>
    <t>Tracy Burnett</t>
  </si>
  <si>
    <t>bduke@example.org</t>
  </si>
  <si>
    <t>Connie Brown</t>
  </si>
  <si>
    <t>tblankenship@example.net</t>
  </si>
  <si>
    <t>Seth Curry</t>
  </si>
  <si>
    <t>larsonjennifer@example.org</t>
  </si>
  <si>
    <t>Luis Berger</t>
  </si>
  <si>
    <t>james60@example.org</t>
  </si>
  <si>
    <t>Eric Davis</t>
  </si>
  <si>
    <t>ruth80@example.net</t>
  </si>
  <si>
    <t>Alisha Roberts</t>
  </si>
  <si>
    <t>taylorkim@example.net</t>
  </si>
  <si>
    <t>Oscar Ramos</t>
  </si>
  <si>
    <t>bateswilliam@example.org</t>
  </si>
  <si>
    <t>William Little</t>
  </si>
  <si>
    <t>reyestina@example.org</t>
  </si>
  <si>
    <t>Theresa Wilkerson</t>
  </si>
  <si>
    <t>andrewjohnson@example.net</t>
  </si>
  <si>
    <t>Courtney Walsh</t>
  </si>
  <si>
    <t>moorekylie@example.org</t>
  </si>
  <si>
    <t>Timothy Orr</t>
  </si>
  <si>
    <t>jeffrey47@example.net</t>
  </si>
  <si>
    <t>Danielle Moore</t>
  </si>
  <si>
    <t>anthony33@example.org</t>
  </si>
  <si>
    <t>Willie Allen</t>
  </si>
  <si>
    <t>campbellfelicia@example.com</t>
  </si>
  <si>
    <t>Stephanie Gonzalez</t>
  </si>
  <si>
    <t>mariodowns@example.net</t>
  </si>
  <si>
    <t>Lindsey Davis</t>
  </si>
  <si>
    <t>gregory61@example.org</t>
  </si>
  <si>
    <t>Paula Lopez</t>
  </si>
  <si>
    <t>kennethnichols@example.org</t>
  </si>
  <si>
    <t>Adam Wilcox</t>
  </si>
  <si>
    <t>rwhite@example.org</t>
  </si>
  <si>
    <t>Lisa Spencer</t>
  </si>
  <si>
    <t>hollandjustin@example.com</t>
  </si>
  <si>
    <t>Julie Dennis</t>
  </si>
  <si>
    <t>ramoswilliam@example.org</t>
  </si>
  <si>
    <t>Heather Hernandez</t>
  </si>
  <si>
    <t>xwood@example.org</t>
  </si>
  <si>
    <t>Dillon Wiggins</t>
  </si>
  <si>
    <t>hannahpatrick@example.net</t>
  </si>
  <si>
    <t>Richard Williams</t>
  </si>
  <si>
    <t>wilsondavid@example.org</t>
  </si>
  <si>
    <t>Patty Gates</t>
  </si>
  <si>
    <t>qevans@example.org</t>
  </si>
  <si>
    <t>Dylan Jordan</t>
  </si>
  <si>
    <t>nicholaspadilla@example.org</t>
  </si>
  <si>
    <t>Kevin Mason</t>
  </si>
  <si>
    <t>catherinewoods@example.org</t>
  </si>
  <si>
    <t>George Fernandez</t>
  </si>
  <si>
    <t>wmclaughlin@example.net</t>
  </si>
  <si>
    <t>Dr. Mary White DVM</t>
  </si>
  <si>
    <t>monica00@example.org</t>
  </si>
  <si>
    <t>Jennifer Dean</t>
  </si>
  <si>
    <t>sarawilliams@example.com</t>
  </si>
  <si>
    <t>Mrs. Megan Robinson</t>
  </si>
  <si>
    <t>kendra03@example.net</t>
  </si>
  <si>
    <t>Laura Gay</t>
  </si>
  <si>
    <t>clarkbrittney@example.org</t>
  </si>
  <si>
    <t>Erica Avila</t>
  </si>
  <si>
    <t>warebrian@example.net</t>
  </si>
  <si>
    <t>Danielle Mcfarland DVM</t>
  </si>
  <si>
    <t>bellchad@example.org</t>
  </si>
  <si>
    <t>Grand Total</t>
  </si>
  <si>
    <t>#</t>
  </si>
  <si>
    <t>Check</t>
  </si>
  <si>
    <t>Results</t>
  </si>
  <si>
    <t>Total Records</t>
  </si>
  <si>
    <t>Duplicate Ticket ID's</t>
  </si>
  <si>
    <t xml:space="preserve">Blank Order ID's </t>
  </si>
  <si>
    <t>Blank Closed Dates</t>
  </si>
  <si>
    <t>Blank Resolution Minutes</t>
  </si>
  <si>
    <t>Blank Issue Types</t>
  </si>
  <si>
    <t>Blank Status</t>
  </si>
  <si>
    <t>Open Tickets</t>
  </si>
  <si>
    <t>Closed Tickets</t>
  </si>
  <si>
    <t>Pending Tickets</t>
  </si>
  <si>
    <t>Ticket Status</t>
  </si>
  <si>
    <t>In Progress tickets</t>
  </si>
  <si>
    <t>Escalated Tickets</t>
  </si>
  <si>
    <t>Resolved Tickets</t>
  </si>
  <si>
    <t>Total Tickets</t>
  </si>
  <si>
    <t>status_cleaned</t>
  </si>
  <si>
    <t>Pending</t>
  </si>
  <si>
    <t>Status Cleaned</t>
  </si>
  <si>
    <t>Initial validation identified inconsistent ticket status values, including “Resolved,” “Escalated,” and “In Progress,” which created fragmented reporting categories.</t>
  </si>
  <si>
    <t>Validation checks also confirmed:</t>
  </si>
  <si>
    <t>Status Mapping</t>
  </si>
  <si>
    <t>Raw Status</t>
  </si>
  <si>
    <t>Standardized Status</t>
  </si>
  <si>
    <t>Key Findings</t>
  </si>
  <si>
    <t>•</t>
  </si>
  <si>
    <t>- “Resolved” → Closed</t>
  </si>
  <si>
    <t>- “Escalated” and “In Progress” → Open</t>
  </si>
  <si>
    <t>- no duplicate ticket IDs</t>
  </si>
  <si>
    <t>- no missing status values</t>
  </si>
  <si>
    <r>
      <t xml:space="preserve">- missing </t>
    </r>
    <r>
      <rPr>
        <i/>
        <sz val="10"/>
        <color theme="1"/>
        <rFont val="Arial Unicode MS"/>
      </rPr>
      <t>closed_at</t>
    </r>
    <r>
      <rPr>
        <i/>
        <sz val="11"/>
        <color theme="1"/>
        <rFont val="Calibri"/>
        <family val="2"/>
        <scheme val="minor"/>
      </rPr>
      <t xml:space="preserve"> and </t>
    </r>
    <r>
      <rPr>
        <i/>
        <sz val="10"/>
        <color theme="1"/>
        <rFont val="Arial Unicode MS"/>
      </rPr>
      <t>resolution_minutes</t>
    </r>
    <r>
      <rPr>
        <i/>
        <sz val="11"/>
        <color theme="1"/>
        <rFont val="Calibri"/>
        <family val="2"/>
        <scheme val="minor"/>
      </rPr>
      <t xml:space="preserve"> values aligned with unresolved tickets</t>
    </r>
  </si>
  <si>
    <r>
      <t xml:space="preserve">To improve reporting consistency and simplify KPI analysis, raw statuses were standardized into broader business categories using a new </t>
    </r>
    <r>
      <rPr>
        <sz val="10"/>
        <color theme="1"/>
        <rFont val="Arial Unicode MS"/>
      </rPr>
      <t>status_cleaned</t>
    </r>
    <r>
      <rPr>
        <sz val="11"/>
        <color theme="1"/>
        <rFont val="Calibri"/>
        <family val="2"/>
        <scheme val="minor"/>
      </rPr>
      <t xml:space="preserve"> field:</t>
    </r>
  </si>
  <si>
    <r>
      <t xml:space="preserve">Missing </t>
    </r>
    <r>
      <rPr>
        <sz val="10"/>
        <color theme="1"/>
        <rFont val="Arial Unicode MS"/>
      </rPr>
      <t>order_id</t>
    </r>
    <r>
      <rPr>
        <sz val="11"/>
        <color theme="1"/>
        <rFont val="Calibri"/>
        <family val="2"/>
        <scheme val="minor"/>
      </rPr>
      <t xml:space="preserve"> values appeared across all statuses and issue types, suggesting that order references may not be mandatory for all support interactions.</t>
    </r>
  </si>
  <si>
    <t>Closure Rate</t>
  </si>
  <si>
    <t>Closure Rate %</t>
  </si>
  <si>
    <t>Customer Support KPI Dashboard</t>
  </si>
  <si>
    <t>Channel</t>
  </si>
  <si>
    <t>(All)</t>
  </si>
  <si>
    <t>is_closed</t>
  </si>
  <si>
    <t>Month_year</t>
  </si>
  <si>
    <t>month_year</t>
  </si>
  <si>
    <t>year_month_sort</t>
  </si>
  <si>
    <t>month_start</t>
  </si>
  <si>
    <t>Issue Type</t>
  </si>
  <si>
    <t>Priority Level</t>
  </si>
  <si>
    <t>Column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</si>
</sst>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72" formatCode="_(* #,##0_);_(* \(#,##0\);_(* &quot;-&quot;??_);_(@_)"/>
    <numFmt numFmtId="175" formatCode="mmm\ yyyy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Arial Unicode MS"/>
    </font>
    <font>
      <i/>
      <sz val="11"/>
      <color theme="1"/>
      <name val="Calibri"/>
      <family val="2"/>
      <scheme val="minor"/>
    </font>
    <font>
      <i/>
      <sz val="10"/>
      <color theme="1"/>
      <name val="Arial Unicode MS"/>
    </font>
    <font>
      <b/>
      <sz val="15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28"/>
      <color theme="1"/>
      <name val="Calibri"/>
      <family val="2"/>
      <scheme val="minor"/>
    </font>
    <font>
      <sz val="8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  <fill>
      <patternFill patternType="solid">
        <fgColor theme="4"/>
        <bgColor theme="4" tint="0.79998168889431442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5">
    <xf numFmtId="0" fontId="0" fillId="0" borderId="0" xfId="0"/>
    <xf numFmtId="22" fontId="0" fillId="0" borderId="0" xfId="0" applyNumberFormat="1"/>
    <xf numFmtId="0" fontId="0" fillId="0" borderId="11" xfId="0" applyBorder="1"/>
    <xf numFmtId="0" fontId="19" fillId="0" borderId="0" xfId="0" applyFont="1"/>
    <xf numFmtId="0" fontId="19" fillId="0" borderId="0" xfId="0" applyFont="1" applyAlignment="1">
      <alignment horizontal="left" vertical="center" indent="1"/>
    </xf>
    <xf numFmtId="0" fontId="13" fillId="34" borderId="11" xfId="0" applyFont="1" applyFill="1" applyBorder="1"/>
    <xf numFmtId="0" fontId="0" fillId="0" borderId="0" xfId="0" applyFont="1"/>
    <xf numFmtId="0" fontId="0" fillId="0" borderId="0" xfId="0" applyAlignment="1">
      <alignment horizontal="right"/>
    </xf>
    <xf numFmtId="0" fontId="19" fillId="0" borderId="0" xfId="0" quotePrefix="1" applyFont="1" applyAlignment="1">
      <alignment horizontal="left" vertical="center" indent="1"/>
    </xf>
    <xf numFmtId="0" fontId="0" fillId="0" borderId="0" xfId="0" applyBorder="1" applyAlignment="1"/>
    <xf numFmtId="0" fontId="13" fillId="34" borderId="0" xfId="0" applyFont="1" applyFill="1"/>
    <xf numFmtId="0" fontId="17" fillId="34" borderId="0" xfId="0" applyFont="1" applyFill="1" applyBorder="1" applyAlignment="1"/>
    <xf numFmtId="0" fontId="17" fillId="34" borderId="0" xfId="0" applyFont="1" applyFill="1"/>
    <xf numFmtId="0" fontId="0" fillId="0" borderId="0" xfId="0" applyFont="1"/>
    <xf numFmtId="10" fontId="0" fillId="0" borderId="0" xfId="2" applyNumberFormat="1" applyFont="1"/>
    <xf numFmtId="0" fontId="23" fillId="0" borderId="0" xfId="0" applyFont="1" applyBorder="1" applyAlignment="1">
      <alignment horizontal="center" vertical="center"/>
    </xf>
    <xf numFmtId="3" fontId="23" fillId="0" borderId="0" xfId="0" applyNumberFormat="1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6" fillId="33" borderId="14" xfId="0" applyNumberFormat="1" applyFont="1" applyFill="1" applyBorder="1"/>
    <xf numFmtId="10" fontId="16" fillId="33" borderId="14" xfId="2" applyNumberFormat="1" applyFont="1" applyFill="1" applyBorder="1"/>
    <xf numFmtId="172" fontId="0" fillId="0" borderId="0" xfId="0" applyNumberFormat="1"/>
    <xf numFmtId="10" fontId="16" fillId="33" borderId="0" xfId="2" applyNumberFormat="1" applyFont="1" applyFill="1" applyBorder="1"/>
    <xf numFmtId="172" fontId="16" fillId="33" borderId="0" xfId="1" applyNumberFormat="1" applyFont="1" applyFill="1" applyBorder="1"/>
    <xf numFmtId="0" fontId="0" fillId="0" borderId="0" xfId="0" applyBorder="1" applyAlignment="1">
      <alignment horizontal="left"/>
    </xf>
    <xf numFmtId="0" fontId="0" fillId="0" borderId="0" xfId="0" applyNumberFormat="1" applyBorder="1"/>
    <xf numFmtId="10" fontId="0" fillId="0" borderId="0" xfId="2" applyNumberFormat="1" applyFont="1" applyBorder="1"/>
    <xf numFmtId="0" fontId="16" fillId="35" borderId="13" xfId="0" applyFont="1" applyFill="1" applyBorder="1"/>
    <xf numFmtId="175" fontId="0" fillId="0" borderId="0" xfId="0" applyNumberFormat="1"/>
    <xf numFmtId="175" fontId="0" fillId="0" borderId="0" xfId="0" applyNumberFormat="1" applyAlignment="1">
      <alignment horizontal="left"/>
    </xf>
    <xf numFmtId="10" fontId="23" fillId="0" borderId="0" xfId="2" applyNumberFormat="1" applyFont="1" applyBorder="1" applyAlignment="1">
      <alignment horizontal="center" vertical="center"/>
    </xf>
    <xf numFmtId="0" fontId="22" fillId="34" borderId="15" xfId="0" applyFont="1" applyFill="1" applyBorder="1" applyAlignment="1">
      <alignment horizontal="center"/>
    </xf>
    <xf numFmtId="0" fontId="22" fillId="34" borderId="16" xfId="0" applyFont="1" applyFill="1" applyBorder="1" applyAlignment="1">
      <alignment horizontal="center"/>
    </xf>
    <xf numFmtId="0" fontId="22" fillId="34" borderId="17" xfId="0" applyFont="1" applyFill="1" applyBorder="1" applyAlignment="1">
      <alignment horizontal="center"/>
    </xf>
    <xf numFmtId="3" fontId="23" fillId="0" borderId="18" xfId="0" applyNumberFormat="1" applyFont="1" applyBorder="1" applyAlignment="1">
      <alignment horizontal="center" vertical="center"/>
    </xf>
    <xf numFmtId="3" fontId="23" fillId="0" borderId="19" xfId="0" applyNumberFormat="1" applyFont="1" applyBorder="1" applyAlignment="1">
      <alignment horizontal="center" vertical="center"/>
    </xf>
    <xf numFmtId="3" fontId="23" fillId="0" borderId="20" xfId="0" applyNumberFormat="1" applyFont="1" applyBorder="1" applyAlignment="1">
      <alignment horizontal="center" vertical="center"/>
    </xf>
    <xf numFmtId="3" fontId="23" fillId="0" borderId="12" xfId="0" applyNumberFormat="1" applyFont="1" applyBorder="1" applyAlignment="1">
      <alignment horizontal="center" vertical="center"/>
    </xf>
    <xf numFmtId="3" fontId="23" fillId="0" borderId="21" xfId="0" applyNumberFormat="1" applyFont="1" applyBorder="1" applyAlignment="1">
      <alignment horizontal="center" vertical="center"/>
    </xf>
    <xf numFmtId="0" fontId="23" fillId="0" borderId="18" xfId="0" applyFont="1" applyBorder="1" applyAlignment="1">
      <alignment horizontal="center" vertical="center"/>
    </xf>
    <xf numFmtId="0" fontId="23" fillId="0" borderId="19" xfId="0" applyFont="1" applyBorder="1" applyAlignment="1">
      <alignment horizontal="center" vertical="center"/>
    </xf>
    <xf numFmtId="0" fontId="23" fillId="0" borderId="20" xfId="0" applyFont="1" applyBorder="1" applyAlignment="1">
      <alignment horizontal="center" vertical="center"/>
    </xf>
    <xf numFmtId="0" fontId="23" fillId="0" borderId="12" xfId="0" applyFont="1" applyBorder="1" applyAlignment="1">
      <alignment horizontal="center" vertical="center"/>
    </xf>
    <xf numFmtId="0" fontId="23" fillId="0" borderId="21" xfId="0" applyFont="1" applyBorder="1" applyAlignment="1">
      <alignment horizontal="center" vertical="center"/>
    </xf>
    <xf numFmtId="10" fontId="23" fillId="0" borderId="18" xfId="2" applyNumberFormat="1" applyFont="1" applyBorder="1" applyAlignment="1">
      <alignment horizontal="center" vertical="center"/>
    </xf>
    <xf numFmtId="10" fontId="23" fillId="0" borderId="19" xfId="2" applyNumberFormat="1" applyFont="1" applyBorder="1" applyAlignment="1">
      <alignment horizontal="center" vertical="center"/>
    </xf>
    <xf numFmtId="10" fontId="23" fillId="0" borderId="20" xfId="2" applyNumberFormat="1" applyFont="1" applyBorder="1" applyAlignment="1">
      <alignment horizontal="center" vertical="center"/>
    </xf>
    <xf numFmtId="10" fontId="23" fillId="0" borderId="12" xfId="2" applyNumberFormat="1" applyFont="1" applyBorder="1" applyAlignment="1">
      <alignment horizontal="center" vertical="center"/>
    </xf>
    <xf numFmtId="10" fontId="23" fillId="0" borderId="21" xfId="2" applyNumberFormat="1" applyFont="1" applyBorder="1" applyAlignment="1">
      <alignment horizontal="center" vertical="center"/>
    </xf>
    <xf numFmtId="0" fontId="21" fillId="0" borderId="0" xfId="0" applyFont="1" applyAlignment="1">
      <alignment vertical="center"/>
    </xf>
    <xf numFmtId="0" fontId="16" fillId="33" borderId="14" xfId="0" applyFont="1" applyFill="1" applyBorder="1" applyAlignment="1">
      <alignment horizontal="left"/>
    </xf>
    <xf numFmtId="0" fontId="13" fillId="35" borderId="10" xfId="0" applyFont="1" applyFill="1" applyBorder="1"/>
    <xf numFmtId="0" fontId="13" fillId="35" borderId="13" xfId="0" applyFont="1" applyFill="1" applyBorder="1"/>
    <xf numFmtId="0" fontId="0" fillId="0" borderId="0" xfId="0" applyNumberFormat="1" applyAlignment="1">
      <alignment horizontal="center"/>
    </xf>
  </cellXfs>
  <cellStyles count="44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9" builtinId="27" customBuiltin="1"/>
    <cellStyle name="Calculation" xfId="13" builtinId="22" customBuiltin="1"/>
    <cellStyle name="Check Cell" xfId="15" builtinId="23" customBuiltin="1"/>
    <cellStyle name="Comma" xfId="1" builtinId="3"/>
    <cellStyle name="Explanatory Text" xfId="18" builtinId="53" customBuiltin="1"/>
    <cellStyle name="Good" xfId="8" builtinId="26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Input" xfId="11" builtinId="20" customBuiltin="1"/>
    <cellStyle name="Linked Cell" xfId="14" builtinId="24" customBuiltin="1"/>
    <cellStyle name="Neutral" xfId="10" builtinId="28" customBuiltin="1"/>
    <cellStyle name="Normal" xfId="0" builtinId="0"/>
    <cellStyle name="Note" xfId="17" builtinId="10" customBuiltin="1"/>
    <cellStyle name="Output" xfId="12" builtinId="21" customBuiltin="1"/>
    <cellStyle name="Percent" xfId="2" builtinId="5"/>
    <cellStyle name="Title" xfId="3" builtinId="15" customBuiltin="1"/>
    <cellStyle name="Total" xfId="19" builtinId="25" customBuiltin="1"/>
    <cellStyle name="Warning Text" xfId="16" builtinId="11" customBuiltin="1"/>
  </cellStyles>
  <dxfs count="119">
    <dxf>
      <font>
        <color rgb="FFC00000"/>
      </font>
    </dxf>
    <dxf>
      <font>
        <color rgb="FFFFC000"/>
      </font>
    </dxf>
    <dxf>
      <font>
        <color rgb="FFFFC000"/>
      </font>
    </dxf>
    <dxf>
      <font>
        <color rgb="FF00B050"/>
      </font>
    </dxf>
    <dxf>
      <font>
        <color rgb="FF00B050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>
          <bgColor theme="4"/>
        </patternFill>
      </fill>
    </dxf>
    <dxf>
      <fill>
        <patternFill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numFmt numFmtId="172" formatCode="_(* #,##0_);_(* \(#,##0\);_(* &quot;-&quot;??_);_(@_)"/>
    </dxf>
    <dxf>
      <fill>
        <patternFill>
          <bgColor theme="4"/>
        </patternFill>
      </fill>
    </dxf>
    <dxf>
      <fill>
        <patternFill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numFmt numFmtId="172" formatCode="_(* #,##0_);_(* \(#,##0\);_(* &quot;-&quot;??_);_(@_)"/>
    </dxf>
    <dxf>
      <fill>
        <patternFill>
          <bgColor theme="4"/>
        </patternFill>
      </fill>
    </dxf>
    <dxf>
      <fill>
        <patternFill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numFmt numFmtId="172" formatCode="_(* #,##0_);_(* \(#,##0\);_(* &quot;-&quot;??_);_(@_)"/>
    </dxf>
    <dxf>
      <fill>
        <patternFill>
          <bgColor theme="4"/>
        </patternFill>
      </fill>
    </dxf>
    <dxf>
      <fill>
        <patternFill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numFmt numFmtId="172" formatCode="_(* #,##0_);_(* \(#,##0\);_(* &quot;-&quot;??_);_(@_)"/>
    </dxf>
    <dxf>
      <fill>
        <patternFill>
          <bgColor theme="4"/>
        </patternFill>
      </fill>
    </dxf>
    <dxf>
      <fill>
        <patternFill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numFmt numFmtId="172" formatCode="_(* #,##0_);_(* \(#,##0\);_(* &quot;-&quot;??_);_(@_)"/>
    </dxf>
    <dxf>
      <fill>
        <patternFill>
          <bgColor theme="4"/>
        </patternFill>
      </fill>
    </dxf>
    <dxf>
      <fill>
        <patternFill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numFmt numFmtId="172" formatCode="_(* #,##0_);_(* \(#,##0\);_(* &quot;-&quot;??_);_(@_)"/>
    </dxf>
    <dxf>
      <fill>
        <patternFill>
          <bgColor theme="4"/>
        </patternFill>
      </fill>
    </dxf>
    <dxf>
      <fill>
        <patternFill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numFmt numFmtId="175" formatCode="mmm\ yyyy"/>
    </dxf>
    <dxf>
      <numFmt numFmtId="0" formatCode="General"/>
    </dxf>
    <dxf>
      <numFmt numFmtId="0" formatCode="General"/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numFmt numFmtId="172" formatCode="_(* #,##0_);_(* \(#,##0\);_(* &quot;-&quot;??_);_(@_)"/>
    </dxf>
    <dxf>
      <numFmt numFmtId="0" formatCode="General"/>
    </dxf>
    <dxf>
      <numFmt numFmtId="27" formatCode="m/d/yyyy\ h:mm"/>
    </dxf>
    <dxf>
      <numFmt numFmtId="27" formatCode="m/d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[support_ticket_validation.xlsx]Pivot_Analysis!PivotTable3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Ticket Volume</a:t>
            </a:r>
            <a:r>
              <a:rPr lang="en-US" baseline="0"/>
              <a:t> by Channel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2"/>
          </a:solidFill>
          <a:ln>
            <a:noFill/>
          </a:ln>
          <a:effectLst/>
        </c:spPr>
      </c:pivotFmt>
      <c:pivotFmt>
        <c:idx val="4"/>
        <c:spPr>
          <a:solidFill>
            <a:schemeClr val="accent2"/>
          </a:solidFill>
          <a:ln>
            <a:noFill/>
          </a:ln>
          <a:effectLst/>
        </c:spPr>
      </c:pivotFmt>
      <c:pivotFmt>
        <c:idx val="5"/>
        <c:spPr>
          <a:solidFill>
            <a:schemeClr val="accent2"/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Pivot_Analysis!$B$3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3D8-42E6-8EE6-3EB96C8623BA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3D8-42E6-8EE6-3EB96C8623BA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13D8-42E6-8EE6-3EB96C8623B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Pivot_Analysis!$A$4:$A$11</c:f>
              <c:strCache>
                <c:ptCount val="7"/>
                <c:pt idx="0">
                  <c:v>Mobile App</c:v>
                </c:pt>
                <c:pt idx="1">
                  <c:v>Phone</c:v>
                </c:pt>
                <c:pt idx="2">
                  <c:v>Chat</c:v>
                </c:pt>
                <c:pt idx="3">
                  <c:v>Email</c:v>
                </c:pt>
                <c:pt idx="4">
                  <c:v>IVR</c:v>
                </c:pt>
                <c:pt idx="5">
                  <c:v>Web</c:v>
                </c:pt>
                <c:pt idx="6">
                  <c:v>WhatsApp</c:v>
                </c:pt>
              </c:strCache>
            </c:strRef>
          </c:cat>
          <c:val>
            <c:numRef>
              <c:f>Pivot_Analysis!$B$4:$B$11</c:f>
              <c:numCache>
                <c:formatCode>General</c:formatCode>
                <c:ptCount val="7"/>
                <c:pt idx="0">
                  <c:v>234</c:v>
                </c:pt>
                <c:pt idx="1">
                  <c:v>229</c:v>
                </c:pt>
                <c:pt idx="2">
                  <c:v>226</c:v>
                </c:pt>
                <c:pt idx="3">
                  <c:v>209</c:v>
                </c:pt>
                <c:pt idx="4">
                  <c:v>206</c:v>
                </c:pt>
                <c:pt idx="5">
                  <c:v>201</c:v>
                </c:pt>
                <c:pt idx="6">
                  <c:v>195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D8-42E6-8EE6-3EB96C8623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09049311"/>
        <c:axId val="909070911"/>
      </c:barChart>
      <c:catAx>
        <c:axId val="9090493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9070911"/>
        <c:crosses val="autoZero"/>
        <c:auto val="1"/>
        <c:lblAlgn val="ctr"/>
        <c:lblOffset val="100"/>
        <c:noMultiLvlLbl val="0"/>
      </c:catAx>
      <c:valAx>
        <c:axId val="9090709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9049311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Closure Rate by</a:t>
            </a:r>
            <a:r>
              <a:rPr lang="en-US" baseline="0"/>
              <a:t> Channel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2"/>
          <c:tx>
            <c:strRef>
              <c:f>Pivot_Analysis!$L$3</c:f>
              <c:strCache>
                <c:ptCount val="1"/>
                <c:pt idx="0">
                  <c:v>Closure Rate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DE8-43D2-8C05-AA3563D0282B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DDE8-43D2-8C05-AA3563D0282B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DDE8-43D2-8C05-AA3563D0282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Pivot_Analysis!$I$4:$I$10</c:f>
              <c:strCache>
                <c:ptCount val="7"/>
                <c:pt idx="0">
                  <c:v>IVR</c:v>
                </c:pt>
                <c:pt idx="1">
                  <c:v>Web</c:v>
                </c:pt>
                <c:pt idx="2">
                  <c:v>Chat</c:v>
                </c:pt>
                <c:pt idx="3">
                  <c:v>Phone</c:v>
                </c:pt>
                <c:pt idx="4">
                  <c:v>Email</c:v>
                </c:pt>
                <c:pt idx="5">
                  <c:v>WhatsApp</c:v>
                </c:pt>
                <c:pt idx="6">
                  <c:v>Mobile App</c:v>
                </c:pt>
              </c:strCache>
            </c:strRef>
          </c:cat>
          <c:val>
            <c:numRef>
              <c:f>Pivot_Analysis!$L$4:$L$10</c:f>
              <c:numCache>
                <c:formatCode>0.00%</c:formatCode>
                <c:ptCount val="7"/>
                <c:pt idx="0">
                  <c:v>0.62621359223300976</c:v>
                </c:pt>
                <c:pt idx="1">
                  <c:v>0.61194029850746268</c:v>
                </c:pt>
                <c:pt idx="2">
                  <c:v>0.60176991150442483</c:v>
                </c:pt>
                <c:pt idx="3">
                  <c:v>0.58951965065502188</c:v>
                </c:pt>
                <c:pt idx="4">
                  <c:v>0.58851674641148322</c:v>
                </c:pt>
                <c:pt idx="5">
                  <c:v>0.57948717948717954</c:v>
                </c:pt>
                <c:pt idx="6">
                  <c:v>0.55555555555555558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E8-43D2-8C05-AA3563D028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09053151"/>
        <c:axId val="90905363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Pivot_Analysis!$J$3</c15:sqref>
                        </c15:formulaRef>
                      </c:ext>
                    </c:extLst>
                    <c:strCache>
                      <c:ptCount val="1"/>
                      <c:pt idx="0">
                        <c:v>Total Tickets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Pivot_Analysis!$I$4:$I$10</c15:sqref>
                        </c15:formulaRef>
                      </c:ext>
                    </c:extLst>
                    <c:strCache>
                      <c:ptCount val="7"/>
                      <c:pt idx="0">
                        <c:v>IVR</c:v>
                      </c:pt>
                      <c:pt idx="1">
                        <c:v>Web</c:v>
                      </c:pt>
                      <c:pt idx="2">
                        <c:v>Chat</c:v>
                      </c:pt>
                      <c:pt idx="3">
                        <c:v>Phone</c:v>
                      </c:pt>
                      <c:pt idx="4">
                        <c:v>Email</c:v>
                      </c:pt>
                      <c:pt idx="5">
                        <c:v>WhatsApp</c:v>
                      </c:pt>
                      <c:pt idx="6">
                        <c:v>Mobile App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Pivot_Analysis!$J$4:$J$10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206</c:v>
                      </c:pt>
                      <c:pt idx="1">
                        <c:v>201</c:v>
                      </c:pt>
                      <c:pt idx="2">
                        <c:v>226</c:v>
                      </c:pt>
                      <c:pt idx="3">
                        <c:v>229</c:v>
                      </c:pt>
                      <c:pt idx="4">
                        <c:v>209</c:v>
                      </c:pt>
                      <c:pt idx="5">
                        <c:v>195</c:v>
                      </c:pt>
                      <c:pt idx="6">
                        <c:v>234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DDE8-43D2-8C05-AA3563D0282B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Pivot_Analysis!$K$3</c15:sqref>
                        </c15:formulaRef>
                      </c:ext>
                    </c:extLst>
                    <c:strCache>
                      <c:ptCount val="1"/>
                      <c:pt idx="0">
                        <c:v>Closed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Pivot_Analysis!$I$4:$I$10</c15:sqref>
                        </c15:formulaRef>
                      </c:ext>
                    </c:extLst>
                    <c:strCache>
                      <c:ptCount val="7"/>
                      <c:pt idx="0">
                        <c:v>IVR</c:v>
                      </c:pt>
                      <c:pt idx="1">
                        <c:v>Web</c:v>
                      </c:pt>
                      <c:pt idx="2">
                        <c:v>Chat</c:v>
                      </c:pt>
                      <c:pt idx="3">
                        <c:v>Phone</c:v>
                      </c:pt>
                      <c:pt idx="4">
                        <c:v>Email</c:v>
                      </c:pt>
                      <c:pt idx="5">
                        <c:v>WhatsApp</c:v>
                      </c:pt>
                      <c:pt idx="6">
                        <c:v>Mobile App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Pivot_Analysis!$K$4:$K$10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129</c:v>
                      </c:pt>
                      <c:pt idx="1">
                        <c:v>123</c:v>
                      </c:pt>
                      <c:pt idx="2">
                        <c:v>136</c:v>
                      </c:pt>
                      <c:pt idx="3">
                        <c:v>135</c:v>
                      </c:pt>
                      <c:pt idx="4">
                        <c:v>123</c:v>
                      </c:pt>
                      <c:pt idx="5">
                        <c:v>113</c:v>
                      </c:pt>
                      <c:pt idx="6">
                        <c:v>130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DE8-43D2-8C05-AA3563D0282B}"/>
                  </c:ext>
                </c:extLst>
              </c15:ser>
            </c15:filteredBarSeries>
          </c:ext>
        </c:extLst>
      </c:barChart>
      <c:catAx>
        <c:axId val="9090531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9053631"/>
        <c:crosses val="autoZero"/>
        <c:auto val="1"/>
        <c:lblAlgn val="ctr"/>
        <c:lblOffset val="100"/>
        <c:noMultiLvlLbl val="0"/>
      </c:catAx>
      <c:valAx>
        <c:axId val="909053631"/>
        <c:scaling>
          <c:orientation val="minMax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90531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[support_ticket_validation.xlsx]Pivot_Analysis!PivotTable6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</a:t>
            </a:r>
            <a:r>
              <a:rPr lang="en-US" baseline="0"/>
              <a:t> Ticket Volumn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dLbl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dLbl>
      </c:pivotFmt>
      <c:pivotFmt>
        <c:idx val="1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dLbl>
      </c:pivotFmt>
      <c:pivotFmt>
        <c:idx val="1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dLbl>
      </c:pivotFmt>
      <c:pivotFmt>
        <c:idx val="1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dLbl>
      </c:pivotFmt>
      <c:pivotFmt>
        <c:idx val="1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dLbl>
      </c:pivotFmt>
      <c:pivotFmt>
        <c:idx val="1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dLbl>
      </c:pivotFmt>
      <c:pivotFmt>
        <c:idx val="1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dLbl>
      </c:pivotFmt>
    </c:pivotFmts>
    <c:plotArea>
      <c:layout>
        <c:manualLayout>
          <c:layoutTarget val="inner"/>
          <c:xMode val="edge"/>
          <c:yMode val="edge"/>
          <c:x val="2.5000417804917241E-2"/>
          <c:y val="0.15782407407407409"/>
          <c:w val="0.9619383577052868"/>
          <c:h val="0.65580234762321377"/>
        </c:manualLayout>
      </c:layout>
      <c:lineChart>
        <c:grouping val="standard"/>
        <c:varyColors val="0"/>
        <c:ser>
          <c:idx val="0"/>
          <c:order val="0"/>
          <c:tx>
            <c:strRef>
              <c:f>Pivot_Analysis!$B$14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1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F5E2-4EB8-BDE8-DA7C9D171A99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F5E2-4EB8-BDE8-DA7C9D171A9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Pivot_Analysis!$A$15:$A$42</c:f>
              <c:strCache>
                <c:ptCount val="27"/>
                <c:pt idx="0">
                  <c:v>Jan 2024</c:v>
                </c:pt>
                <c:pt idx="1">
                  <c:v>Feb 2024</c:v>
                </c:pt>
                <c:pt idx="2">
                  <c:v>Mar 2024</c:v>
                </c:pt>
                <c:pt idx="3">
                  <c:v>Apr 2024</c:v>
                </c:pt>
                <c:pt idx="4">
                  <c:v>May 2024</c:v>
                </c:pt>
                <c:pt idx="5">
                  <c:v>Jun 2024</c:v>
                </c:pt>
                <c:pt idx="6">
                  <c:v>Jul 2024</c:v>
                </c:pt>
                <c:pt idx="7">
                  <c:v>Aug 2024</c:v>
                </c:pt>
                <c:pt idx="8">
                  <c:v>Sep 2024</c:v>
                </c:pt>
                <c:pt idx="9">
                  <c:v>Oct 2024</c:v>
                </c:pt>
                <c:pt idx="10">
                  <c:v>Nov 2024</c:v>
                </c:pt>
                <c:pt idx="11">
                  <c:v>Dec 2024</c:v>
                </c:pt>
                <c:pt idx="12">
                  <c:v>Jan 2025</c:v>
                </c:pt>
                <c:pt idx="13">
                  <c:v>Feb 2025</c:v>
                </c:pt>
                <c:pt idx="14">
                  <c:v>Mar 2025</c:v>
                </c:pt>
                <c:pt idx="15">
                  <c:v>Apr 2025</c:v>
                </c:pt>
                <c:pt idx="16">
                  <c:v>May 2025</c:v>
                </c:pt>
                <c:pt idx="17">
                  <c:v>Jun 2025</c:v>
                </c:pt>
                <c:pt idx="18">
                  <c:v>Jul 2025</c:v>
                </c:pt>
                <c:pt idx="19">
                  <c:v>Aug 2025</c:v>
                </c:pt>
                <c:pt idx="20">
                  <c:v>Sep 2025</c:v>
                </c:pt>
                <c:pt idx="21">
                  <c:v>Oct 2025</c:v>
                </c:pt>
                <c:pt idx="22">
                  <c:v>Nov 2025</c:v>
                </c:pt>
                <c:pt idx="23">
                  <c:v>Dec 2025</c:v>
                </c:pt>
                <c:pt idx="24">
                  <c:v>Jan 2026</c:v>
                </c:pt>
                <c:pt idx="25">
                  <c:v>Feb 2026</c:v>
                </c:pt>
                <c:pt idx="26">
                  <c:v>Mar 2026</c:v>
                </c:pt>
              </c:strCache>
            </c:strRef>
          </c:cat>
          <c:val>
            <c:numRef>
              <c:f>Pivot_Analysis!$B$15:$B$42</c:f>
              <c:numCache>
                <c:formatCode>General</c:formatCode>
                <c:ptCount val="27"/>
                <c:pt idx="0">
                  <c:v>66</c:v>
                </c:pt>
                <c:pt idx="1">
                  <c:v>57</c:v>
                </c:pt>
                <c:pt idx="2">
                  <c:v>62</c:v>
                </c:pt>
                <c:pt idx="3">
                  <c:v>56</c:v>
                </c:pt>
                <c:pt idx="4">
                  <c:v>45</c:v>
                </c:pt>
                <c:pt idx="5">
                  <c:v>54</c:v>
                </c:pt>
                <c:pt idx="6">
                  <c:v>53</c:v>
                </c:pt>
                <c:pt idx="7">
                  <c:v>60</c:v>
                </c:pt>
                <c:pt idx="8">
                  <c:v>46</c:v>
                </c:pt>
                <c:pt idx="9">
                  <c:v>58</c:v>
                </c:pt>
                <c:pt idx="10">
                  <c:v>56</c:v>
                </c:pt>
                <c:pt idx="11">
                  <c:v>65</c:v>
                </c:pt>
                <c:pt idx="12">
                  <c:v>70</c:v>
                </c:pt>
                <c:pt idx="13">
                  <c:v>44</c:v>
                </c:pt>
                <c:pt idx="14">
                  <c:v>39</c:v>
                </c:pt>
                <c:pt idx="15">
                  <c:v>55</c:v>
                </c:pt>
                <c:pt idx="16">
                  <c:v>54</c:v>
                </c:pt>
                <c:pt idx="17">
                  <c:v>51</c:v>
                </c:pt>
                <c:pt idx="18">
                  <c:v>53</c:v>
                </c:pt>
                <c:pt idx="19">
                  <c:v>60</c:v>
                </c:pt>
                <c:pt idx="20">
                  <c:v>53</c:v>
                </c:pt>
                <c:pt idx="21">
                  <c:v>65</c:v>
                </c:pt>
                <c:pt idx="22">
                  <c:v>64</c:v>
                </c:pt>
                <c:pt idx="23">
                  <c:v>53</c:v>
                </c:pt>
                <c:pt idx="24">
                  <c:v>58</c:v>
                </c:pt>
                <c:pt idx="25">
                  <c:v>49</c:v>
                </c:pt>
                <c:pt idx="26">
                  <c:v>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5E2-4EB8-BDE8-DA7C9D171A99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30059919"/>
        <c:axId val="1330076719"/>
      </c:lineChart>
      <c:catAx>
        <c:axId val="13300599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0076719"/>
        <c:crosses val="autoZero"/>
        <c:auto val="1"/>
        <c:lblAlgn val="ctr"/>
        <c:lblOffset val="100"/>
        <c:noMultiLvlLbl val="0"/>
      </c:catAx>
      <c:valAx>
        <c:axId val="13300767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00599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Closure Rate by Issue Type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Pivot_Analysis!$L$14</c:f>
              <c:strCache>
                <c:ptCount val="1"/>
                <c:pt idx="0">
                  <c:v>Closure Rate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1E3-4B7D-BC2E-F5F359DE0E01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21E3-4B7D-BC2E-F5F359DE0E01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1E3-4B7D-BC2E-F5F359DE0E0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overflow" horzOverflow="overflow" vert="horz" wrap="square" lIns="38100" tIns="19050" rIns="38100" bIns="19050" anchor="t" anchorCtr="0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Pivot_Analysis!$I$15:$I$20</c:f>
              <c:strCache>
                <c:ptCount val="6"/>
                <c:pt idx="0">
                  <c:v>Refund</c:v>
                </c:pt>
                <c:pt idx="1">
                  <c:v>Billing</c:v>
                </c:pt>
                <c:pt idx="2">
                  <c:v>Technical Issue</c:v>
                </c:pt>
                <c:pt idx="3">
                  <c:v>Delivery Delay</c:v>
                </c:pt>
                <c:pt idx="4">
                  <c:v>Account Access</c:v>
                </c:pt>
                <c:pt idx="5">
                  <c:v>Service Quality</c:v>
                </c:pt>
              </c:strCache>
            </c:strRef>
          </c:cat>
          <c:val>
            <c:numRef>
              <c:f>Pivot_Analysis!$L$15:$L$20</c:f>
              <c:numCache>
                <c:formatCode>0.00%</c:formatCode>
                <c:ptCount val="6"/>
                <c:pt idx="0">
                  <c:v>0.61538461538461542</c:v>
                </c:pt>
                <c:pt idx="1">
                  <c:v>0.60079051383399207</c:v>
                </c:pt>
                <c:pt idx="2">
                  <c:v>0.59756097560975607</c:v>
                </c:pt>
                <c:pt idx="3">
                  <c:v>0.59176029962546817</c:v>
                </c:pt>
                <c:pt idx="4">
                  <c:v>0.5852713178294574</c:v>
                </c:pt>
                <c:pt idx="5">
                  <c:v>0.56611570247933884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E3-4B7D-BC2E-F5F359DE0E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30040719"/>
        <c:axId val="1330044079"/>
      </c:barChart>
      <c:catAx>
        <c:axId val="13300407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0044079"/>
        <c:crosses val="autoZero"/>
        <c:auto val="1"/>
        <c:lblAlgn val="ctr"/>
        <c:lblOffset val="100"/>
        <c:noMultiLvlLbl val="0"/>
      </c:catAx>
      <c:valAx>
        <c:axId val="1330044079"/>
        <c:scaling>
          <c:orientation val="minMax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0040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svg"/><Relationship Id="rId3" Type="http://schemas.openxmlformats.org/officeDocument/2006/relationships/chart" Target="../charts/chart3.xml"/><Relationship Id="rId7" Type="http://schemas.openxmlformats.org/officeDocument/2006/relationships/image" Target="../media/image3.png"/><Relationship Id="rId12" Type="http://schemas.openxmlformats.org/officeDocument/2006/relationships/image" Target="../media/image8.sv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2.svg"/><Relationship Id="rId11" Type="http://schemas.openxmlformats.org/officeDocument/2006/relationships/image" Target="../media/image7.png"/><Relationship Id="rId5" Type="http://schemas.openxmlformats.org/officeDocument/2006/relationships/image" Target="../media/image1.png"/><Relationship Id="rId10" Type="http://schemas.openxmlformats.org/officeDocument/2006/relationships/image" Target="../media/image6.svg"/><Relationship Id="rId4" Type="http://schemas.openxmlformats.org/officeDocument/2006/relationships/chart" Target="../charts/chart4.xml"/><Relationship Id="rId9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6</xdr:row>
      <xdr:rowOff>9525</xdr:rowOff>
    </xdr:from>
    <xdr:to>
      <xdr:col>7</xdr:col>
      <xdr:colOff>0</xdr:colOff>
      <xdr:row>20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F317AD4-B09D-405A-8AA7-AA76BDE512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76200</xdr:colOff>
      <xdr:row>6</xdr:row>
      <xdr:rowOff>9525</xdr:rowOff>
    </xdr:from>
    <xdr:to>
      <xdr:col>13</xdr:col>
      <xdr:colOff>371474</xdr:colOff>
      <xdr:row>20</xdr:row>
      <xdr:rowOff>85725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B25A557-12E2-4F37-8F0E-16A13DE732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9524</xdr:colOff>
      <xdr:row>20</xdr:row>
      <xdr:rowOff>161925</xdr:rowOff>
    </xdr:from>
    <xdr:to>
      <xdr:col>19</xdr:col>
      <xdr:colOff>609599</xdr:colOff>
      <xdr:row>35</xdr:row>
      <xdr:rowOff>47625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8B7C406-EE91-4D05-AD08-0A3B4B2010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447675</xdr:colOff>
      <xdr:row>6</xdr:row>
      <xdr:rowOff>9525</xdr:rowOff>
    </xdr:from>
    <xdr:to>
      <xdr:col>19</xdr:col>
      <xdr:colOff>600075</xdr:colOff>
      <xdr:row>20</xdr:row>
      <xdr:rowOff>85725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9F7652D-E989-4A1A-927C-B9ACBC7371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9524</xdr:colOff>
      <xdr:row>2</xdr:row>
      <xdr:rowOff>9524</xdr:rowOff>
    </xdr:from>
    <xdr:to>
      <xdr:col>1</xdr:col>
      <xdr:colOff>571499</xdr:colOff>
      <xdr:row>4</xdr:row>
      <xdr:rowOff>190499</xdr:rowOff>
    </xdr:to>
    <xdr:pic>
      <xdr:nvPicPr>
        <xdr:cNvPr id="7" name="Graphic 6" descr="List with solid fill">
          <a:extLst>
            <a:ext uri="{FF2B5EF4-FFF2-40B4-BE49-F238E27FC236}">
              <a16:creationId xmlns:a16="http://schemas.microsoft.com/office/drawing/2014/main" id="{9D70DC37-AB8E-BFD2-616D-0230FD7147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266699" y="609599"/>
          <a:ext cx="561975" cy="561975"/>
        </a:xfrm>
        <a:prstGeom prst="rect">
          <a:avLst/>
        </a:prstGeom>
      </xdr:spPr>
    </xdr:pic>
    <xdr:clientData/>
  </xdr:twoCellAnchor>
  <xdr:twoCellAnchor editAs="oneCell">
    <xdr:from>
      <xdr:col>13</xdr:col>
      <xdr:colOff>9524</xdr:colOff>
      <xdr:row>2</xdr:row>
      <xdr:rowOff>19050</xdr:rowOff>
    </xdr:from>
    <xdr:to>
      <xdr:col>13</xdr:col>
      <xdr:colOff>561975</xdr:colOff>
      <xdr:row>5</xdr:row>
      <xdr:rowOff>9526</xdr:rowOff>
    </xdr:to>
    <xdr:pic>
      <xdr:nvPicPr>
        <xdr:cNvPr id="9" name="Graphic 8" descr="Bullseye with solid fill">
          <a:extLst>
            <a:ext uri="{FF2B5EF4-FFF2-40B4-BE49-F238E27FC236}">
              <a16:creationId xmlns:a16="http://schemas.microsoft.com/office/drawing/2014/main" id="{A1CD3BF1-FA55-EC60-657E-6083CB2783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7677149" y="619125"/>
          <a:ext cx="552451" cy="561976"/>
        </a:xfrm>
        <a:prstGeom prst="rect">
          <a:avLst/>
        </a:prstGeom>
      </xdr:spPr>
    </xdr:pic>
    <xdr:clientData/>
  </xdr:twoCellAnchor>
  <xdr:twoCellAnchor editAs="oneCell">
    <xdr:from>
      <xdr:col>5</xdr:col>
      <xdr:colOff>9525</xdr:colOff>
      <xdr:row>2</xdr:row>
      <xdr:rowOff>19050</xdr:rowOff>
    </xdr:from>
    <xdr:to>
      <xdr:col>5</xdr:col>
      <xdr:colOff>571500</xdr:colOff>
      <xdr:row>5</xdr:row>
      <xdr:rowOff>0</xdr:rowOff>
    </xdr:to>
    <xdr:pic>
      <xdr:nvPicPr>
        <xdr:cNvPr id="11" name="Graphic 10" descr="Target with solid fill">
          <a:extLst>
            <a:ext uri="{FF2B5EF4-FFF2-40B4-BE49-F238E27FC236}">
              <a16:creationId xmlns:a16="http://schemas.microsoft.com/office/drawing/2014/main" id="{B139AE40-E18F-363F-C6FC-704840F57C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2867025" y="619125"/>
          <a:ext cx="561975" cy="552450"/>
        </a:xfrm>
        <a:prstGeom prst="rect">
          <a:avLst/>
        </a:prstGeom>
      </xdr:spPr>
    </xdr:pic>
    <xdr:clientData/>
  </xdr:twoCellAnchor>
  <xdr:twoCellAnchor editAs="oneCell">
    <xdr:from>
      <xdr:col>9</xdr:col>
      <xdr:colOff>9524</xdr:colOff>
      <xdr:row>2</xdr:row>
      <xdr:rowOff>9524</xdr:rowOff>
    </xdr:from>
    <xdr:to>
      <xdr:col>9</xdr:col>
      <xdr:colOff>561975</xdr:colOff>
      <xdr:row>4</xdr:row>
      <xdr:rowOff>190499</xdr:rowOff>
    </xdr:to>
    <xdr:pic>
      <xdr:nvPicPr>
        <xdr:cNvPr id="13" name="Graphic 12" descr="Clock with solid fill">
          <a:extLst>
            <a:ext uri="{FF2B5EF4-FFF2-40B4-BE49-F238E27FC236}">
              <a16:creationId xmlns:a16="http://schemas.microsoft.com/office/drawing/2014/main" id="{8297D447-843F-B985-E701-2D72CB06CB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5267324" y="609599"/>
          <a:ext cx="552451" cy="561975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liwagan Gino Rosano N." refreshedDate="46156.698704050927" createdVersion="8" refreshedVersion="8" minRefreshableVersion="3" recordCount="1500" xr:uid="{F8439D75-7F4D-4AA2-8ECA-B68DAED4F176}">
  <cacheSource type="worksheet">
    <worksheetSource name="support_tickets"/>
  </cacheSource>
  <cacheFields count="27">
    <cacheField name="ticket_id" numFmtId="0">
      <sharedItems containsSemiMixedTypes="0" containsString="0" containsNumber="1" containsInteger="1" minValue="1004123145" maxValue="9991188986"/>
    </cacheField>
    <cacheField name="customer_id" numFmtId="0">
      <sharedItems containsSemiMixedTypes="0" containsString="0" containsNumber="1" containsInteger="1" minValue="101679695" maxValue="999371401"/>
    </cacheField>
    <cacheField name="customer_name" numFmtId="0">
      <sharedItems/>
    </cacheField>
    <cacheField name="Email" numFmtId="0">
      <sharedItems/>
    </cacheField>
    <cacheField name="agent_id" numFmtId="0">
      <sharedItems containsSemiMixedTypes="0" containsString="0" containsNumber="1" containsInteger="1" minValue="10076758" maxValue="99949389"/>
    </cacheField>
    <cacheField name="order_id" numFmtId="0">
      <sharedItems containsString="0" containsBlank="1" containsNumber="1" containsInteger="1" minValue="1021537349" maxValue="9985032096"/>
    </cacheField>
    <cacheField name="opened_at" numFmtId="22">
      <sharedItems containsSemiMixedTypes="0" containsNonDate="0" containsDate="1" containsString="0" minDate="2024-01-02T02:46:56" maxDate="2026-03-31T06:00:07" count="1500">
        <d v="2026-01-20T19:54:42"/>
        <d v="2024-10-11T05:27:43"/>
        <d v="2024-04-22T21:30:51"/>
        <d v="2024-09-21T08:26:01"/>
        <d v="2025-11-07T09:12:34"/>
        <d v="2025-05-01T20:53:28"/>
        <d v="2025-11-18T11:45:12"/>
        <d v="2025-04-12T10:32:16"/>
        <d v="2024-02-26T10:59:01"/>
        <d v="2025-10-16T11:54:05"/>
        <d v="2025-04-26T06:36:35"/>
        <d v="2025-04-13T12:39:36"/>
        <d v="2025-09-13T10:16:02"/>
        <d v="2026-03-18T04:26:01"/>
        <d v="2025-05-09T18:10:25"/>
        <d v="2025-11-09T20:34:34"/>
        <d v="2024-11-13T22:38:37"/>
        <d v="2024-12-02T22:50:52"/>
        <d v="2024-04-24T07:36:06"/>
        <d v="2025-07-24T18:47:40"/>
        <d v="2025-02-07T15:10:00"/>
        <d v="2024-03-11T08:39:35"/>
        <d v="2025-11-06T00:57:09"/>
        <d v="2024-12-05T17:40:08"/>
        <d v="2026-03-07T11:20:18"/>
        <d v="2025-01-25T10:13:04"/>
        <d v="2024-01-04T11:38:56"/>
        <d v="2024-01-20T03:43:00"/>
        <d v="2025-10-06T02:59:55"/>
        <d v="2025-11-20T01:55:48"/>
        <d v="2024-08-28T01:27:50"/>
        <d v="2024-12-06T19:22:57"/>
        <d v="2025-11-16T20:21:54"/>
        <d v="2025-06-04T19:42:35"/>
        <d v="2025-10-14T18:41:48"/>
        <d v="2024-01-06T10:54:10"/>
        <d v="2025-10-08T15:38:33"/>
        <d v="2024-10-18T19:06:14"/>
        <d v="2025-10-11T04:36:10"/>
        <d v="2024-04-11T03:06:26"/>
        <d v="2024-01-07T11:51:50"/>
        <d v="2024-11-02T10:53:11"/>
        <d v="2024-01-27T18:48:27"/>
        <d v="2025-03-01T03:42:05"/>
        <d v="2025-04-12T16:40:07"/>
        <d v="2025-12-27T11:26:50"/>
        <d v="2025-01-01T05:30:10"/>
        <d v="2026-03-30T02:37:58"/>
        <d v="2025-05-27T10:40:09"/>
        <d v="2025-03-04T22:56:24"/>
        <d v="2024-03-10T02:09:42"/>
        <d v="2024-02-04T14:09:28"/>
        <d v="2024-02-08T18:05:45"/>
        <d v="2024-10-27T06:05:30"/>
        <d v="2024-01-13T07:21:46"/>
        <d v="2025-05-13T01:35:11"/>
        <d v="2025-08-24T19:47:10"/>
        <d v="2026-03-25T03:46:00"/>
        <d v="2025-08-14T07:26:11"/>
        <d v="2025-11-03T10:22:32"/>
        <d v="2024-08-09T10:17:38"/>
        <d v="2024-10-17T00:21:56"/>
        <d v="2025-01-21T17:23:09"/>
        <d v="2025-11-26T13:43:58"/>
        <d v="2024-10-17T03:41:33"/>
        <d v="2024-07-15T11:02:30"/>
        <d v="2024-11-20T15:54:51"/>
        <d v="2024-09-08T13:29:47"/>
        <d v="2024-04-10T08:39:20"/>
        <d v="2025-08-19T09:41:45"/>
        <d v="2025-06-12T16:11:46"/>
        <d v="2025-11-16T02:40:19"/>
        <d v="2024-08-14T01:50:00"/>
        <d v="2025-07-05T21:51:57"/>
        <d v="2025-12-10T22:25:34"/>
        <d v="2025-07-26T10:34:56"/>
        <d v="2024-11-16T15:23:09"/>
        <d v="2024-04-15T02:38:41"/>
        <d v="2024-12-03T01:06:14"/>
        <d v="2024-05-26T12:18:32"/>
        <d v="2024-03-08T11:10:02"/>
        <d v="2025-03-05T14:51:58"/>
        <d v="2025-04-25T05:43:09"/>
        <d v="2025-08-22T11:49:58"/>
        <d v="2025-07-07T09:12:07"/>
        <d v="2025-01-27T04:58:36"/>
        <d v="2025-09-05T06:34:05"/>
        <d v="2025-12-15T19:24:09"/>
        <d v="2024-12-08T12:37:50"/>
        <d v="2025-08-04T06:37:23"/>
        <d v="2025-01-21T07:16:40"/>
        <d v="2024-08-29T23:07:31"/>
        <d v="2026-03-20T10:51:07"/>
        <d v="2025-03-23T04:32:49"/>
        <d v="2024-04-25T18:21:12"/>
        <d v="2024-02-20T20:54:21"/>
        <d v="2025-08-26T11:16:48"/>
        <d v="2025-09-28T14:36:13"/>
        <d v="2024-12-04T05:17:04"/>
        <d v="2025-01-18T21:02:37"/>
        <d v="2026-02-09T04:26:57"/>
        <d v="2025-04-04T07:59:54"/>
        <d v="2025-04-02T23:42:23"/>
        <d v="2025-01-28T03:45:47"/>
        <d v="2024-01-08T00:22:06"/>
        <d v="2025-06-25T12:49:01"/>
        <d v="2025-11-24T19:19:19"/>
        <d v="2025-12-16T12:00:56"/>
        <d v="2024-01-28T14:46:03"/>
        <d v="2024-12-22T13:53:54"/>
        <d v="2024-05-12T19:08:17"/>
        <d v="2024-02-03T05:27:37"/>
        <d v="2025-01-03T19:54:05"/>
        <d v="2024-10-24T15:15:22"/>
        <d v="2025-03-12T11:42:29"/>
        <d v="2024-09-20T19:46:46"/>
        <d v="2024-08-26T01:52:30"/>
        <d v="2025-02-24T22:21:22"/>
        <d v="2025-05-09T18:46:34"/>
        <d v="2024-08-12T13:34:49"/>
        <d v="2024-08-12T01:38:47"/>
        <d v="2024-02-26T09:55:06"/>
        <d v="2024-04-30T21:44:35"/>
        <d v="2024-07-13T12:42:20"/>
        <d v="2025-01-24T13:03:30"/>
        <d v="2024-11-23T01:47:38"/>
        <d v="2025-11-09T14:29:55"/>
        <d v="2025-09-14T07:28:42"/>
        <d v="2024-10-11T01:17:53"/>
        <d v="2026-02-21T05:26:56"/>
        <d v="2024-08-19T18:38:34"/>
        <d v="2024-07-16T01:41:54"/>
        <d v="2026-02-14T10:19:31"/>
        <d v="2025-01-24T15:21:33"/>
        <d v="2024-09-05T22:26:23"/>
        <d v="2025-09-08T00:43:54"/>
        <d v="2025-05-07T18:02:18"/>
        <d v="2026-02-21T09:51:54"/>
        <d v="2024-08-26T16:53:45"/>
        <d v="2024-09-18T01:08:38"/>
        <d v="2025-06-08T12:29:13"/>
        <d v="2024-03-25T12:21:22"/>
        <d v="2024-02-15T15:44:36"/>
        <d v="2024-01-23T06:16:04"/>
        <d v="2024-12-04T13:50:42"/>
        <d v="2024-07-24T21:15:26"/>
        <d v="2025-07-30T00:20:23"/>
        <d v="2024-01-19T06:47:48"/>
        <d v="2026-01-19T09:23:04"/>
        <d v="2024-10-07T16:48:23"/>
        <d v="2025-12-01T00:14:46"/>
        <d v="2025-07-13T10:07:25"/>
        <d v="2025-06-14T16:49:01"/>
        <d v="2025-05-11T06:06:11"/>
        <d v="2024-12-07T08:41:17"/>
        <d v="2025-02-15T08:49:43"/>
        <d v="2025-06-19T06:24:20"/>
        <d v="2024-01-17T14:11:22"/>
        <d v="2024-06-15T07:56:03"/>
        <d v="2026-03-06T03:58:38"/>
        <d v="2025-09-12T04:27:01"/>
        <d v="2024-01-23T07:57:00"/>
        <d v="2025-08-18T22:11:04"/>
        <d v="2025-01-06T08:40:46"/>
        <d v="2024-07-19T13:28:23"/>
        <d v="2026-01-31T02:17:30"/>
        <d v="2026-02-21T00:31:23"/>
        <d v="2026-03-27T07:13:01"/>
        <d v="2025-03-21T11:40:27"/>
        <d v="2024-06-02T07:06:03"/>
        <d v="2024-04-08T22:25:19"/>
        <d v="2024-08-16T11:55:00"/>
        <d v="2025-02-05T10:55:10"/>
        <d v="2025-10-25T18:20:32"/>
        <d v="2025-12-04T21:56:12"/>
        <d v="2025-05-14T15:51:22"/>
        <d v="2025-07-15T01:43:08"/>
        <d v="2025-06-30T00:15:53"/>
        <d v="2024-03-16T16:38:02"/>
        <d v="2024-12-29T02:33:47"/>
        <d v="2025-04-27T08:36:35"/>
        <d v="2024-01-19T07:44:41"/>
        <d v="2024-02-07T15:47:07"/>
        <d v="2026-03-03T12:26:05"/>
        <d v="2024-03-27T16:59:50"/>
        <d v="2025-04-14T01:31:03"/>
        <d v="2024-08-12T19:20:50"/>
        <d v="2024-04-14T08:57:57"/>
        <d v="2024-05-18T03:03:25"/>
        <d v="2024-07-14T02:18:58"/>
        <d v="2025-05-19T12:44:44"/>
        <d v="2025-10-05T05:55:43"/>
        <d v="2025-02-10T20:33:23"/>
        <d v="2026-02-13T14:08:30"/>
        <d v="2025-06-10T04:34:00"/>
        <d v="2025-12-19T17:00:23"/>
        <d v="2025-03-26T13:56:01"/>
        <d v="2024-03-17T04:08:12"/>
        <d v="2024-01-02T09:11:38"/>
        <d v="2026-01-05T16:10:43"/>
        <d v="2025-09-17T14:11:34"/>
        <d v="2024-04-24T03:52:28"/>
        <d v="2025-12-26T02:29:42"/>
        <d v="2025-09-19T11:28:04"/>
        <d v="2026-01-28T20:01:34"/>
        <d v="2024-03-13T14:04:00"/>
        <d v="2025-08-10T00:09:34"/>
        <d v="2025-10-20T00:37:41"/>
        <d v="2024-02-15T14:43:30"/>
        <d v="2024-11-12T00:29:55"/>
        <d v="2025-11-30T03:41:24"/>
        <d v="2025-08-01T08:12:13"/>
        <d v="2026-03-15T01:47:02"/>
        <d v="2025-12-19T17:03:59"/>
        <d v="2025-03-28T12:14:39"/>
        <d v="2025-11-21T20:01:08"/>
        <d v="2025-06-05T04:21:33"/>
        <d v="2024-08-11T14:32:50"/>
        <d v="2024-07-01T20:08:18"/>
        <d v="2025-04-20T18:50:14"/>
        <d v="2024-12-21T19:46:19"/>
        <d v="2024-07-19T10:48:24"/>
        <d v="2025-06-18T17:38:19"/>
        <d v="2026-01-15T11:26:28"/>
        <d v="2025-11-10T20:08:28"/>
        <d v="2026-01-30T00:27:55"/>
        <d v="2026-02-11T09:35:33"/>
        <d v="2025-08-18T10:09:52"/>
        <d v="2024-01-02T09:38:16"/>
        <d v="2025-09-26T16:51:50"/>
        <d v="2025-09-18T20:12:32"/>
        <d v="2024-11-19T18:58:35"/>
        <d v="2025-08-05T05:32:58"/>
        <d v="2024-05-07T14:08:45"/>
        <d v="2025-10-04T00:09:08"/>
        <d v="2024-06-25T21:59:31"/>
        <d v="2024-06-03T10:46:15"/>
        <d v="2024-10-28T23:13:32"/>
        <d v="2026-03-17T07:12:42"/>
        <d v="2025-07-19T15:45:14"/>
        <d v="2026-03-09T17:24:40"/>
        <d v="2025-07-12T03:43:22"/>
        <d v="2025-04-04T09:50:36"/>
        <d v="2024-06-01T19:47:21"/>
        <d v="2024-11-13T13:20:56"/>
        <d v="2026-03-10T23:24:51"/>
        <d v="2025-12-17T14:36:21"/>
        <d v="2024-01-05T06:14:20"/>
        <d v="2026-02-18T04:04:46"/>
        <d v="2025-05-27T14:05:02"/>
        <d v="2024-01-18T04:07:35"/>
        <d v="2025-01-19T17:11:29"/>
        <d v="2025-09-21T06:59:00"/>
        <d v="2024-04-14T11:20:33"/>
        <d v="2025-12-01T01:14:54"/>
        <d v="2025-08-15T13:59:26"/>
        <d v="2025-11-08T11:58:23"/>
        <d v="2026-02-24T02:35:39"/>
        <d v="2024-07-20T04:30:43"/>
        <d v="2024-10-10T12:10:54"/>
        <d v="2025-11-27T12:41:54"/>
        <d v="2025-12-25T13:20:23"/>
        <d v="2024-03-12T09:31:54"/>
        <d v="2026-03-04T19:25:23"/>
        <d v="2024-12-16T07:17:14"/>
        <d v="2025-04-28T08:51:41"/>
        <d v="2024-10-19T08:19:45"/>
        <d v="2024-04-06T04:27:13"/>
        <d v="2025-10-11T19:46:23"/>
        <d v="2024-12-31T04:38:21"/>
        <d v="2025-03-24T13:51:51"/>
        <d v="2026-03-08T14:34:44"/>
        <d v="2025-04-17T20:52:04"/>
        <d v="2026-03-26T05:33:13"/>
        <d v="2025-11-09T09:06:31"/>
        <d v="2025-10-15T17:19:28"/>
        <d v="2024-12-12T15:29:48"/>
        <d v="2026-03-01T12:10:20"/>
        <d v="2024-01-06T07:56:24"/>
        <d v="2025-10-25T06:44:06"/>
        <d v="2025-05-05T08:51:22"/>
        <d v="2024-04-30T13:27:16"/>
        <d v="2025-02-19T13:50:42"/>
        <d v="2024-04-23T12:20:29"/>
        <d v="2024-03-13T18:21:37"/>
        <d v="2025-02-19T01:06:02"/>
        <d v="2025-02-14T11:38:52"/>
        <d v="2024-07-18T17:34:38"/>
        <d v="2024-01-08T10:35:02"/>
        <d v="2025-04-29T09:47:27"/>
        <d v="2024-04-07T12:14:29"/>
        <d v="2026-01-14T06:05:37"/>
        <d v="2025-06-24T17:56:20"/>
        <d v="2025-02-03T17:50:09"/>
        <d v="2025-10-13T18:32:19"/>
        <d v="2025-01-31T09:50:50"/>
        <d v="2025-05-11T22:13:37"/>
        <d v="2024-02-08T07:19:49"/>
        <d v="2024-08-27T14:17:26"/>
        <d v="2024-11-14T23:22:18"/>
        <d v="2024-08-24T19:47:16"/>
        <d v="2026-03-21T12:18:34"/>
        <d v="2025-11-19T12:05:52"/>
        <d v="2024-03-11T07:04:18"/>
        <d v="2026-02-05T04:14:54"/>
        <d v="2024-06-14T18:26:02"/>
        <d v="2024-02-25T02:48:27"/>
        <d v="2024-11-18T06:01:40"/>
        <d v="2025-11-14T01:27:51"/>
        <d v="2025-06-09T12:41:59"/>
        <d v="2024-11-16T17:42:48"/>
        <d v="2024-06-24T01:00:15"/>
        <d v="2025-08-16T16:10:24"/>
        <d v="2025-08-29T07:29:13"/>
        <d v="2024-04-14T22:34:17"/>
        <d v="2025-08-11T02:28:21"/>
        <d v="2025-10-02T08:59:03"/>
        <d v="2024-04-28T10:28:22"/>
        <d v="2025-08-20T15:33:04"/>
        <d v="2024-08-23T06:29:38"/>
        <d v="2024-01-11T12:11:33"/>
        <d v="2025-08-30T08:04:15"/>
        <d v="2024-04-24T17:52:34"/>
        <d v="2024-06-27T05:28:36"/>
        <d v="2025-11-15T08:15:37"/>
        <d v="2024-11-27T09:56:29"/>
        <d v="2024-11-15T10:11:55"/>
        <d v="2025-02-20T02:19:20"/>
        <d v="2026-02-21T10:16:02"/>
        <d v="2025-10-16T22:29:59"/>
        <d v="2024-11-07T11:22:49"/>
        <d v="2024-01-15T13:05:37"/>
        <d v="2024-06-23T10:13:08"/>
        <d v="2024-01-21T17:26:40"/>
        <d v="2025-11-01T11:20:35"/>
        <d v="2024-02-25T04:46:22"/>
        <d v="2025-10-06T13:20:55"/>
        <d v="2026-02-10T20:38:36"/>
        <d v="2024-02-13T01:08:19"/>
        <d v="2024-03-02T11:03:03"/>
        <d v="2026-01-24T08:52:41"/>
        <d v="2024-02-07T12:02:04"/>
        <d v="2024-02-06T00:58:06"/>
        <d v="2024-11-04T03:28:22"/>
        <d v="2025-12-25T06:18:54"/>
        <d v="2024-05-28T20:29:04"/>
        <d v="2024-05-08T05:31:30"/>
        <d v="2025-12-02T16:33:53"/>
        <d v="2024-10-17T07:40:16"/>
        <d v="2024-01-26T14:31:38"/>
        <d v="2025-03-16T11:10:48"/>
        <d v="2024-08-07T05:22:05"/>
        <d v="2025-03-24T03:52:15"/>
        <d v="2024-12-04T02:17:24"/>
        <d v="2026-01-22T22:41:45"/>
        <d v="2026-01-27T20:55:51"/>
        <d v="2024-05-08T08:08:17"/>
        <d v="2025-02-27T03:25:59"/>
        <d v="2024-12-12T16:51:42"/>
        <d v="2024-12-03T15:19:26"/>
        <d v="2024-02-21T21:25:34"/>
        <d v="2026-02-24T09:05:04"/>
        <d v="2026-01-26T13:28:54"/>
        <d v="2024-01-26T10:04:25"/>
        <d v="2025-03-13T16:54:17"/>
        <d v="2024-06-28T16:42:21"/>
        <d v="2024-12-03T18:47:47"/>
        <d v="2025-07-30T00:54:22"/>
        <d v="2025-03-27T18:05:42"/>
        <d v="2024-03-19T13:20:13"/>
        <d v="2026-02-25T14:40:07"/>
        <d v="2024-08-24T21:02:34"/>
        <d v="2024-05-01T21:01:53"/>
        <d v="2024-04-06T18:22:25"/>
        <d v="2024-04-14T14:58:35"/>
        <d v="2025-07-30T10:25:21"/>
        <d v="2025-06-07T00:57:16"/>
        <d v="2025-01-06T10:32:58"/>
        <d v="2025-07-01T16:08:09"/>
        <d v="2025-04-11T23:27:20"/>
        <d v="2024-06-27T12:02:18"/>
        <d v="2024-09-16T15:07:30"/>
        <d v="2024-03-25T04:17:25"/>
        <d v="2025-10-12T05:08:01"/>
        <d v="2025-05-25T14:30:06"/>
        <d v="2024-11-12T20:25:34"/>
        <d v="2025-01-11T12:28:47"/>
        <d v="2024-06-07T19:02:23"/>
        <d v="2024-09-14T07:08:57"/>
        <d v="2025-03-09T19:38:30"/>
        <d v="2024-11-11T02:39:46"/>
        <d v="2025-02-03T07:38:20"/>
        <d v="2025-09-14T05:50:32"/>
        <d v="2025-05-03T17:23:40"/>
        <d v="2024-07-21T13:25:03"/>
        <d v="2025-02-10T10:44:32"/>
        <d v="2024-02-08T02:16:28"/>
        <d v="2025-01-31T21:33:41"/>
        <d v="2024-06-05T02:14:07"/>
        <d v="2025-06-06T04:05:29"/>
        <d v="2024-08-23T02:33:02"/>
        <d v="2024-11-04T13:43:37"/>
        <d v="2025-12-08T05:21:49"/>
        <d v="2025-04-17T06:02:37"/>
        <d v="2025-02-21T18:56:36"/>
        <d v="2025-02-28T06:12:47"/>
        <d v="2025-08-08T14:01:46"/>
        <d v="2024-07-14T14:43:16"/>
        <d v="2025-10-16T20:09:49"/>
        <d v="2024-06-25T19:52:00"/>
        <d v="2025-06-18T14:57:02"/>
        <d v="2026-02-14T21:50:43"/>
        <d v="2025-12-16T08:04:57"/>
        <d v="2024-07-03T01:24:54"/>
        <d v="2025-06-14T16:15:17"/>
        <d v="2026-02-28T17:42:28"/>
        <d v="2024-11-16T17:52:43"/>
        <d v="2024-03-05T13:35:11"/>
        <d v="2025-07-05T04:40:07"/>
        <d v="2024-10-09T07:37:59"/>
        <d v="2025-11-06T17:43:34"/>
        <d v="2024-03-01T01:34:39"/>
        <d v="2026-01-25T04:52:28"/>
        <d v="2026-01-25T04:11:36"/>
        <d v="2024-11-03T10:52:31"/>
        <d v="2026-03-09T13:31:17"/>
        <d v="2024-04-14T13:42:34"/>
        <d v="2024-06-28T14:44:52"/>
        <d v="2024-03-04T13:06:17"/>
        <d v="2024-04-08T09:40:32"/>
        <d v="2025-12-14T17:38:31"/>
        <d v="2026-01-03T08:39:41"/>
        <d v="2025-09-15T12:46:18"/>
        <d v="2024-08-23T22:31:38"/>
        <d v="2026-03-22T00:41:05"/>
        <d v="2024-01-11T00:36:35"/>
        <d v="2026-01-24T09:31:33"/>
        <d v="2024-11-30T13:18:13"/>
        <d v="2025-07-26T11:23:13"/>
        <d v="2025-04-29T07:26:43"/>
        <d v="2024-07-22T00:31:48"/>
        <d v="2026-01-20T07:21:18"/>
        <d v="2025-06-24T17:11:22"/>
        <d v="2024-05-23T15:01:13"/>
        <d v="2025-08-22T20:01:19"/>
        <d v="2025-01-26T21:50:58"/>
        <d v="2026-01-06T09:49:03"/>
        <d v="2026-03-20T02:51:25"/>
        <d v="2025-11-09T04:45:09"/>
        <d v="2024-01-30T15:24:30"/>
        <d v="2025-04-28T17:57:42"/>
        <d v="2026-02-19T20:08:58"/>
        <d v="2024-03-13T00:16:41"/>
        <d v="2025-04-21T02:04:17"/>
        <d v="2025-09-26T01:18:28"/>
        <d v="2025-11-05T23:57:39"/>
        <d v="2024-08-05T16:59:56"/>
        <d v="2025-11-03T03:52:47"/>
        <d v="2024-12-07T15:22:16"/>
        <d v="2024-12-19T20:12:05"/>
        <d v="2026-01-20T11:14:34"/>
        <d v="2026-01-30T16:40:29"/>
        <d v="2024-07-30T23:02:00"/>
        <d v="2025-04-04T05:10:08"/>
        <d v="2025-02-07T07:43:25"/>
        <d v="2024-03-19T21:28:26"/>
        <d v="2024-04-28T03:48:38"/>
        <d v="2026-02-13T09:34:06"/>
        <d v="2025-08-13T15:01:56"/>
        <d v="2024-12-04T12:10:39"/>
        <d v="2026-03-08T14:51:27"/>
        <d v="2024-11-03T18:21:35"/>
        <d v="2024-11-02T22:32:01"/>
        <d v="2026-01-12T06:33:26"/>
        <d v="2026-01-13T05:17:54"/>
        <d v="2024-07-08T02:39:24"/>
        <d v="2025-05-17T14:02:48"/>
        <d v="2025-10-11T12:05:29"/>
        <d v="2025-04-08T04:20:44"/>
        <d v="2025-02-04T23:46:21"/>
        <d v="2025-03-13T15:40:22"/>
        <d v="2024-10-04T08:05:42"/>
        <d v="2025-04-21T23:02:22"/>
        <d v="2024-04-10T07:53:16"/>
        <d v="2024-06-24T11:14:44"/>
        <d v="2026-02-13T01:01:18"/>
        <d v="2025-11-01T15:14:23"/>
        <d v="2025-10-08T16:02:26"/>
        <d v="2024-03-06T02:06:28"/>
        <d v="2025-03-06T18:49:14"/>
        <d v="2026-02-13T16:29:18"/>
        <d v="2024-03-19T06:14:35"/>
        <d v="2025-08-21T05:54:53"/>
        <d v="2025-06-06T19:49:01"/>
        <d v="2025-04-11T22:56:48"/>
        <d v="2025-11-29T09:11:34"/>
        <d v="2026-03-29T02:58:03"/>
        <d v="2024-07-15T06:57:31"/>
        <d v="2025-03-08T05:47:02"/>
        <d v="2024-12-21T12:21:01"/>
        <d v="2024-04-14T03:51:36"/>
        <d v="2024-09-14T07:27:45"/>
        <d v="2026-02-11T02:41:04"/>
        <d v="2026-03-13T03:24:50"/>
        <d v="2024-06-27T04:35:45"/>
        <d v="2024-03-08T19:43:44"/>
        <d v="2024-08-31T21:17:57"/>
        <d v="2025-07-22T00:16:14"/>
        <d v="2024-05-28T06:02:47"/>
        <d v="2024-07-02T02:41:22"/>
        <d v="2025-12-02T03:13:38"/>
        <d v="2025-06-09T07:12:31"/>
        <d v="2024-05-22T06:41:05"/>
        <d v="2025-01-02T12:17:48"/>
        <d v="2025-09-21T13:44:50"/>
        <d v="2025-07-04T12:30:03"/>
        <d v="2024-06-27T19:10:27"/>
        <d v="2025-04-05T02:35:06"/>
        <d v="2024-12-24T05:54:52"/>
        <d v="2026-01-05T23:21:06"/>
        <d v="2025-05-12T05:45:57"/>
        <d v="2024-12-05T16:08:51"/>
        <d v="2025-10-04T11:01:07"/>
        <d v="2025-07-25T11:00:15"/>
        <d v="2025-12-07T04:06:41"/>
        <d v="2024-12-13T01:44:17"/>
        <d v="2024-10-25T09:36:10"/>
        <d v="2024-10-07T22:57:24"/>
        <d v="2025-03-28T20:42:05"/>
        <d v="2024-05-16T09:37:01"/>
        <d v="2026-01-21T15:56:28"/>
        <d v="2025-12-10T03:14:14"/>
        <d v="2025-02-20T23:59:49"/>
        <d v="2025-02-28T14:18:13"/>
        <d v="2025-03-17T07:26:05"/>
        <d v="2024-11-18T06:27:48"/>
        <d v="2025-01-19T13:49:43"/>
        <d v="2025-11-03T09:21:10"/>
        <d v="2025-12-03T12:45:01"/>
        <d v="2024-09-01T18:07:54"/>
        <d v="2024-08-07T22:46:39"/>
        <d v="2024-08-17T03:49:18"/>
        <d v="2024-06-04T18:19:02"/>
        <d v="2024-07-18T00:34:37"/>
        <d v="2024-09-13T06:02:36"/>
        <d v="2025-05-23T22:35:11"/>
        <d v="2025-04-26T09:39:16"/>
        <d v="2025-12-19T19:31:50"/>
        <d v="2025-08-27T12:44:05"/>
        <d v="2026-02-16T06:20:40"/>
        <d v="2024-06-30T01:03:36"/>
        <d v="2026-01-23T13:32:23"/>
        <d v="2024-10-31T18:49:14"/>
        <d v="2026-02-22T07:04:04"/>
        <d v="2025-06-05T14:53:17"/>
        <d v="2026-01-25T22:48:14"/>
        <d v="2025-03-20T17:32:02"/>
        <d v="2025-05-27T00:26:32"/>
        <d v="2025-09-06T21:00:04"/>
        <d v="2024-09-30T11:51:52"/>
        <d v="2026-03-26T10:42:45"/>
        <d v="2025-01-02T11:47:36"/>
        <d v="2025-04-15T13:37:13"/>
        <d v="2024-04-28T12:57:48"/>
        <d v="2026-03-23T21:09:23"/>
        <d v="2024-10-19T01:27:51"/>
        <d v="2025-06-29T12:49:37"/>
        <d v="2024-03-14T03:38:09"/>
        <d v="2024-06-07T02:28:48"/>
        <d v="2024-05-02T16:18:30"/>
        <d v="2024-08-29T17:08:00"/>
        <d v="2024-10-05T05:53:55"/>
        <d v="2024-02-27T05:42:04"/>
        <d v="2024-12-19T13:17:06"/>
        <d v="2024-08-26T21:16:34"/>
        <d v="2024-08-16T03:00:31"/>
        <d v="2025-08-08T19:37:54"/>
        <d v="2025-06-13T22:23:11"/>
        <d v="2025-06-01T20:36:32"/>
        <d v="2025-11-12T23:14:39"/>
        <d v="2024-12-16T16:10:19"/>
        <d v="2024-03-27T23:51:48"/>
        <d v="2025-07-08T10:53:45"/>
        <d v="2024-01-17T18:14:40"/>
        <d v="2024-07-29T09:47:56"/>
        <d v="2024-08-17T05:23:32"/>
        <d v="2025-01-03T20:53:09"/>
        <d v="2025-04-15T09:54:58"/>
        <d v="2025-08-18T08:12:23"/>
        <d v="2024-11-16T06:09:29"/>
        <d v="2025-01-15T16:58:21"/>
        <d v="2025-01-16T17:27:24"/>
        <d v="2024-07-23T07:31:29"/>
        <d v="2026-01-30T04:27:10"/>
        <d v="2025-08-25T14:26:18"/>
        <d v="2025-03-03T08:39:35"/>
        <d v="2024-03-07T13:32:07"/>
        <d v="2025-08-03T02:17:22"/>
        <d v="2025-10-06T21:31:17"/>
        <d v="2025-10-20T19:25:33"/>
        <d v="2025-12-08T03:24:13"/>
        <d v="2025-10-30T03:09:40"/>
        <d v="2026-03-04T17:53:59"/>
        <d v="2025-08-09T18:57:51"/>
        <d v="2026-03-26T05:26:33"/>
        <d v="2025-07-11T14:57:36"/>
        <d v="2025-02-07T02:46:08"/>
        <d v="2024-09-23T09:54:49"/>
        <d v="2025-04-06T21:24:46"/>
        <d v="2026-03-13T01:23:34"/>
        <d v="2024-10-03T08:21:26"/>
        <d v="2025-06-11T04:30:40"/>
        <d v="2025-06-01T06:06:55"/>
        <d v="2024-12-17T07:17:11"/>
        <d v="2024-07-15T09:08:52"/>
        <d v="2024-01-03T20:02:25"/>
        <d v="2024-07-14T19:10:29"/>
        <d v="2025-06-20T12:33:57"/>
        <d v="2024-07-06T13:50:44"/>
        <d v="2024-11-19T07:24:59"/>
        <d v="2025-06-10T21:17:17"/>
        <d v="2026-01-07T20:46:51"/>
        <d v="2024-04-13T01:48:35"/>
        <d v="2024-12-25T09:29:38"/>
        <d v="2025-01-08T06:34:21"/>
        <d v="2026-03-18T01:35:20"/>
        <d v="2024-03-07T04:58:43"/>
        <d v="2025-02-20T11:42:14"/>
        <d v="2024-06-23T09:05:26"/>
        <d v="2025-02-02T16:34:31"/>
        <d v="2024-04-23T01:32:06"/>
        <d v="2024-01-29T03:36:02"/>
        <d v="2025-01-22T06:43:28"/>
        <d v="2026-02-10T11:18:04"/>
        <d v="2024-03-26T00:14:02"/>
        <d v="2024-09-26T11:56:19"/>
        <d v="2024-08-11T10:06:13"/>
        <d v="2025-09-30T10:36:17"/>
        <d v="2025-05-29T09:30:10"/>
        <d v="2024-04-26T07:04:15"/>
        <d v="2026-01-19T06:23:58"/>
        <d v="2024-07-13T04:42:15"/>
        <d v="2025-11-03T12:42:56"/>
        <d v="2026-03-28T20:44:27"/>
        <d v="2025-09-15T11:25:04"/>
        <d v="2025-11-07T07:15:02"/>
        <d v="2026-03-19T13:31:27"/>
        <d v="2024-07-24T23:22:05"/>
        <d v="2024-03-01T21:07:34"/>
        <d v="2024-12-24T20:29:24"/>
        <d v="2025-01-21T01:45:48"/>
        <d v="2024-12-20T07:36:25"/>
        <d v="2024-10-11T23:06:43"/>
        <d v="2025-07-14T22:34:58"/>
        <d v="2024-09-15T20:17:26"/>
        <d v="2025-07-22T04:13:19"/>
        <d v="2025-11-20T17:48:13"/>
        <d v="2025-08-16T00:13:55"/>
        <d v="2025-12-02T00:55:02"/>
        <d v="2025-03-07T20:20:09"/>
        <d v="2025-06-23T15:06:38"/>
        <d v="2025-12-16T04:18:50"/>
        <d v="2025-01-30T01:06:38"/>
        <d v="2025-05-05T16:24:45"/>
        <d v="2025-09-23T04:31:40"/>
        <d v="2025-09-22T10:37:32"/>
        <d v="2025-01-09T04:26:29"/>
        <d v="2024-02-11T12:05:33"/>
        <d v="2025-05-04T15:49:47"/>
        <d v="2024-09-04T10:26:10"/>
        <d v="2024-03-20T03:07:07"/>
        <d v="2026-02-14T01:16:28"/>
        <d v="2024-03-20T22:08:28"/>
        <d v="2024-02-17T13:21:56"/>
        <d v="2025-08-09T00:41:04"/>
        <d v="2024-06-01T08:32:52"/>
        <d v="2024-02-21T13:35:51"/>
        <d v="2025-09-16T09:23:37"/>
        <d v="2024-03-01T22:32:13"/>
        <d v="2025-05-27T20:41:13"/>
        <d v="2024-08-15T20:50:52"/>
        <d v="2024-02-05T21:58:24"/>
        <d v="2025-10-02T03:22:30"/>
        <d v="2024-10-15T23:57:03"/>
        <d v="2025-12-09T16:43:19"/>
        <d v="2024-09-22T13:29:58"/>
        <d v="2025-09-17T23:13:31"/>
        <d v="2024-03-10T03:26:24"/>
        <d v="2024-06-29T23:26:43"/>
        <d v="2025-08-31T04:37:57"/>
        <d v="2024-01-04T02:16:25"/>
        <d v="2024-09-15T04:59:40"/>
        <d v="2025-04-07T12:01:13"/>
        <d v="2024-10-16T19:33:13"/>
        <d v="2025-10-14T22:30:00"/>
        <d v="2024-07-22T17:30:15"/>
        <d v="2024-09-15T00:12:12"/>
        <d v="2024-12-20T10:42:39"/>
        <d v="2024-12-04T11:24:22"/>
        <d v="2025-04-21T18:05:30"/>
        <d v="2025-07-22T02:38:44"/>
        <d v="2025-01-21T07:28:42"/>
        <d v="2024-08-02T12:05:15"/>
        <d v="2024-08-11T14:16:51"/>
        <d v="2024-11-07T01:41:44"/>
        <d v="2025-02-13T00:06:28"/>
        <d v="2025-11-11T10:32:51"/>
        <d v="2025-10-20T09:24:38"/>
        <d v="2025-08-21T01:09:00"/>
        <d v="2025-01-31T16:30:54"/>
        <d v="2025-10-03T06:31:18"/>
        <d v="2024-04-27T15:26:27"/>
        <d v="2025-08-22T12:34:58"/>
        <d v="2025-08-12T00:28:58"/>
        <d v="2025-12-18T22:49:12"/>
        <d v="2024-02-16T21:04:54"/>
        <d v="2024-05-04T22:14:06"/>
        <d v="2024-04-03T17:29:15"/>
        <d v="2026-01-16T08:55:54"/>
        <d v="2024-06-22T00:14:09"/>
        <d v="2025-09-24T05:45:15"/>
        <d v="2024-03-21T22:26:26"/>
        <d v="2024-11-09T16:07:25"/>
        <d v="2024-01-19T04:10:56"/>
        <d v="2025-05-16T13:20:37"/>
        <d v="2025-12-27T10:25:37"/>
        <d v="2024-04-07T14:54:16"/>
        <d v="2025-10-15T02:08:57"/>
        <d v="2024-12-13T02:00:48"/>
        <d v="2024-05-13T17:08:53"/>
        <d v="2024-03-31T20:49:16"/>
        <d v="2025-07-31T19:43:20"/>
        <d v="2025-05-13T22:17:28"/>
        <d v="2024-05-04T07:35:50"/>
        <d v="2025-10-08T12:57:46"/>
        <d v="2026-01-23T01:26:38"/>
        <d v="2025-03-11T04:56:08"/>
        <d v="2025-04-24T16:16:39"/>
        <d v="2024-01-07T03:50:30"/>
        <d v="2024-10-17T07:21:50"/>
        <d v="2025-06-13T21:51:58"/>
        <d v="2024-12-23T06:25:34"/>
        <d v="2024-09-12T01:04:20"/>
        <d v="2024-05-12T09:09:40"/>
        <d v="2025-12-16T19:38:05"/>
        <d v="2025-08-24T16:58:40"/>
        <d v="2025-11-18T20:46:43"/>
        <d v="2025-11-20T18:22:39"/>
        <d v="2025-02-28T00:12:45"/>
        <d v="2026-02-02T16:18:15"/>
        <d v="2025-01-16T19:18:16"/>
        <d v="2024-06-04T09:07:19"/>
        <d v="2025-05-25T09:34:51"/>
        <d v="2025-08-15T22:47:03"/>
        <d v="2024-11-17T08:20:36"/>
        <d v="2024-04-28T08:35:56"/>
        <d v="2024-08-16T02:40:26"/>
        <d v="2025-06-02T10:44:53"/>
        <d v="2024-08-05T12:36:02"/>
        <d v="2024-08-18T20:11:05"/>
        <d v="2024-09-02T03:23:31"/>
        <d v="2025-07-03T19:56:59"/>
        <d v="2025-02-05T10:25:42"/>
        <d v="2024-04-20T00:23:07"/>
        <d v="2025-10-26T22:03:09"/>
        <d v="2025-12-20T14:30:13"/>
        <d v="2025-07-12T11:09:24"/>
        <d v="2025-11-22T12:21:07"/>
        <d v="2024-02-27T06:20:01"/>
        <d v="2024-02-12T14:34:47"/>
        <d v="2024-08-19T00:34:48"/>
        <d v="2024-06-13T03:39:55"/>
        <d v="2024-05-12T16:23:20"/>
        <d v="2024-09-07T06:20:58"/>
        <d v="2025-06-05T08:01:19"/>
        <d v="2024-05-01T04:42:22"/>
        <d v="2026-02-06T17:17:49"/>
        <d v="2024-02-17T03:32:47"/>
        <d v="2025-01-11T06:54:54"/>
        <d v="2025-09-24T16:39:42"/>
        <d v="2024-08-20T11:02:53"/>
        <d v="2025-10-16T07:14:46"/>
        <d v="2026-01-14T04:47:56"/>
        <d v="2024-12-27T13:43:59"/>
        <d v="2025-01-12T03:39:32"/>
        <d v="2026-01-26T15:37:17"/>
        <d v="2026-01-09T04:31:18"/>
        <d v="2025-07-23T16:58:51"/>
        <d v="2024-03-24T07:57:06"/>
        <d v="2025-03-18T07:25:37"/>
        <d v="2025-12-24T01:35:19"/>
        <d v="2025-06-24T16:15:53"/>
        <d v="2025-10-21T10:56:30"/>
        <d v="2024-01-05T11:39:09"/>
        <d v="2025-09-24T21:39:41"/>
        <d v="2025-02-05T02:16:55"/>
        <d v="2025-01-02T23:34:43"/>
        <d v="2026-03-25T13:50:07"/>
        <d v="2024-02-18T13:32:31"/>
        <d v="2025-07-28T05:07:36"/>
        <d v="2024-11-20T04:22:49"/>
        <d v="2026-01-26T13:01:39"/>
        <d v="2025-01-11T19:43:39"/>
        <d v="2024-11-08T20:54:32"/>
        <d v="2026-02-21T01:11:24"/>
        <d v="2025-08-15T05:47:05"/>
        <d v="2025-05-08T11:47:08"/>
        <d v="2025-07-10T17:12:24"/>
        <d v="2025-03-27T10:08:21"/>
        <d v="2024-05-02T12:10:54"/>
        <d v="2025-10-29T20:22:27"/>
        <d v="2024-01-02T08:42:25"/>
        <d v="2024-04-10T22:01:43"/>
        <d v="2024-11-10T09:59:21"/>
        <d v="2025-05-18T13:49:55"/>
        <d v="2024-10-02T00:49:44"/>
        <d v="2025-03-07T20:59:55"/>
        <d v="2026-02-02T17:35:39"/>
        <d v="2025-06-23T02:39:53"/>
        <d v="2025-07-04T07:32:08"/>
        <d v="2024-10-20T15:41:55"/>
        <d v="2025-01-09T20:55:59"/>
        <d v="2025-06-13T07:32:20"/>
        <d v="2024-06-20T00:30:09"/>
        <d v="2025-09-06T03:51:04"/>
        <d v="2024-05-21T21:41:18"/>
        <d v="2024-03-21T14:26:43"/>
        <d v="2024-12-12T03:32:51"/>
        <d v="2026-02-13T00:25:03"/>
        <d v="2024-03-17T11:14:18"/>
        <d v="2024-04-01T10:32:01"/>
        <d v="2025-08-22T04:44:29"/>
        <d v="2025-12-31T09:04:47"/>
        <d v="2025-10-21T10:42:38"/>
        <d v="2024-08-26T16:25:41"/>
        <d v="2024-08-24T22:37:32"/>
        <d v="2025-06-05T17:49:51"/>
        <d v="2025-01-03T22:36:37"/>
        <d v="2024-02-06T02:37:27"/>
        <d v="2025-06-02T15:09:53"/>
        <d v="2024-01-14T05:58:22"/>
        <d v="2025-07-08T20:39:05"/>
        <d v="2024-04-17T05:56:39"/>
        <d v="2024-02-05T20:03:50"/>
        <d v="2024-12-21T10:22:43"/>
        <d v="2024-02-10T20:59:04"/>
        <d v="2025-03-06T21:24:45"/>
        <d v="2025-10-01T00:02:28"/>
        <d v="2024-02-26T09:46:33"/>
        <d v="2025-01-30T00:04:21"/>
        <d v="2025-09-08T07:02:54"/>
        <d v="2024-10-10T03:45:08"/>
        <d v="2024-12-19T19:54:07"/>
        <d v="2025-02-19T00:53:33"/>
        <d v="2025-10-09T23:42:53"/>
        <d v="2025-09-19T05:03:41"/>
        <d v="2024-09-29T09:08:11"/>
        <d v="2025-10-21T15:20:01"/>
        <d v="2024-07-19T22:33:19"/>
        <d v="2024-01-14T19:30:01"/>
        <d v="2024-03-19T06:37:49"/>
        <d v="2024-01-09T05:21:14"/>
        <d v="2024-10-16T23:40:42"/>
        <d v="2024-01-22T06:31:28"/>
        <d v="2025-07-11T02:22:58"/>
        <d v="2025-12-31T11:43:13"/>
        <d v="2024-03-13T08:19:01"/>
        <d v="2025-10-06T20:03:19"/>
        <d v="2025-10-04T18:30:20"/>
        <d v="2024-02-27T07:40:42"/>
        <d v="2024-07-13T16:09:13"/>
        <d v="2024-06-02T22:35:00"/>
        <d v="2025-11-25T19:28:17"/>
        <d v="2024-06-06T06:37:29"/>
        <d v="2025-01-30T20:28:43"/>
        <d v="2025-12-03T13:55:49"/>
        <d v="2026-01-06T08:35:28"/>
        <d v="2025-01-19T07:13:45"/>
        <d v="2024-06-16T05:44:25"/>
        <d v="2024-09-06T10:56:31"/>
        <d v="2024-05-17T16:48:08"/>
        <d v="2024-05-09T18:11:29"/>
        <d v="2025-02-18T22:46:42"/>
        <d v="2024-12-25T10:30:34"/>
        <d v="2025-08-03T10:05:41"/>
        <d v="2025-08-04T19:13:16"/>
        <d v="2024-03-19T21:42:01"/>
        <d v="2024-07-22T23:05:05"/>
        <d v="2024-12-01T02:49:38"/>
        <d v="2026-01-05T16:33:02"/>
        <d v="2025-05-22T08:30:57"/>
        <d v="2025-12-15T07:56:40"/>
        <d v="2025-05-04T17:26:03"/>
        <d v="2024-12-13T06:57:42"/>
        <d v="2025-10-29T00:27:52"/>
        <d v="2025-09-03T09:55:25"/>
        <d v="2025-07-27T01:03:30"/>
        <d v="2025-10-15T05:20:48"/>
        <d v="2025-01-20T01:58:49"/>
        <d v="2024-09-17T23:45:43"/>
        <d v="2024-02-20T21:14:14"/>
        <d v="2025-05-27T01:58:47"/>
        <d v="2025-04-06T10:35:09"/>
        <d v="2024-11-03T02:39:15"/>
        <d v="2025-09-02T04:44:23"/>
        <d v="2024-02-12T17:54:48"/>
        <d v="2025-01-02T00:25:45"/>
        <d v="2025-08-15T20:51:34"/>
        <d v="2025-04-03T11:39:47"/>
        <d v="2024-11-04T02:44:52"/>
        <d v="2024-03-17T09:18:37"/>
        <d v="2024-06-04T10:20:38"/>
        <d v="2025-01-16T06:35:31"/>
        <d v="2024-11-29T09:21:52"/>
        <d v="2024-05-24T07:25:07"/>
        <d v="2026-03-28T19:56:01"/>
        <d v="2024-11-20T19:04:50"/>
        <d v="2025-08-08T12:43:43"/>
        <d v="2026-03-13T19:26:04"/>
        <d v="2024-06-20T07:54:01"/>
        <d v="2025-11-28T14:41:17"/>
        <d v="2024-02-18T17:58:31"/>
        <d v="2025-11-02T01:25:09"/>
        <d v="2025-12-13T20:50:06"/>
        <d v="2025-10-28T14:06:23"/>
        <d v="2024-04-18T04:54:45"/>
        <d v="2026-01-12T05:48:42"/>
        <d v="2024-03-21T20:19:39"/>
        <d v="2025-10-09T11:00:41"/>
        <d v="2024-09-18T22:43:18"/>
        <d v="2024-03-22T15:06:46"/>
        <d v="2025-01-04T04:38:55"/>
        <d v="2024-08-19T11:31:39"/>
        <d v="2024-06-27T22:56:23"/>
        <d v="2024-01-23T14:02:37"/>
        <d v="2024-09-27T21:53:09"/>
        <d v="2024-10-01T16:31:03"/>
        <d v="2025-02-22T10:15:49"/>
        <d v="2024-06-10T09:42:10"/>
        <d v="2026-02-19T20:56:57"/>
        <d v="2025-02-04T22:09:50"/>
        <d v="2024-04-29T00:48:20"/>
        <d v="2024-02-15T21:32:15"/>
        <d v="2024-09-15T04:49:14"/>
        <d v="2024-06-26T05:48:59"/>
        <d v="2024-04-20T04:31:10"/>
        <d v="2025-05-01T20:38:30"/>
        <d v="2026-01-13T20:49:57"/>
        <d v="2025-04-20T13:26:06"/>
        <d v="2024-05-09T06:34:48"/>
        <d v="2025-08-05T22:10:58"/>
        <d v="2024-10-24T21:52:34"/>
        <d v="2025-10-18T07:01:45"/>
        <d v="2024-01-03T08:49:59"/>
        <d v="2024-05-10T08:15:56"/>
        <d v="2025-02-28T04:31:30"/>
        <d v="2025-10-18T09:38:31"/>
        <d v="2025-12-10T22:59:03"/>
        <d v="2025-10-10T20:50:48"/>
        <d v="2024-08-03T11:45:41"/>
        <d v="2024-05-11T17:22:33"/>
        <d v="2024-02-08T14:31:27"/>
        <d v="2025-06-12T14:38:15"/>
        <d v="2024-01-03T05:00:44"/>
        <d v="2025-09-08T05:54:33"/>
        <d v="2025-04-25T12:14:44"/>
        <d v="2024-11-24T18:14:54"/>
        <d v="2024-11-18T22:26:25"/>
        <d v="2025-11-22T06:22:39"/>
        <d v="2025-05-30T04:06:26"/>
        <d v="2025-07-12T00:19:39"/>
        <d v="2026-02-16T05:30:52"/>
        <d v="2026-02-02T04:15:02"/>
        <d v="2024-10-17T13:35:21"/>
        <d v="2024-02-16T21:57:43"/>
        <d v="2024-03-13T22:22:24"/>
        <d v="2025-08-24T02:04:01"/>
        <d v="2026-01-17T20:43:08"/>
        <d v="2025-01-22T21:29:57"/>
        <d v="2026-01-05T02:24:08"/>
        <d v="2025-11-28T03:18:12"/>
        <d v="2025-10-01T08:33:18"/>
        <d v="2024-10-10T13:52:56"/>
        <d v="2025-06-22T09:26:06"/>
        <d v="2025-08-13T09:25:42"/>
        <d v="2025-11-01T01:29:39"/>
        <d v="2024-10-23T01:11:08"/>
        <d v="2024-05-23T10:18:07"/>
        <d v="2024-05-06T02:58:21"/>
        <d v="2025-12-19T16:20:44"/>
        <d v="2024-08-27T21:52:45"/>
        <d v="2025-04-22T01:52:21"/>
        <d v="2025-07-15T01:42:10"/>
        <d v="2025-10-28T00:46:33"/>
        <d v="2024-09-17T18:22:49"/>
        <d v="2025-09-28T05:56:30"/>
        <d v="2024-05-02T19:23:51"/>
        <d v="2024-11-28T12:07:45"/>
        <d v="2026-02-04T01:24:09"/>
        <d v="2025-10-18T22:08:48"/>
        <d v="2024-05-09T17:44:21"/>
        <d v="2025-10-23T04:08:07"/>
        <d v="2025-05-21T07:24:14"/>
        <d v="2024-09-17T21:58:49"/>
        <d v="2025-02-11T13:33:49"/>
        <d v="2025-05-12T02:21:29"/>
        <d v="2024-08-20T17:54:51"/>
        <d v="2024-04-03T08:16:06"/>
        <d v="2025-05-13T14:48:21"/>
        <d v="2026-01-28T02:25:38"/>
        <d v="2025-01-30T19:22:41"/>
        <d v="2025-11-02T18:04:42"/>
        <d v="2025-12-24T04:54:28"/>
        <d v="2024-03-17T02:55:56"/>
        <d v="2025-05-10T22:39:06"/>
        <d v="2025-09-10T05:55:41"/>
        <d v="2024-01-05T11:16:29"/>
        <d v="2025-11-05T07:58:02"/>
        <d v="2025-10-18T14:31:33"/>
        <d v="2024-10-23T13:22:03"/>
        <d v="2025-03-19T10:13:00"/>
        <d v="2026-03-27T10:52:04"/>
        <d v="2025-02-01T00:12:05"/>
        <d v="2024-01-14T03:50:00"/>
        <d v="2025-10-29T02:16:33"/>
        <d v="2024-12-23T17:14:12"/>
        <d v="2026-01-27T04:38:18"/>
        <d v="2024-01-08T18:28:44"/>
        <d v="2025-01-06T00:09:09"/>
        <d v="2025-10-24T09:31:21"/>
        <d v="2024-04-10T06:05:30"/>
        <d v="2025-06-26T02:35:13"/>
        <d v="2025-08-23T06:42:08"/>
        <d v="2024-10-13T10:56:26"/>
        <d v="2026-01-20T14:42:34"/>
        <d v="2024-10-19T01:35:16"/>
        <d v="2024-04-05T14:34:55"/>
        <d v="2024-10-29T19:26:12"/>
        <d v="2025-06-14T03:50:21"/>
        <d v="2025-09-16T15:33:40"/>
        <d v="2025-11-30T00:31:17"/>
        <d v="2024-12-19T06:42:34"/>
        <d v="2024-10-17T15:48:12"/>
        <d v="2024-09-13T12:14:45"/>
        <d v="2026-03-10T19:06:42"/>
        <d v="2024-09-03T21:19:09"/>
        <d v="2025-08-23T05:11:05"/>
        <d v="2024-05-17T10:45:14"/>
        <d v="2026-01-07T19:28:08"/>
        <d v="2025-06-07T03:45:32"/>
        <d v="2025-10-03T13:25:34"/>
        <d v="2024-08-21T19:30:09"/>
        <d v="2025-10-02T02:52:59"/>
        <d v="2025-05-28T05:40:42"/>
        <d v="2024-06-07T07:36:42"/>
        <d v="2024-07-11T10:28:00"/>
        <d v="2025-10-12T23:13:44"/>
        <d v="2024-12-27T03:15:53"/>
        <d v="2025-01-28T15:31:25"/>
        <d v="2025-01-11T04:42:34"/>
        <d v="2024-03-08T09:08:07"/>
        <d v="2024-02-17T21:48:06"/>
        <d v="2025-09-12T22:23:35"/>
        <d v="2025-03-06T03:51:48"/>
        <d v="2025-02-04T06:47:33"/>
        <d v="2026-01-06T13:53:09"/>
        <d v="2024-04-19T20:18:12"/>
        <d v="2024-08-09T06:57:04"/>
        <d v="2025-01-15T06:07:32"/>
        <d v="2025-07-29T03:24:14"/>
        <d v="2025-01-11T02:31:05"/>
        <d v="2025-10-02T14:45:30"/>
        <d v="2025-11-11T08:03:34"/>
        <d v="2024-02-21T23:17:27"/>
        <d v="2024-09-30T03:46:53"/>
        <d v="2025-04-17T11:24:48"/>
        <d v="2025-04-08T08:01:09"/>
        <d v="2025-02-25T23:24:49"/>
        <d v="2024-12-09T17:48:50"/>
        <d v="2025-11-06T12:18:42"/>
        <d v="2024-12-19T15:56:11"/>
        <d v="2024-09-25T10:19:06"/>
        <d v="2025-04-04T22:13:09"/>
        <d v="2025-01-11T17:17:06"/>
        <d v="2024-12-25T16:28:51"/>
        <d v="2024-09-29T20:26:40"/>
        <d v="2025-11-19T10:32:49"/>
        <d v="2025-09-25T18:07:11"/>
        <d v="2024-03-11T05:58:39"/>
        <d v="2025-10-25T20:51:32"/>
        <d v="2025-05-23T23:00:12"/>
        <d v="2024-11-20T11:43:38"/>
        <d v="2026-02-07T01:34:11"/>
        <d v="2024-07-02T08:16:06"/>
        <d v="2025-05-28T21:47:58"/>
        <d v="2025-11-20T16:40:34"/>
        <d v="2024-05-29T20:46:06"/>
        <d v="2024-07-29T14:32:25"/>
        <d v="2024-02-20T19:01:03"/>
        <d v="2025-07-22T11:58:38"/>
        <d v="2026-03-23T02:04:38"/>
        <d v="2024-07-28T07:54:40"/>
        <d v="2025-04-18T06:12:44"/>
        <d v="2024-01-20T16:04:45"/>
        <d v="2024-10-26T22:14:32"/>
        <d v="2024-08-02T04:35:27"/>
        <d v="2024-09-08T14:47:50"/>
        <d v="2025-12-18T11:48:20"/>
        <d v="2025-11-14T18:55:27"/>
        <d v="2025-09-14T05:11:16"/>
        <d v="2025-03-26T22:40:53"/>
        <d v="2024-01-11T08:53:53"/>
        <d v="2024-12-10T15:47:08"/>
        <d v="2024-05-14T11:45:36"/>
        <d v="2024-05-24T17:20:23"/>
        <d v="2024-02-23T17:23:58"/>
        <d v="2024-03-17T19:02:18"/>
        <d v="2024-01-12T01:49:52"/>
        <d v="2025-09-23T11:29:12"/>
        <d v="2025-02-27T18:44:42"/>
        <d v="2025-07-19T09:50:08"/>
        <d v="2024-01-13T10:00:12"/>
        <d v="2024-01-29T10:25:26"/>
        <d v="2025-06-18T09:02:40"/>
        <d v="2024-03-02T20:36:07"/>
        <d v="2025-06-25T00:34:50"/>
        <d v="2024-05-03T11:14:35"/>
        <d v="2024-04-27T13:40:46"/>
        <d v="2025-08-05T18:18:03"/>
        <d v="2025-11-30T17:35:22"/>
        <d v="2024-09-15T20:33:53"/>
        <d v="2026-02-19T18:09:07"/>
        <d v="2025-09-22T04:37:31"/>
        <d v="2024-06-24T04:17:28"/>
        <d v="2025-10-05T00:10:54"/>
        <d v="2024-04-26T20:02:56"/>
        <d v="2024-07-21T09:02:23"/>
        <d v="2025-02-20T07:36:19"/>
        <d v="2025-07-02T13:30:05"/>
        <d v="2024-06-11T09:40:54"/>
        <d v="2024-08-26T18:44:57"/>
        <d v="2025-05-24T15:49:05"/>
        <d v="2025-12-07T06:22:36"/>
        <d v="2025-01-02T01:54:57"/>
        <d v="2024-06-09T13:21:40"/>
        <d v="2025-12-10T20:15:36"/>
        <d v="2025-01-04T12:25:13"/>
        <d v="2024-09-22T20:11:21"/>
        <d v="2025-07-31T11:39:35"/>
        <d v="2024-08-10T01:26:28"/>
        <d v="2024-11-19T11:02:30"/>
        <d v="2025-06-17T14:45:24"/>
        <d v="2025-07-12T16:21:44"/>
        <d v="2024-02-28T08:14:15"/>
        <d v="2024-12-13T12:40:19"/>
        <d v="2024-07-22T11:10:18"/>
        <d v="2025-04-16T22:07:38"/>
        <d v="2025-07-26T14:45:29"/>
        <d v="2024-04-24T20:15:07"/>
        <d v="2025-07-19T20:14:54"/>
        <d v="2025-12-01T19:39:02"/>
        <d v="2024-12-19T23:50:52"/>
        <d v="2024-01-02T02:46:56"/>
        <d v="2025-08-28T10:54:33"/>
        <d v="2025-01-19T01:32:55"/>
        <d v="2024-07-19T10:25:02"/>
        <d v="2025-01-31T22:23:41"/>
        <d v="2024-11-01T18:14:00"/>
        <d v="2024-11-20T16:26:11"/>
        <d v="2025-07-28T06:59:09"/>
        <d v="2024-05-02T07:59:22"/>
        <d v="2025-01-30T03:52:57"/>
        <d v="2024-01-04T21:58:41"/>
        <d v="2025-05-03T05:31:14"/>
        <d v="2025-07-26T00:04:42"/>
        <d v="2026-02-05T07:49:46"/>
        <d v="2026-01-11T05:01:10"/>
        <d v="2025-07-29T05:30:12"/>
        <d v="2024-01-11T18:34:31"/>
        <d v="2024-10-15T13:39:36"/>
        <d v="2025-07-22T08:03:33"/>
        <d v="2024-12-11T03:57:39"/>
        <d v="2026-03-25T00:24:53"/>
        <d v="2025-05-28T15:38:12"/>
        <d v="2024-06-04T07:37:52"/>
        <d v="2025-01-10T12:35:46"/>
        <d v="2025-11-25T07:54:07"/>
        <d v="2024-03-22T07:33:55"/>
        <d v="2026-01-27T10:55:06"/>
        <d v="2024-08-22T08:23:37"/>
        <d v="2025-07-15T07:13:35"/>
        <d v="2024-04-14T22:30:24"/>
        <d v="2025-07-14T06:58:36"/>
        <d v="2024-11-03T18:16:26"/>
        <d v="2025-05-28T02:56:06"/>
        <d v="2024-07-13T06:22:18"/>
        <d v="2024-07-12T07:57:32"/>
        <d v="2024-11-01T02:00:24"/>
        <d v="2025-12-01T03:29:46"/>
        <d v="2024-07-19T12:46:04"/>
        <d v="2025-07-23T19:12:35"/>
        <d v="2024-01-05T14:15:53"/>
        <d v="2024-10-28T04:51:54"/>
        <d v="2024-10-18T09:53:57"/>
        <d v="2026-01-04T15:53:28"/>
        <d v="2026-02-03T17:15:03"/>
        <d v="2025-05-29T21:21:05"/>
        <d v="2026-03-27T07:31:52"/>
        <d v="2025-03-22T07:08:08"/>
        <d v="2024-09-07T23:06:28"/>
        <d v="2024-04-03T04:33:23"/>
        <d v="2026-01-03T09:45:29"/>
        <d v="2024-12-19T09:39:37"/>
        <d v="2024-01-20T12:42:49"/>
        <d v="2025-11-23T19:32:34"/>
        <d v="2024-01-07T08:44:22"/>
        <d v="2024-09-28T17:35:16"/>
        <d v="2024-09-14T06:32:33"/>
        <d v="2024-06-14T18:51:58"/>
        <d v="2025-10-28T15:50:55"/>
        <d v="2025-04-19T00:47:13"/>
        <d v="2024-12-03T00:48:05"/>
        <d v="2025-11-11T06:00:04"/>
        <d v="2024-06-05T21:05:16"/>
        <d v="2025-03-01T16:15:07"/>
        <d v="2024-08-01T14:28:09"/>
        <d v="2025-02-13T09:34:54"/>
        <d v="2025-09-14T10:06:28"/>
        <d v="2026-03-07T16:11:06"/>
        <d v="2025-09-25T16:58:58"/>
        <d v="2025-05-21T02:34:24"/>
        <d v="2024-07-03T23:17:21"/>
        <d v="2025-04-04T03:32:07"/>
        <d v="2025-12-15T09:51:20"/>
        <d v="2024-01-06T16:31:25"/>
        <d v="2025-12-16T08:10:04"/>
        <d v="2024-02-19T12:53:00"/>
        <d v="2024-03-16T04:56:33"/>
        <d v="2024-10-27T10:43:05"/>
        <d v="2024-03-24T12:33:43"/>
        <d v="2025-04-29T11:13:27"/>
        <d v="2025-01-01T16:06:08"/>
        <d v="2024-06-23T09:02:15"/>
        <d v="2025-04-19T04:58:48"/>
        <d v="2026-03-16T17:07:49"/>
        <d v="2025-11-21T06:05:28"/>
        <d v="2024-03-27T12:28:44"/>
        <d v="2026-02-13T23:15:15"/>
        <d v="2024-02-28T02:58:56"/>
        <d v="2025-04-09T12:58:13"/>
        <d v="2024-10-02T13:18:45"/>
        <d v="2024-05-20T14:12:21"/>
        <d v="2025-06-06T19:21:23"/>
        <d v="2024-05-27T07:43:48"/>
        <d v="2025-07-09T08:27:39"/>
        <d v="2024-03-03T12:53:19"/>
        <d v="2024-01-18T23:24:07"/>
        <d v="2024-12-08T14:50:33"/>
        <d v="2024-05-20T16:16:01"/>
        <d v="2024-06-10T05:19:13"/>
        <d v="2024-12-05T16:46:00"/>
        <d v="2024-07-04T16:00:29"/>
        <d v="2025-08-08T15:29:00"/>
        <d v="2025-01-02T09:04:04"/>
        <d v="2025-08-20T03:40:54"/>
        <d v="2024-04-29T03:48:24"/>
        <d v="2025-09-17T03:18:21"/>
        <d v="2025-09-30T01:11:43"/>
        <d v="2025-07-05T14:07:57"/>
        <d v="2026-02-01T22:49:43"/>
        <d v="2025-03-27T00:34:23"/>
        <d v="2024-02-13T00:07:49"/>
        <d v="2026-01-14T03:53:10"/>
        <d v="2025-03-06T18:38:36"/>
        <d v="2025-03-02T23:59:36"/>
        <d v="2026-01-26T19:52:50"/>
        <d v="2025-06-15T03:19:02"/>
        <d v="2025-09-08T09:28:43"/>
        <d v="2026-03-06T16:30:31"/>
        <d v="2024-11-12T03:52:30"/>
        <d v="2026-02-02T12:04:14"/>
        <d v="2025-01-18T17:19:05"/>
        <d v="2025-06-05T17:40:16"/>
        <d v="2025-04-15T00:31:34"/>
        <d v="2025-01-26T11:42:34"/>
        <d v="2024-12-24T10:13:02"/>
        <d v="2024-07-22T08:41:35"/>
        <d v="2026-01-21T19:45:12"/>
        <d v="2026-01-01T12:59:42"/>
        <d v="2025-04-16T16:44:05"/>
        <d v="2025-04-26T21:46:57"/>
        <d v="2024-10-19T05:21:49"/>
        <d v="2025-05-26T00:48:01"/>
        <d v="2025-05-30T06:34:31"/>
        <d v="2024-06-11T00:22:51"/>
        <d v="2025-01-11T13:24:16"/>
        <d v="2025-11-17T15:27:43"/>
        <d v="2024-10-03T04:20:56"/>
        <d v="2025-04-11T01:31:00"/>
        <d v="2024-03-23T23:41:15"/>
        <d v="2025-06-30T16:30:32"/>
        <d v="2024-03-29T22:52:03"/>
        <d v="2025-06-21T16:51:11"/>
        <d v="2024-10-27T22:47:15"/>
        <d v="2024-12-24T13:55:01"/>
        <d v="2025-08-15T08:20:12"/>
        <d v="2026-03-27T15:30:56"/>
        <d v="2024-07-18T18:53:50"/>
        <d v="2024-07-22T01:05:00"/>
        <d v="2024-09-18T18:38:09"/>
        <d v="2025-09-08T10:21:01"/>
        <d v="2025-07-28T05:23:48"/>
        <d v="2024-11-19T17:56:19"/>
        <d v="2024-11-10T01:32:59"/>
        <d v="2025-09-29T00:57:23"/>
        <d v="2024-06-17T02:33:00"/>
        <d v="2024-07-09T13:14:06"/>
        <d v="2025-09-26T21:39:18"/>
        <d v="2024-06-10T15:39:08"/>
        <d v="2024-05-08T18:38:30"/>
        <d v="2025-11-20T11:47:25"/>
        <d v="2025-12-27T10:22:07"/>
        <d v="2026-03-16T14:13:14"/>
        <d v="2026-03-17T23:19:10"/>
        <d v="2024-04-26T22:08:00"/>
        <d v="2025-10-27T03:53:19"/>
        <d v="2024-01-31T16:04:57"/>
        <d v="2024-01-27T05:44:18"/>
        <d v="2024-05-18T06:15:15"/>
        <d v="2026-03-08T20:24:07"/>
        <d v="2024-02-03T08:18:07"/>
        <d v="2025-06-15T15:38:39"/>
        <d v="2025-12-26T15:00:03"/>
        <d v="2025-11-29T17:22:14"/>
        <d v="2024-07-23T18:15:03"/>
        <d v="2024-08-29T13:44:02"/>
        <d v="2025-05-10T11:48:17"/>
        <d v="2025-01-28T02:04:38"/>
        <d v="2024-09-22T03:05:49"/>
        <d v="2025-04-11T14:17:36"/>
        <d v="2024-01-20T23:18:08"/>
        <d v="2025-03-08T13:29:45"/>
        <d v="2024-12-18T09:43:11"/>
        <d v="2025-04-29T15:11:22"/>
        <d v="2024-02-21T03:01:17"/>
        <d v="2024-02-28T23:16:04"/>
        <d v="2024-08-21T08:58:10"/>
        <d v="2024-08-11T23:54:30"/>
        <d v="2024-07-01T14:18:51"/>
        <d v="2024-11-07T21:52:23"/>
        <d v="2025-03-16T14:36:29"/>
        <d v="2025-09-30T21:58:24"/>
        <d v="2026-03-02T19:51:55"/>
        <d v="2025-08-11T19:34:07"/>
        <d v="2025-01-18T10:01:15"/>
        <d v="2024-10-15T00:42:01"/>
        <d v="2025-03-04T17:38:05"/>
        <d v="2025-02-14T18:55:33"/>
        <d v="2024-11-14T11:56:32"/>
        <d v="2024-01-06T23:12:14"/>
        <d v="2025-04-15T07:40:45"/>
        <d v="2025-11-08T02:16:06"/>
        <d v="2025-05-07T05:47:48"/>
        <d v="2026-02-09T16:24:54"/>
        <d v="2024-10-06T22:25:38"/>
        <d v="2024-08-05T20:04:42"/>
        <d v="2024-03-10T18:23:03"/>
        <d v="2025-01-17T01:29:49"/>
        <d v="2025-09-27T05:08:09"/>
        <d v="2024-05-05T03:39:27"/>
        <d v="2024-08-25T01:37:21"/>
        <d v="2025-11-20T05:06:36"/>
        <d v="2026-03-02T07:36:04"/>
        <d v="2024-04-06T04:57:18"/>
        <d v="2025-12-16T02:19:26"/>
        <d v="2026-03-11T04:04:11"/>
        <d v="2026-03-12T22:11:20"/>
        <d v="2025-11-09T10:35:35"/>
        <d v="2024-01-11T01:06:19"/>
        <d v="2024-06-17T02:59:34"/>
        <d v="2025-11-26T04:07:49"/>
        <d v="2025-12-23T16:58:45"/>
        <d v="2026-03-15T19:39:05"/>
        <d v="2025-02-16T12:54:04"/>
        <d v="2025-12-09T20:08:29"/>
        <d v="2024-02-03T23:07:52"/>
        <d v="2024-11-20T01:34:29"/>
        <d v="2024-07-30T03:53:12"/>
        <d v="2025-11-27T07:48:07"/>
        <d v="2024-02-09T13:44:20"/>
        <d v="2024-05-03T18:46:38"/>
        <d v="2024-01-21T07:35:06"/>
        <d v="2026-03-15T08:58:29"/>
        <d v="2024-02-28T08:41:41"/>
        <d v="2024-11-14T00:30:09"/>
        <d v="2026-01-13T02:26:35"/>
        <d v="2024-11-24T13:24:56"/>
        <d v="2024-04-25T22:13:49"/>
        <d v="2024-12-01T17:47:23"/>
        <d v="2026-02-21T09:48:05"/>
        <d v="2025-01-09T03:13:44"/>
        <d v="2024-07-19T02:21:40"/>
        <d v="2024-03-08T11:56:43"/>
        <d v="2024-11-16T20:30:07"/>
        <d v="2025-01-30T12:11:41"/>
        <d v="2025-10-08T14:00:16"/>
        <d v="2026-03-14T13:41:14"/>
        <d v="2024-09-23T09:08:25"/>
        <d v="2026-01-01T03:07:35"/>
        <d v="2025-08-23T11:11:47"/>
        <d v="2024-02-29T09:20:40"/>
        <d v="2025-01-28T13:40:06"/>
        <d v="2024-12-30T04:54:35"/>
        <d v="2024-02-12T06:05:40"/>
        <d v="2024-07-27T20:38:54"/>
        <d v="2026-02-27T02:40:34"/>
        <d v="2025-01-15T07:37:48"/>
        <d v="2024-06-24T01:22:06"/>
        <d v="2024-12-03T17:37:27"/>
        <d v="2025-12-12T22:03:31"/>
        <d v="2024-12-14T14:38:50"/>
        <d v="2024-09-03T11:29:36"/>
        <d v="2024-10-20T08:58:59"/>
        <d v="2024-04-08T03:33:42"/>
        <d v="2024-10-18T02:00:06"/>
        <d v="2025-08-04T05:18:25"/>
        <d v="2024-04-01T08:42:01"/>
        <d v="2024-11-27T06:17:19"/>
        <d v="2025-02-22T17:06:28"/>
        <d v="2024-03-24T04:41:53"/>
        <d v="2024-01-12T13:16:51"/>
        <d v="2024-07-08T18:57:01"/>
        <d v="2026-02-06T00:13:25"/>
        <d v="2024-04-29T04:09:21"/>
        <d v="2024-10-27T14:56:22"/>
        <d v="2024-02-15T17:03:07"/>
        <d v="2025-05-23T22:16:33"/>
        <d v="2025-09-27T10:57:18"/>
        <d v="2024-01-17T02:45:45"/>
        <d v="2024-06-20T21:52:26"/>
        <d v="2024-05-24T09:12:27"/>
        <d v="2025-04-11T08:06:15"/>
        <d v="2025-08-31T09:49:41"/>
        <d v="2025-05-25T03:22:53"/>
        <d v="2026-02-27T09:21:06"/>
        <d v="2024-09-16T10:43:04"/>
        <d v="2025-04-12T06:15:21"/>
        <d v="2024-08-08T03:22:25"/>
        <d v="2024-10-22T07:27:22"/>
        <d v="2025-02-05T03:16:18"/>
        <d v="2024-08-28T16:35:00"/>
        <d v="2025-10-17T09:19:48"/>
        <d v="2024-08-17T11:51:24"/>
        <d v="2024-12-11T18:06:06"/>
        <d v="2025-09-25T06:39:26"/>
        <d v="2024-03-11T11:35:22"/>
        <d v="2025-05-02T03:46:04"/>
        <d v="2024-03-01T02:34:30"/>
        <d v="2025-08-09T18:27:49"/>
        <d v="2026-02-22T13:13:23"/>
        <d v="2025-11-09T18:27:47"/>
        <d v="2024-06-03T21:42:40"/>
        <d v="2025-09-04T04:48:02"/>
        <d v="2025-08-11T17:28:15"/>
        <d v="2026-01-19T01:26:09"/>
        <d v="2025-07-15T16:09:08"/>
        <d v="2024-07-18T04:24:26"/>
        <d v="2024-02-04T00:17:50"/>
        <d v="2025-08-02T11:14:49"/>
        <d v="2024-10-21T03:59:20"/>
        <d v="2024-08-26T13:57:36"/>
        <d v="2025-12-31T22:57:12"/>
        <d v="2025-02-27T15:52:04"/>
        <d v="2024-08-28T13:57:37"/>
        <d v="2025-10-06T01:00:03"/>
        <d v="2024-12-08T14:22:29"/>
        <d v="2025-09-15T15:01:16"/>
        <d v="2025-08-28T17:40:33"/>
        <d v="2024-08-28T21:43:18"/>
        <d v="2025-02-15T09:53:38"/>
        <d v="2024-06-25T20:13:19"/>
        <d v="2024-09-06T08:52:12"/>
        <d v="2024-01-02T18:05:31"/>
        <d v="2026-01-08T03:11:29"/>
        <d v="2024-02-20T14:55:52"/>
        <d v="2025-05-20T00:37:47"/>
        <d v="2026-02-09T16:52:18"/>
        <d v="2025-08-26T22:11:08"/>
        <d v="2024-06-30T09:40:18"/>
        <d v="2024-10-20T23:38:44"/>
        <d v="2024-10-27T19:05:53"/>
        <d v="2026-03-31T06:00:07"/>
        <d v="2024-10-08T01:03:30"/>
        <d v="2026-02-28T15:45:35"/>
        <d v="2025-03-21T00:50:47"/>
        <d v="2024-10-19T04:17:13"/>
        <d v="2025-06-17T13:53:37"/>
        <d v="2025-05-11T00:21:21"/>
        <d v="2024-03-27T09:30:27"/>
        <d v="2024-11-08T10:57:14"/>
      </sharedItems>
      <fieldGroup par="26"/>
    </cacheField>
    <cacheField name="closed_at" numFmtId="0">
      <sharedItems containsNonDate="0" containsDate="1" containsString="0" containsBlank="1" minDate="2024-01-02T03:27:56" maxDate="2026-03-31T08:38:07"/>
    </cacheField>
    <cacheField name="channel" numFmtId="0">
      <sharedItems count="7">
        <s v="WhatsApp"/>
        <s v="Phone"/>
        <s v="Web"/>
        <s v="IVR"/>
        <s v="Chat"/>
        <s v="Email"/>
        <s v="Mobile App"/>
      </sharedItems>
    </cacheField>
    <cacheField name="issue_type" numFmtId="0">
      <sharedItems count="6">
        <s v="Service Quality"/>
        <s v="Refund"/>
        <s v="Billing"/>
        <s v="Delivery Delay"/>
        <s v="Account Access"/>
        <s v="Technical Issue"/>
      </sharedItems>
    </cacheField>
    <cacheField name="priority" numFmtId="0">
      <sharedItems count="4">
        <s v="High"/>
        <s v="Low"/>
        <s v="Medium"/>
        <s v="Urgent"/>
      </sharedItems>
    </cacheField>
    <cacheField name="status" numFmtId="0">
      <sharedItems count="6">
        <s v="Closed"/>
        <s v="Escalated"/>
        <s v="In Progress"/>
        <s v="Open"/>
        <s v="Pending Customer"/>
        <s v="Resolved"/>
      </sharedItems>
    </cacheField>
    <cacheField name="first_response_minutes" numFmtId="0">
      <sharedItems containsSemiMixedTypes="0" containsString="0" containsNumber="1" containsInteger="1" minValue="1" maxValue="115"/>
    </cacheField>
    <cacheField name="resolution_minutes" numFmtId="0">
      <sharedItems containsString="0" containsBlank="1" containsNumber="1" containsInteger="1" minValue="6" maxValue="1774"/>
    </cacheField>
    <cacheField name="sla_breached_flag" numFmtId="0">
      <sharedItems containsSemiMixedTypes="0" containsString="0" containsNumber="1" containsInteger="1" minValue="0" maxValue="1"/>
    </cacheField>
    <cacheField name="ticket_summary" numFmtId="0">
      <sharedItems/>
    </cacheField>
    <cacheField name="#" numFmtId="0">
      <sharedItems containsSemiMixedTypes="0" containsString="0" containsNumber="1" containsInteger="1" minValue="1" maxValue="1500"/>
    </cacheField>
    <cacheField name="status_cleaned" numFmtId="0">
      <sharedItems count="3">
        <s v="Closed"/>
        <s v="Open"/>
        <s v="Pending"/>
      </sharedItems>
    </cacheField>
    <cacheField name="is_closed" numFmtId="0">
      <sharedItems containsSemiMixedTypes="0" containsString="0" containsNumber="1" containsInteger="1" minValue="0" maxValue="1"/>
    </cacheField>
    <cacheField name="month_year" numFmtId="0">
      <sharedItems/>
    </cacheField>
    <cacheField name="year_month_sort" numFmtId="0">
      <sharedItems containsSemiMixedTypes="0" containsString="0" containsNumber="1" containsInteger="1" minValue="202401" maxValue="202603"/>
    </cacheField>
    <cacheField name="month_start" numFmtId="175">
      <sharedItems containsSemiMixedTypes="0" containsNonDate="0" containsDate="1" containsString="0" minDate="2024-01-01T00:00:00" maxDate="2026-03-02T00:00:00" count="27">
        <d v="2026-01-01T00:00:00"/>
        <d v="2024-10-01T00:00:00"/>
        <d v="2024-04-01T00:00:00"/>
        <d v="2024-09-01T00:00:00"/>
        <d v="2025-11-01T00:00:00"/>
        <d v="2025-05-01T00:00:00"/>
        <d v="2025-04-01T00:00:00"/>
        <d v="2024-02-01T00:00:00"/>
        <d v="2025-10-01T00:00:00"/>
        <d v="2025-09-01T00:00:00"/>
        <d v="2026-03-01T00:00:00"/>
        <d v="2024-11-01T00:00:00"/>
        <d v="2024-12-01T00:00:00"/>
        <d v="2025-07-01T00:00:00"/>
        <d v="2025-02-01T00:00:00"/>
        <d v="2024-03-01T00:00:00"/>
        <d v="2025-01-01T00:00:00"/>
        <d v="2024-01-01T00:00:00"/>
        <d v="2024-08-01T00:00:00"/>
        <d v="2025-06-01T00:00:00"/>
        <d v="2025-03-01T00:00:00"/>
        <d v="2025-12-01T00:00:00"/>
        <d v="2025-08-01T00:00:00"/>
        <d v="2024-07-01T00:00:00"/>
        <d v="2024-05-01T00:00:00"/>
        <d v="2026-02-01T00:00:00"/>
        <d v="2024-06-01T00:00:00"/>
      </sharedItems>
    </cacheField>
    <cacheField name="Closure Rate" numFmtId="0" formula="ticket_id /is_closed" databaseField="0"/>
    <cacheField name="closure rate2" numFmtId="0" formula="ticket_id/is_closed" databaseField="0"/>
    <cacheField name="Closed%" numFmtId="0" formula="is_closed/ticket_id" databaseField="0"/>
    <cacheField name="Months (opened_at)" numFmtId="0" databaseField="0">
      <fieldGroup base="6">
        <rangePr groupBy="months" startDate="2024-01-02T02:46:56" endDate="2026-03-31T06:00:07"/>
        <groupItems count="14">
          <s v="&lt;1/2/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/31/2026"/>
        </groupItems>
      </fieldGroup>
    </cacheField>
    <cacheField name="Years (opened_at)" numFmtId="0" databaseField="0">
      <fieldGroup base="6">
        <rangePr groupBy="years" startDate="2024-01-02T02:46:56" endDate="2026-03-31T06:00:07"/>
        <groupItems count="5">
          <s v="&lt;1/2/2024"/>
          <s v="2024"/>
          <s v="2025"/>
          <s v="2026"/>
          <s v="&gt;3/31/2026"/>
        </groupItems>
      </fieldGroup>
    </cacheField>
  </cacheFields>
  <extLst>
    <ext xmlns:x14="http://schemas.microsoft.com/office/spreadsheetml/2009/9/main" uri="{725AE2AE-9491-48be-B2B4-4EB974FC3084}">
      <x14:pivotCacheDefinition pivotCacheId="169292435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00">
  <r>
    <n v="1029953578"/>
    <n v="409883716"/>
    <s v="Linda Hall"/>
    <s v="hevans@example.net"/>
    <n v="84752529"/>
    <n v="6361566970"/>
    <x v="0"/>
    <d v="2026-01-21T13:33:42"/>
    <x v="0"/>
    <x v="0"/>
    <x v="0"/>
    <x v="0"/>
    <n v="24"/>
    <n v="1059"/>
    <n v="0"/>
    <s v="Customer reported intermittent service and repeat disruptions"/>
    <n v="5"/>
    <x v="0"/>
    <n v="1"/>
    <s v="Jan 2026"/>
    <n v="202601"/>
    <x v="0"/>
  </r>
  <r>
    <n v="1066128567"/>
    <n v="667121569"/>
    <s v="Kenneth Schmidt"/>
    <s v="marissasutton@example.com"/>
    <n v="49349722"/>
    <m/>
    <x v="1"/>
    <d v="2024-10-11T14:11:43"/>
    <x v="1"/>
    <x v="1"/>
    <x v="1"/>
    <x v="0"/>
    <n v="28"/>
    <n v="524"/>
    <n v="0"/>
    <s v="Refund status or reversal timeline inquiry"/>
    <n v="12"/>
    <x v="0"/>
    <n v="1"/>
    <s v="Oct 2024"/>
    <n v="202410"/>
    <x v="1"/>
  </r>
  <r>
    <n v="1101067602"/>
    <n v="809656613"/>
    <s v="Brianna Murray"/>
    <s v="michaelbrown@example.com"/>
    <n v="78137358"/>
    <m/>
    <x v="2"/>
    <d v="2024-04-23T09:29:51"/>
    <x v="2"/>
    <x v="2"/>
    <x v="1"/>
    <x v="0"/>
    <n v="19"/>
    <n v="719"/>
    <n v="0"/>
    <s v="Customer questioned invoice amount and prorated charges"/>
    <n v="18"/>
    <x v="0"/>
    <n v="1"/>
    <s v="Apr 2024"/>
    <n v="202404"/>
    <x v="2"/>
  </r>
  <r>
    <n v="1108032224"/>
    <n v="523625992"/>
    <s v="Jeanette Brown"/>
    <s v="umcclure@example.com"/>
    <n v="38898923"/>
    <m/>
    <x v="3"/>
    <d v="2024-09-21T15:47:01"/>
    <x v="3"/>
    <x v="1"/>
    <x v="1"/>
    <x v="0"/>
    <n v="45"/>
    <n v="441"/>
    <n v="0"/>
    <s v="Refund status or reversal timeline inquiry"/>
    <n v="19"/>
    <x v="0"/>
    <n v="1"/>
    <s v="Sep 2024"/>
    <n v="202409"/>
    <x v="3"/>
  </r>
  <r>
    <n v="1213934655"/>
    <n v="208599066"/>
    <s v="Kyle Francis"/>
    <s v="michellehill@example.com"/>
    <n v="72043515"/>
    <m/>
    <x v="4"/>
    <d v="2025-11-07T10:39:34"/>
    <x v="4"/>
    <x v="3"/>
    <x v="2"/>
    <x v="0"/>
    <n v="26"/>
    <n v="87"/>
    <n v="0"/>
    <s v="Shipment or installation appointment delayed beyond ETA"/>
    <n v="40"/>
    <x v="0"/>
    <n v="1"/>
    <s v="Nov 2025"/>
    <n v="202511"/>
    <x v="4"/>
  </r>
  <r>
    <n v="1230504525"/>
    <n v="625968839"/>
    <s v="Greg Jones"/>
    <s v="hgardner@example.com"/>
    <n v="96977837"/>
    <m/>
    <x v="5"/>
    <d v="2025-05-02T16:28:28"/>
    <x v="1"/>
    <x v="3"/>
    <x v="0"/>
    <x v="0"/>
    <n v="59"/>
    <n v="1175"/>
    <n v="0"/>
    <s v="Shipment or installation appointment delayed beyond ETA"/>
    <n v="44"/>
    <x v="0"/>
    <n v="1"/>
    <s v="May 2025"/>
    <n v="202505"/>
    <x v="5"/>
  </r>
  <r>
    <n v="1245499456"/>
    <n v="406084084"/>
    <s v="Haley Davis"/>
    <s v="marypeterson@example.net"/>
    <n v="66792612"/>
    <m/>
    <x v="6"/>
    <d v="2025-11-18T13:45:12"/>
    <x v="2"/>
    <x v="4"/>
    <x v="2"/>
    <x v="0"/>
    <n v="25"/>
    <n v="120"/>
    <n v="0"/>
    <s v="Login, OTP, or password reset issue"/>
    <n v="49"/>
    <x v="0"/>
    <n v="1"/>
    <s v="Nov 2025"/>
    <n v="202511"/>
    <x v="4"/>
  </r>
  <r>
    <n v="1274722641"/>
    <n v="264299106"/>
    <s v="Veronica Lewis"/>
    <s v="mirandacisneros@example.net"/>
    <n v="45935572"/>
    <m/>
    <x v="7"/>
    <d v="2025-04-12T21:38:16"/>
    <x v="2"/>
    <x v="0"/>
    <x v="3"/>
    <x v="0"/>
    <n v="37"/>
    <n v="666"/>
    <n v="0"/>
    <s v="Customer reported intermittent service and repeat disruptions"/>
    <n v="56"/>
    <x v="0"/>
    <n v="1"/>
    <s v="Apr 2025"/>
    <n v="202504"/>
    <x v="6"/>
  </r>
  <r>
    <n v="1285873517"/>
    <n v="409883716"/>
    <s v="Linda Hall"/>
    <s v="hevans@example.net"/>
    <n v="45812670"/>
    <n v="6361566970"/>
    <x v="8"/>
    <d v="2024-02-26T12:54:01"/>
    <x v="5"/>
    <x v="0"/>
    <x v="2"/>
    <x v="0"/>
    <n v="41"/>
    <n v="115"/>
    <n v="0"/>
    <s v="Customer reported intermittent service and repeat disruptions"/>
    <n v="59"/>
    <x v="0"/>
    <n v="1"/>
    <s v="Feb 2024"/>
    <n v="202402"/>
    <x v="7"/>
  </r>
  <r>
    <n v="1545038707"/>
    <n v="380016058"/>
    <s v="Crystal Hansen"/>
    <s v="kelsey85@example.org"/>
    <n v="61019678"/>
    <m/>
    <x v="9"/>
    <d v="2025-10-16T20:16:05"/>
    <x v="3"/>
    <x v="2"/>
    <x v="3"/>
    <x v="0"/>
    <n v="55"/>
    <n v="502"/>
    <n v="0"/>
    <s v="Customer questioned invoice amount and prorated charges"/>
    <n v="92"/>
    <x v="0"/>
    <n v="1"/>
    <s v="Oct 2025"/>
    <n v="202510"/>
    <x v="8"/>
  </r>
  <r>
    <n v="1558305950"/>
    <n v="730104453"/>
    <s v="Lauren Bowman"/>
    <s v="angelathomas@example.org"/>
    <n v="84752529"/>
    <m/>
    <x v="10"/>
    <d v="2025-04-26T15:33:35"/>
    <x v="2"/>
    <x v="2"/>
    <x v="2"/>
    <x v="0"/>
    <n v="5"/>
    <n v="537"/>
    <n v="0"/>
    <s v="Customer questioned invoice amount and prorated charges"/>
    <n v="94"/>
    <x v="0"/>
    <n v="1"/>
    <s v="Apr 2025"/>
    <n v="202504"/>
    <x v="6"/>
  </r>
  <r>
    <n v="1568821556"/>
    <n v="868847524"/>
    <s v="Kevin Marquez"/>
    <s v="nicoledavis@example.com"/>
    <n v="60185867"/>
    <m/>
    <x v="11"/>
    <d v="2025-04-13T20:42:36"/>
    <x v="6"/>
    <x v="4"/>
    <x v="2"/>
    <x v="0"/>
    <n v="31"/>
    <n v="483"/>
    <n v="0"/>
    <s v="Login, OTP, or password reset issue"/>
    <n v="96"/>
    <x v="0"/>
    <n v="1"/>
    <s v="Apr 2025"/>
    <n v="202504"/>
    <x v="6"/>
  </r>
  <r>
    <n v="1585370448"/>
    <n v="905196831"/>
    <s v="Diane Byrd MD"/>
    <s v="bsparks@example.com"/>
    <n v="45935572"/>
    <m/>
    <x v="12"/>
    <d v="2025-09-13T14:03:02"/>
    <x v="3"/>
    <x v="5"/>
    <x v="0"/>
    <x v="0"/>
    <n v="33"/>
    <n v="227"/>
    <n v="0"/>
    <s v="App, network, or device troubleshooting requested"/>
    <n v="102"/>
    <x v="0"/>
    <n v="1"/>
    <s v="Sep 2025"/>
    <n v="202509"/>
    <x v="9"/>
  </r>
  <r>
    <n v="1619440350"/>
    <n v="902874167"/>
    <s v="Michael Sweeney"/>
    <s v="michaellopez@example.net"/>
    <n v="39587039"/>
    <m/>
    <x v="13"/>
    <d v="2026-03-18T13:28:01"/>
    <x v="4"/>
    <x v="4"/>
    <x v="1"/>
    <x v="0"/>
    <n v="70"/>
    <n v="542"/>
    <n v="0"/>
    <s v="Login, OTP, or password reset issue"/>
    <n v="110"/>
    <x v="0"/>
    <n v="1"/>
    <s v="Mar 2026"/>
    <n v="202603"/>
    <x v="10"/>
  </r>
  <r>
    <n v="1632906836"/>
    <n v="146744734"/>
    <s v="Scott Rubio"/>
    <s v="uwatson@example.com"/>
    <n v="86125617"/>
    <n v="9853429656"/>
    <x v="14"/>
    <d v="2025-05-10T01:26:25"/>
    <x v="6"/>
    <x v="2"/>
    <x v="0"/>
    <x v="0"/>
    <n v="15"/>
    <n v="436"/>
    <n v="0"/>
    <s v="Customer questioned invoice amount and prorated charges"/>
    <n v="114"/>
    <x v="0"/>
    <n v="1"/>
    <s v="May 2025"/>
    <n v="202505"/>
    <x v="5"/>
  </r>
  <r>
    <n v="1659754058"/>
    <n v="459748735"/>
    <s v="Michael Forbes"/>
    <s v="jennifer54@example.org"/>
    <n v="95822412"/>
    <m/>
    <x v="15"/>
    <d v="2025-11-10T02:40:34"/>
    <x v="2"/>
    <x v="1"/>
    <x v="2"/>
    <x v="0"/>
    <n v="60"/>
    <n v="366"/>
    <n v="0"/>
    <s v="Refund status or reversal timeline inquiry"/>
    <n v="116"/>
    <x v="0"/>
    <n v="1"/>
    <s v="Nov 2025"/>
    <n v="202511"/>
    <x v="4"/>
  </r>
  <r>
    <n v="1683002790"/>
    <n v="226444910"/>
    <s v="Crystal Greene"/>
    <s v="chavezsteven@example.com"/>
    <n v="97226012"/>
    <m/>
    <x v="16"/>
    <d v="2024-11-14T13:21:37"/>
    <x v="1"/>
    <x v="2"/>
    <x v="2"/>
    <x v="0"/>
    <n v="2"/>
    <n v="883"/>
    <n v="0"/>
    <s v="Customer questioned invoice amount and prorated charges"/>
    <n v="120"/>
    <x v="0"/>
    <n v="1"/>
    <s v="Nov 2024"/>
    <n v="202411"/>
    <x v="11"/>
  </r>
  <r>
    <n v="1703197090"/>
    <n v="356927167"/>
    <s v="Sonya Robinson"/>
    <s v="broberts@example.net"/>
    <n v="49349722"/>
    <m/>
    <x v="17"/>
    <d v="2024-12-03T11:38:52"/>
    <x v="6"/>
    <x v="1"/>
    <x v="2"/>
    <x v="0"/>
    <n v="68"/>
    <n v="768"/>
    <n v="0"/>
    <s v="Refund status or reversal timeline inquiry"/>
    <n v="124"/>
    <x v="0"/>
    <n v="1"/>
    <s v="Dec 2024"/>
    <n v="202412"/>
    <x v="12"/>
  </r>
  <r>
    <n v="1732838768"/>
    <n v="415081566"/>
    <s v="Nicole Ward"/>
    <s v="daviskevin@example.com"/>
    <n v="31429110"/>
    <m/>
    <x v="18"/>
    <d v="2024-04-24T10:32:06"/>
    <x v="3"/>
    <x v="3"/>
    <x v="2"/>
    <x v="0"/>
    <n v="53"/>
    <n v="176"/>
    <n v="0"/>
    <s v="Shipment or installation appointment delayed beyond ETA"/>
    <n v="132"/>
    <x v="0"/>
    <n v="1"/>
    <s v="Apr 2024"/>
    <n v="202404"/>
    <x v="2"/>
  </r>
  <r>
    <n v="1742842974"/>
    <n v="968704078"/>
    <s v="Travis Stevens"/>
    <s v="christopher13@example.com"/>
    <n v="60185867"/>
    <n v="6511412632"/>
    <x v="19"/>
    <d v="2025-07-25T04:19:40"/>
    <x v="0"/>
    <x v="2"/>
    <x v="0"/>
    <x v="0"/>
    <n v="9"/>
    <n v="572"/>
    <n v="0"/>
    <s v="Customer questioned invoice amount and prorated charges"/>
    <n v="137"/>
    <x v="0"/>
    <n v="1"/>
    <s v="Jul 2025"/>
    <n v="202507"/>
    <x v="13"/>
  </r>
  <r>
    <n v="1746037541"/>
    <n v="508226265"/>
    <s v="Jay Jackson"/>
    <s v="mortonjames@example.net"/>
    <n v="30514014"/>
    <m/>
    <x v="20"/>
    <d v="2025-02-07T22:39:00"/>
    <x v="6"/>
    <x v="1"/>
    <x v="0"/>
    <x v="0"/>
    <n v="29"/>
    <n v="449"/>
    <n v="0"/>
    <s v="Refund status or reversal timeline inquiry"/>
    <n v="139"/>
    <x v="0"/>
    <n v="1"/>
    <s v="Feb 2025"/>
    <n v="202502"/>
    <x v="14"/>
  </r>
  <r>
    <n v="1756187935"/>
    <n v="492566853"/>
    <s v="Eric Lopez"/>
    <s v="colongabrielle@example.com"/>
    <n v="66629388"/>
    <m/>
    <x v="21"/>
    <d v="2024-03-11T14:00:35"/>
    <x v="3"/>
    <x v="1"/>
    <x v="0"/>
    <x v="0"/>
    <n v="55"/>
    <n v="321"/>
    <n v="0"/>
    <s v="Refund status or reversal timeline inquiry"/>
    <n v="143"/>
    <x v="0"/>
    <n v="1"/>
    <s v="Mar 2024"/>
    <n v="202403"/>
    <x v="15"/>
  </r>
  <r>
    <n v="1780773101"/>
    <n v="946066287"/>
    <s v="Jerry Taylor"/>
    <s v="zhall@example.org"/>
    <n v="23718431"/>
    <m/>
    <x v="22"/>
    <d v="2025-11-06T08:37:09"/>
    <x v="1"/>
    <x v="3"/>
    <x v="2"/>
    <x v="0"/>
    <n v="25"/>
    <n v="460"/>
    <n v="0"/>
    <s v="Shipment or installation appointment delayed beyond ETA"/>
    <n v="152"/>
    <x v="0"/>
    <n v="1"/>
    <s v="Nov 2025"/>
    <n v="202511"/>
    <x v="4"/>
  </r>
  <r>
    <n v="1797308582"/>
    <n v="264752975"/>
    <s v="Jennifer Soto"/>
    <s v="edwardmolina@example.com"/>
    <n v="97971488"/>
    <n v="3203512161"/>
    <x v="23"/>
    <d v="2024-12-06T02:13:08"/>
    <x v="2"/>
    <x v="5"/>
    <x v="0"/>
    <x v="0"/>
    <n v="78"/>
    <n v="513"/>
    <n v="0"/>
    <s v="App, network, or device troubleshooting requested"/>
    <n v="155"/>
    <x v="0"/>
    <n v="1"/>
    <s v="Dec 2024"/>
    <n v="202412"/>
    <x v="12"/>
  </r>
  <r>
    <n v="1820561513"/>
    <n v="464037804"/>
    <s v="Samantha Davis"/>
    <s v="marybrown@example.org"/>
    <n v="32162965"/>
    <m/>
    <x v="24"/>
    <d v="2026-03-07T17:26:18"/>
    <x v="1"/>
    <x v="1"/>
    <x v="0"/>
    <x v="0"/>
    <n v="61"/>
    <n v="366"/>
    <n v="0"/>
    <s v="Refund status or reversal timeline inquiry"/>
    <n v="161"/>
    <x v="0"/>
    <n v="1"/>
    <s v="Mar 2026"/>
    <n v="202603"/>
    <x v="10"/>
  </r>
  <r>
    <n v="1826474162"/>
    <n v="845156039"/>
    <s v="Laura Walls"/>
    <s v="jonathan12@example.org"/>
    <n v="76238574"/>
    <m/>
    <x v="25"/>
    <d v="2025-01-25T23:06:04"/>
    <x v="1"/>
    <x v="0"/>
    <x v="0"/>
    <x v="0"/>
    <n v="37"/>
    <n v="773"/>
    <n v="0"/>
    <s v="Customer reported intermittent service and repeat disruptions"/>
    <n v="162"/>
    <x v="0"/>
    <n v="1"/>
    <s v="Jan 2025"/>
    <n v="202501"/>
    <x v="16"/>
  </r>
  <r>
    <n v="1874344554"/>
    <n v="124885365"/>
    <s v="Andre Lane"/>
    <s v="msanchez@example.com"/>
    <n v="42868828"/>
    <m/>
    <x v="26"/>
    <d v="2024-01-04T21:07:56"/>
    <x v="2"/>
    <x v="1"/>
    <x v="1"/>
    <x v="0"/>
    <n v="52"/>
    <n v="569"/>
    <n v="0"/>
    <s v="Refund status or reversal timeline inquiry"/>
    <n v="171"/>
    <x v="0"/>
    <n v="1"/>
    <s v="Jan 2024"/>
    <n v="202401"/>
    <x v="17"/>
  </r>
  <r>
    <n v="1898520373"/>
    <n v="196689473"/>
    <s v="Whitney Atkins"/>
    <s v="logansusan@example.net"/>
    <n v="66722344"/>
    <m/>
    <x v="27"/>
    <d v="2024-01-20T07:04:00"/>
    <x v="3"/>
    <x v="5"/>
    <x v="0"/>
    <x v="0"/>
    <n v="12"/>
    <n v="201"/>
    <n v="0"/>
    <s v="App, network, or device troubleshooting requested"/>
    <n v="178"/>
    <x v="0"/>
    <n v="1"/>
    <s v="Jan 2024"/>
    <n v="202401"/>
    <x v="17"/>
  </r>
  <r>
    <n v="1907415046"/>
    <n v="945432844"/>
    <s v="Jennifer Russo"/>
    <s v="barkerjohn@example.net"/>
    <n v="63606628"/>
    <m/>
    <x v="28"/>
    <d v="2025-10-06T05:07:55"/>
    <x v="1"/>
    <x v="2"/>
    <x v="0"/>
    <x v="0"/>
    <n v="17"/>
    <n v="128"/>
    <n v="0"/>
    <s v="Customer questioned invoice amount and prorated charges"/>
    <n v="179"/>
    <x v="0"/>
    <n v="1"/>
    <s v="Oct 2025"/>
    <n v="202510"/>
    <x v="8"/>
  </r>
  <r>
    <n v="1936995928"/>
    <n v="460015275"/>
    <s v="Timothy Johnson"/>
    <s v="cynthia05@example.org"/>
    <n v="33978249"/>
    <n v="1185010792"/>
    <x v="29"/>
    <d v="2025-11-20T12:09:48"/>
    <x v="0"/>
    <x v="4"/>
    <x v="1"/>
    <x v="0"/>
    <n v="22"/>
    <n v="614"/>
    <n v="0"/>
    <s v="Login, OTP, or password reset issue"/>
    <n v="187"/>
    <x v="0"/>
    <n v="1"/>
    <s v="Nov 2025"/>
    <n v="202511"/>
    <x v="4"/>
  </r>
  <r>
    <n v="2004047906"/>
    <n v="258214411"/>
    <s v="Warren Miles"/>
    <s v="rodriguezjohn@example.net"/>
    <n v="91030736"/>
    <m/>
    <x v="30"/>
    <d v="2024-08-28T05:34:50"/>
    <x v="0"/>
    <x v="4"/>
    <x v="0"/>
    <x v="0"/>
    <n v="28"/>
    <n v="247"/>
    <n v="0"/>
    <s v="Login, OTP, or password reset issue"/>
    <n v="198"/>
    <x v="0"/>
    <n v="1"/>
    <s v="Aug 2024"/>
    <n v="202408"/>
    <x v="18"/>
  </r>
  <r>
    <n v="2005178800"/>
    <n v="941599226"/>
    <s v="Kelly Owen"/>
    <s v="mmiller@example.org"/>
    <n v="20709497"/>
    <m/>
    <x v="31"/>
    <d v="2024-12-06T22:02:57"/>
    <x v="1"/>
    <x v="0"/>
    <x v="2"/>
    <x v="0"/>
    <n v="40"/>
    <n v="160"/>
    <n v="0"/>
    <s v="Customer reported intermittent service and repeat disruptions"/>
    <n v="199"/>
    <x v="0"/>
    <n v="1"/>
    <s v="Dec 2024"/>
    <n v="202412"/>
    <x v="12"/>
  </r>
  <r>
    <n v="2016027792"/>
    <n v="642716859"/>
    <s v="Nicole Peterson"/>
    <s v="crivera@example.net"/>
    <n v="18883684"/>
    <n v="8585779744"/>
    <x v="32"/>
    <d v="2025-11-17T11:01:54"/>
    <x v="3"/>
    <x v="1"/>
    <x v="2"/>
    <x v="0"/>
    <n v="30"/>
    <n v="880"/>
    <n v="0"/>
    <s v="Refund status or reversal timeline inquiry"/>
    <n v="200"/>
    <x v="0"/>
    <n v="1"/>
    <s v="Nov 2025"/>
    <n v="202511"/>
    <x v="4"/>
  </r>
  <r>
    <n v="2052559186"/>
    <n v="797889971"/>
    <s v="Sharon Ayala"/>
    <s v="mark87@example.org"/>
    <n v="82383095"/>
    <m/>
    <x v="33"/>
    <d v="2025-06-05T07:34:35"/>
    <x v="4"/>
    <x v="2"/>
    <x v="0"/>
    <x v="0"/>
    <n v="49"/>
    <n v="712"/>
    <n v="0"/>
    <s v="Customer questioned invoice amount and prorated charges"/>
    <n v="203"/>
    <x v="0"/>
    <n v="1"/>
    <s v="Jun 2025"/>
    <n v="202506"/>
    <x v="19"/>
  </r>
  <r>
    <n v="2127061808"/>
    <n v="810741110"/>
    <s v="Misty Whitney"/>
    <s v="christopher60@example.com"/>
    <n v="17774584"/>
    <n v="6169317325"/>
    <x v="34"/>
    <d v="2025-10-15T08:11:48"/>
    <x v="3"/>
    <x v="3"/>
    <x v="1"/>
    <x v="0"/>
    <n v="47"/>
    <n v="810"/>
    <n v="0"/>
    <s v="Shipment or installation appointment delayed beyond ETA"/>
    <n v="210"/>
    <x v="0"/>
    <n v="1"/>
    <s v="Oct 2025"/>
    <n v="202510"/>
    <x v="8"/>
  </r>
  <r>
    <n v="2143407986"/>
    <n v="287974375"/>
    <s v="David Moss"/>
    <s v="bpeterson@example.com"/>
    <n v="81016525"/>
    <n v="3803069611"/>
    <x v="35"/>
    <d v="2024-01-06T15:31:10"/>
    <x v="0"/>
    <x v="3"/>
    <x v="1"/>
    <x v="0"/>
    <n v="1"/>
    <n v="277"/>
    <n v="0"/>
    <s v="Shipment or installation appointment delayed beyond ETA"/>
    <n v="213"/>
    <x v="0"/>
    <n v="1"/>
    <s v="Jan 2024"/>
    <n v="202401"/>
    <x v="17"/>
  </r>
  <r>
    <n v="2163531478"/>
    <n v="393622794"/>
    <s v="Gary Garcia"/>
    <s v="bartonpaige@example.net"/>
    <n v="31429110"/>
    <m/>
    <x v="36"/>
    <d v="2025-10-08T19:44:33"/>
    <x v="5"/>
    <x v="3"/>
    <x v="3"/>
    <x v="0"/>
    <n v="58"/>
    <n v="246"/>
    <n v="0"/>
    <s v="Shipment or installation appointment delayed beyond ETA"/>
    <n v="216"/>
    <x v="0"/>
    <n v="1"/>
    <s v="Oct 2025"/>
    <n v="202510"/>
    <x v="8"/>
  </r>
  <r>
    <n v="2174789396"/>
    <n v="139711044"/>
    <s v="Charles Delgado"/>
    <s v="thomasantonio@example.net"/>
    <n v="31831063"/>
    <n v="4329701564"/>
    <x v="37"/>
    <d v="2024-10-19T02:48:14"/>
    <x v="0"/>
    <x v="0"/>
    <x v="0"/>
    <x v="0"/>
    <n v="12"/>
    <n v="462"/>
    <n v="0"/>
    <s v="Customer reported intermittent service and repeat disruptions"/>
    <n v="218"/>
    <x v="0"/>
    <n v="1"/>
    <s v="Oct 2024"/>
    <n v="202410"/>
    <x v="1"/>
  </r>
  <r>
    <n v="2183736293"/>
    <n v="316456682"/>
    <s v="Daniel Brown"/>
    <s v="webbhaley@example.net"/>
    <n v="66722344"/>
    <m/>
    <x v="38"/>
    <d v="2025-10-11T16:57:10"/>
    <x v="0"/>
    <x v="0"/>
    <x v="2"/>
    <x v="0"/>
    <n v="27"/>
    <n v="741"/>
    <n v="0"/>
    <s v="Customer reported intermittent service and repeat disruptions"/>
    <n v="220"/>
    <x v="0"/>
    <n v="1"/>
    <s v="Oct 2025"/>
    <n v="202510"/>
    <x v="8"/>
  </r>
  <r>
    <n v="2196264906"/>
    <n v="999371401"/>
    <s v="Micheal West"/>
    <s v="nfleming@example.net"/>
    <n v="23756669"/>
    <m/>
    <x v="39"/>
    <d v="2024-04-11T12:35:26"/>
    <x v="5"/>
    <x v="5"/>
    <x v="3"/>
    <x v="0"/>
    <n v="49"/>
    <n v="569"/>
    <n v="0"/>
    <s v="App, network, or device troubleshooting requested"/>
    <n v="223"/>
    <x v="0"/>
    <n v="1"/>
    <s v="Apr 2024"/>
    <n v="202404"/>
    <x v="2"/>
  </r>
  <r>
    <n v="2235685421"/>
    <n v="829137330"/>
    <s v="Ernest Holden"/>
    <s v="ryanlong@example.org"/>
    <n v="86125617"/>
    <n v="2185183112"/>
    <x v="40"/>
    <d v="2024-01-07T17:16:50"/>
    <x v="3"/>
    <x v="2"/>
    <x v="0"/>
    <x v="0"/>
    <n v="23"/>
    <n v="325"/>
    <n v="0"/>
    <s v="Customer questioned invoice amount and prorated charges"/>
    <n v="227"/>
    <x v="0"/>
    <n v="1"/>
    <s v="Jan 2024"/>
    <n v="202401"/>
    <x v="17"/>
  </r>
  <r>
    <n v="2255494061"/>
    <n v="986485022"/>
    <s v="Kurt Williams"/>
    <s v="vhill@example.com"/>
    <n v="83793389"/>
    <m/>
    <x v="41"/>
    <d v="2024-11-02T20:23:11"/>
    <x v="3"/>
    <x v="3"/>
    <x v="0"/>
    <x v="0"/>
    <n v="14"/>
    <n v="570"/>
    <n v="0"/>
    <s v="Shipment or installation appointment delayed beyond ETA"/>
    <n v="231"/>
    <x v="0"/>
    <n v="1"/>
    <s v="Nov 2024"/>
    <n v="202411"/>
    <x v="11"/>
  </r>
  <r>
    <n v="2364919386"/>
    <n v="567013808"/>
    <s v="Kenneth Ballard"/>
    <s v="robbinsbelinda@example.net"/>
    <n v="45575298"/>
    <n v="2149575829"/>
    <x v="42"/>
    <d v="2024-01-27T22:08:27"/>
    <x v="6"/>
    <x v="4"/>
    <x v="2"/>
    <x v="0"/>
    <n v="63"/>
    <n v="200"/>
    <n v="0"/>
    <s v="Login, OTP, or password reset issue"/>
    <n v="249"/>
    <x v="0"/>
    <n v="1"/>
    <s v="Jan 2024"/>
    <n v="202401"/>
    <x v="17"/>
  </r>
  <r>
    <n v="2399522129"/>
    <n v="986090690"/>
    <s v="Jason Jenkins"/>
    <s v="gainesanthony@example.com"/>
    <n v="45812670"/>
    <n v="2175304017"/>
    <x v="43"/>
    <d v="2025-03-01T15:00:05"/>
    <x v="5"/>
    <x v="4"/>
    <x v="2"/>
    <x v="0"/>
    <n v="35"/>
    <n v="678"/>
    <n v="0"/>
    <s v="Login, OTP, or password reset issue"/>
    <n v="254"/>
    <x v="0"/>
    <n v="1"/>
    <s v="Mar 2025"/>
    <n v="202503"/>
    <x v="20"/>
  </r>
  <r>
    <n v="2407633783"/>
    <n v="543412542"/>
    <s v="Erin Williams"/>
    <s v="mcneilchristina@example.org"/>
    <n v="76238574"/>
    <n v="3478872199"/>
    <x v="44"/>
    <d v="2025-04-12T23:51:07"/>
    <x v="3"/>
    <x v="2"/>
    <x v="0"/>
    <x v="0"/>
    <n v="71"/>
    <n v="431"/>
    <n v="0"/>
    <s v="Customer questioned invoice amount and prorated charges"/>
    <n v="257"/>
    <x v="0"/>
    <n v="1"/>
    <s v="Apr 2025"/>
    <n v="202504"/>
    <x v="6"/>
  </r>
  <r>
    <n v="2431813429"/>
    <n v="607294618"/>
    <s v="Hailey Cunningham"/>
    <s v="paul20@example.com"/>
    <n v="25374874"/>
    <n v="8210601642"/>
    <x v="45"/>
    <d v="2025-12-27T21:40:50"/>
    <x v="0"/>
    <x v="4"/>
    <x v="2"/>
    <x v="0"/>
    <n v="43"/>
    <n v="614"/>
    <n v="0"/>
    <s v="Login, OTP, or password reset issue"/>
    <n v="262"/>
    <x v="0"/>
    <n v="1"/>
    <s v="Dec 2025"/>
    <n v="202512"/>
    <x v="21"/>
  </r>
  <r>
    <n v="2436758919"/>
    <n v="613818935"/>
    <s v="Carlos Delgado"/>
    <s v="michelleparker@example.net"/>
    <n v="66792612"/>
    <n v="2191405559"/>
    <x v="46"/>
    <d v="2025-01-01T13:29:10"/>
    <x v="3"/>
    <x v="5"/>
    <x v="1"/>
    <x v="0"/>
    <n v="35"/>
    <n v="479"/>
    <n v="0"/>
    <s v="App, network, or device troubleshooting requested"/>
    <n v="263"/>
    <x v="0"/>
    <n v="1"/>
    <s v="Jan 2025"/>
    <n v="202501"/>
    <x v="16"/>
  </r>
  <r>
    <n v="2470258460"/>
    <n v="569948247"/>
    <s v="Julian Conner"/>
    <s v="colelisa@example.net"/>
    <n v="27232410"/>
    <m/>
    <x v="47"/>
    <d v="2026-03-30T11:53:58"/>
    <x v="5"/>
    <x v="3"/>
    <x v="0"/>
    <x v="0"/>
    <n v="39"/>
    <n v="556"/>
    <n v="0"/>
    <s v="Shipment or installation appointment delayed beyond ETA"/>
    <n v="268"/>
    <x v="0"/>
    <n v="1"/>
    <s v="Mar 2026"/>
    <n v="202603"/>
    <x v="10"/>
  </r>
  <r>
    <n v="2487241262"/>
    <n v="121833792"/>
    <s v="Benjamin Phillips"/>
    <s v="prattsue@example.net"/>
    <n v="53507489"/>
    <m/>
    <x v="48"/>
    <d v="2025-05-27T19:56:09"/>
    <x v="3"/>
    <x v="1"/>
    <x v="1"/>
    <x v="0"/>
    <n v="56"/>
    <n v="556"/>
    <n v="0"/>
    <s v="Refund status or reversal timeline inquiry"/>
    <n v="270"/>
    <x v="0"/>
    <n v="1"/>
    <s v="May 2025"/>
    <n v="202505"/>
    <x v="5"/>
  </r>
  <r>
    <n v="2656323007"/>
    <n v="244096091"/>
    <s v="Antonio Atkins"/>
    <s v="bwilliams@example.com"/>
    <n v="89978790"/>
    <m/>
    <x v="49"/>
    <d v="2025-03-05T11:26:24"/>
    <x v="5"/>
    <x v="3"/>
    <x v="2"/>
    <x v="0"/>
    <n v="31"/>
    <n v="750"/>
    <n v="0"/>
    <s v="Shipment or installation appointment delayed beyond ETA"/>
    <n v="295"/>
    <x v="0"/>
    <n v="1"/>
    <s v="Mar 2025"/>
    <n v="202503"/>
    <x v="20"/>
  </r>
  <r>
    <n v="2664801050"/>
    <n v="166874023"/>
    <s v="Christina Martin"/>
    <s v="hubbardkeith@example.net"/>
    <n v="26879290"/>
    <m/>
    <x v="50"/>
    <d v="2024-03-10T15:36:42"/>
    <x v="3"/>
    <x v="1"/>
    <x v="2"/>
    <x v="0"/>
    <n v="26"/>
    <n v="807"/>
    <n v="0"/>
    <s v="Refund status or reversal timeline inquiry"/>
    <n v="296"/>
    <x v="0"/>
    <n v="1"/>
    <s v="Mar 2024"/>
    <n v="202403"/>
    <x v="15"/>
  </r>
  <r>
    <n v="2668144658"/>
    <n v="245737277"/>
    <s v="Shane Torres"/>
    <s v="porterdonna@example.com"/>
    <n v="58181396"/>
    <n v="1241941984"/>
    <x v="51"/>
    <d v="2024-02-05T01:48:28"/>
    <x v="4"/>
    <x v="2"/>
    <x v="1"/>
    <x v="0"/>
    <n v="52"/>
    <n v="699"/>
    <n v="0"/>
    <s v="Customer questioned invoice amount and prorated charges"/>
    <n v="298"/>
    <x v="0"/>
    <n v="1"/>
    <s v="Feb 2024"/>
    <n v="202402"/>
    <x v="7"/>
  </r>
  <r>
    <n v="2693876917"/>
    <n v="371993587"/>
    <s v="Leslie Mueller"/>
    <s v="vbradley@example.net"/>
    <n v="66792612"/>
    <n v="4191739394"/>
    <x v="52"/>
    <d v="2024-02-08T22:59:45"/>
    <x v="3"/>
    <x v="2"/>
    <x v="1"/>
    <x v="0"/>
    <n v="5"/>
    <n v="294"/>
    <n v="0"/>
    <s v="Customer questioned invoice amount and prorated charges"/>
    <n v="301"/>
    <x v="0"/>
    <n v="1"/>
    <s v="Feb 2024"/>
    <n v="202402"/>
    <x v="7"/>
  </r>
  <r>
    <n v="2732147710"/>
    <n v="511086777"/>
    <s v="Paul Estrada"/>
    <s v="glenmoore@example.com"/>
    <n v="91415657"/>
    <m/>
    <x v="53"/>
    <d v="2024-10-27T15:01:30"/>
    <x v="0"/>
    <x v="4"/>
    <x v="3"/>
    <x v="0"/>
    <n v="67"/>
    <n v="536"/>
    <n v="0"/>
    <s v="Login, OTP, or password reset issue"/>
    <n v="312"/>
    <x v="0"/>
    <n v="1"/>
    <s v="Oct 2024"/>
    <n v="202410"/>
    <x v="1"/>
  </r>
  <r>
    <n v="2759869561"/>
    <n v="973498494"/>
    <s v="Karl Murphy"/>
    <s v="ericnunez@example.com"/>
    <n v="55176955"/>
    <m/>
    <x v="54"/>
    <d v="2024-01-13T16:56:46"/>
    <x v="3"/>
    <x v="0"/>
    <x v="1"/>
    <x v="0"/>
    <n v="55"/>
    <n v="575"/>
    <n v="0"/>
    <s v="Customer reported intermittent service and repeat disruptions"/>
    <n v="316"/>
    <x v="0"/>
    <n v="1"/>
    <s v="Jan 2024"/>
    <n v="202401"/>
    <x v="17"/>
  </r>
  <r>
    <n v="2872140357"/>
    <n v="430366556"/>
    <s v="Melissa Travis"/>
    <s v="daniellechavez@example.net"/>
    <n v="71586053"/>
    <m/>
    <x v="55"/>
    <d v="2025-05-13T03:20:11"/>
    <x v="0"/>
    <x v="2"/>
    <x v="2"/>
    <x v="0"/>
    <n v="42"/>
    <n v="105"/>
    <n v="0"/>
    <s v="Customer questioned invoice amount and prorated charges"/>
    <n v="336"/>
    <x v="0"/>
    <n v="1"/>
    <s v="May 2025"/>
    <n v="202505"/>
    <x v="5"/>
  </r>
  <r>
    <n v="2983672651"/>
    <n v="272134062"/>
    <s v="James Taylor"/>
    <s v="joseph21@example.org"/>
    <n v="70291817"/>
    <m/>
    <x v="56"/>
    <d v="2025-08-25T06:23:10"/>
    <x v="3"/>
    <x v="3"/>
    <x v="2"/>
    <x v="0"/>
    <n v="72"/>
    <n v="636"/>
    <n v="0"/>
    <s v="Shipment or installation appointment delayed beyond ETA"/>
    <n v="358"/>
    <x v="0"/>
    <n v="1"/>
    <s v="Aug 2025"/>
    <n v="202508"/>
    <x v="22"/>
  </r>
  <r>
    <n v="2991491982"/>
    <n v="492750748"/>
    <s v="Ryan Thompson"/>
    <s v="andersoneric@example.net"/>
    <n v="88320463"/>
    <m/>
    <x v="57"/>
    <d v="2026-03-25T14:05:00"/>
    <x v="5"/>
    <x v="5"/>
    <x v="0"/>
    <x v="0"/>
    <n v="4"/>
    <n v="619"/>
    <n v="0"/>
    <s v="App, network, or device troubleshooting requested"/>
    <n v="361"/>
    <x v="0"/>
    <n v="1"/>
    <s v="Mar 2026"/>
    <n v="202603"/>
    <x v="10"/>
  </r>
  <r>
    <n v="3025574993"/>
    <n v="990949719"/>
    <s v="Manuel Sanchez"/>
    <s v="victor87@example.org"/>
    <n v="81182864"/>
    <m/>
    <x v="58"/>
    <d v="2025-08-14T11:48:11"/>
    <x v="4"/>
    <x v="5"/>
    <x v="0"/>
    <x v="0"/>
    <n v="26"/>
    <n v="262"/>
    <n v="0"/>
    <s v="App, network, or device troubleshooting requested"/>
    <n v="366"/>
    <x v="0"/>
    <n v="1"/>
    <s v="Aug 2025"/>
    <n v="202508"/>
    <x v="22"/>
  </r>
  <r>
    <n v="3028519189"/>
    <n v="588529624"/>
    <s v="Brian Welch"/>
    <s v="dthompson@example.org"/>
    <n v="75579548"/>
    <n v="8974804213"/>
    <x v="59"/>
    <d v="2025-11-03T15:23:32"/>
    <x v="0"/>
    <x v="0"/>
    <x v="0"/>
    <x v="0"/>
    <n v="14"/>
    <n v="301"/>
    <n v="0"/>
    <s v="Customer reported intermittent service and repeat disruptions"/>
    <n v="368"/>
    <x v="0"/>
    <n v="1"/>
    <s v="Nov 2025"/>
    <n v="202511"/>
    <x v="4"/>
  </r>
  <r>
    <n v="3036954255"/>
    <n v="801038300"/>
    <s v="Jason Randall"/>
    <s v="mccoydonna@example.com"/>
    <n v="53524491"/>
    <m/>
    <x v="60"/>
    <d v="2024-08-09T17:09:38"/>
    <x v="6"/>
    <x v="3"/>
    <x v="0"/>
    <x v="0"/>
    <n v="38"/>
    <n v="412"/>
    <n v="0"/>
    <s v="Shipment or installation appointment delayed beyond ETA"/>
    <n v="369"/>
    <x v="0"/>
    <n v="1"/>
    <s v="Aug 2024"/>
    <n v="202408"/>
    <x v="18"/>
  </r>
  <r>
    <n v="3041045082"/>
    <n v="231680929"/>
    <s v="Crystal Cummings"/>
    <s v="thomasblack@example.net"/>
    <n v="58966946"/>
    <n v="8503699096"/>
    <x v="61"/>
    <d v="2024-10-17T07:24:56"/>
    <x v="3"/>
    <x v="2"/>
    <x v="2"/>
    <x v="0"/>
    <n v="63"/>
    <n v="423"/>
    <n v="0"/>
    <s v="Customer questioned invoice amount and prorated charges"/>
    <n v="373"/>
    <x v="0"/>
    <n v="1"/>
    <s v="Oct 2024"/>
    <n v="202410"/>
    <x v="1"/>
  </r>
  <r>
    <n v="3054567093"/>
    <n v="587853601"/>
    <s v="Kathy Calhoun DDS"/>
    <s v="adam17@example.net"/>
    <n v="76238574"/>
    <m/>
    <x v="62"/>
    <d v="2025-01-21T19:03:09"/>
    <x v="0"/>
    <x v="1"/>
    <x v="2"/>
    <x v="0"/>
    <n v="52"/>
    <n v="100"/>
    <n v="0"/>
    <s v="Refund status or reversal timeline inquiry"/>
    <n v="375"/>
    <x v="0"/>
    <n v="1"/>
    <s v="Jan 2025"/>
    <n v="202501"/>
    <x v="16"/>
  </r>
  <r>
    <n v="3115864847"/>
    <n v="423358638"/>
    <s v="Shawn Collins"/>
    <s v="reyesbrianna@example.org"/>
    <n v="45503389"/>
    <m/>
    <x v="63"/>
    <d v="2025-11-26T15:08:58"/>
    <x v="6"/>
    <x v="4"/>
    <x v="3"/>
    <x v="0"/>
    <n v="18"/>
    <n v="85"/>
    <n v="0"/>
    <s v="Login, OTP, or password reset issue"/>
    <n v="382"/>
    <x v="0"/>
    <n v="1"/>
    <s v="Nov 2025"/>
    <n v="202511"/>
    <x v="4"/>
  </r>
  <r>
    <n v="3118519630"/>
    <n v="664226794"/>
    <s v="Alice Robinson"/>
    <s v="garybernard@example.net"/>
    <n v="91734598"/>
    <m/>
    <x v="64"/>
    <d v="2024-10-17T10:38:33"/>
    <x v="6"/>
    <x v="3"/>
    <x v="1"/>
    <x v="0"/>
    <n v="25"/>
    <n v="417"/>
    <n v="0"/>
    <s v="Shipment or installation appointment delayed beyond ETA"/>
    <n v="383"/>
    <x v="0"/>
    <n v="1"/>
    <s v="Oct 2024"/>
    <n v="202410"/>
    <x v="1"/>
  </r>
  <r>
    <n v="3119212740"/>
    <n v="938422254"/>
    <s v="Kimberly Smith"/>
    <s v="ehunt@example.net"/>
    <n v="81691040"/>
    <n v="3606517080"/>
    <x v="65"/>
    <d v="2024-07-15T15:51:30"/>
    <x v="2"/>
    <x v="1"/>
    <x v="0"/>
    <x v="0"/>
    <n v="26"/>
    <n v="289"/>
    <n v="0"/>
    <s v="Refund status or reversal timeline inquiry"/>
    <n v="384"/>
    <x v="0"/>
    <n v="1"/>
    <s v="Jul 2024"/>
    <n v="202407"/>
    <x v="23"/>
  </r>
  <r>
    <n v="3123741586"/>
    <n v="487195336"/>
    <s v="Catherine Keller"/>
    <s v="gary57@example.net"/>
    <n v="80823176"/>
    <m/>
    <x v="66"/>
    <d v="2024-11-20T23:19:51"/>
    <x v="5"/>
    <x v="5"/>
    <x v="2"/>
    <x v="0"/>
    <n v="110"/>
    <n v="445"/>
    <n v="0"/>
    <s v="App, network, or device troubleshooting requested"/>
    <n v="385"/>
    <x v="0"/>
    <n v="1"/>
    <s v="Nov 2024"/>
    <n v="202411"/>
    <x v="11"/>
  </r>
  <r>
    <n v="3132726250"/>
    <n v="598885034"/>
    <s v="Kristina Marquez"/>
    <s v="wrightalyssa@example.com"/>
    <n v="13561597"/>
    <m/>
    <x v="67"/>
    <d v="2024-09-08T21:43:47"/>
    <x v="6"/>
    <x v="5"/>
    <x v="1"/>
    <x v="0"/>
    <n v="3"/>
    <n v="494"/>
    <n v="0"/>
    <s v="App, network, or device troubleshooting requested"/>
    <n v="389"/>
    <x v="0"/>
    <n v="1"/>
    <s v="Sep 2024"/>
    <n v="202409"/>
    <x v="3"/>
  </r>
  <r>
    <n v="3243568900"/>
    <n v="874597473"/>
    <s v="Nathan Carter"/>
    <s v="jamietyler@example.com"/>
    <n v="24282218"/>
    <n v="9717351872"/>
    <x v="68"/>
    <d v="2024-04-10T12:43:20"/>
    <x v="4"/>
    <x v="0"/>
    <x v="3"/>
    <x v="0"/>
    <n v="19"/>
    <n v="244"/>
    <n v="0"/>
    <s v="Customer reported intermittent service and repeat disruptions"/>
    <n v="402"/>
    <x v="0"/>
    <n v="1"/>
    <s v="Apr 2024"/>
    <n v="202404"/>
    <x v="2"/>
  </r>
  <r>
    <n v="3278071297"/>
    <n v="655511084"/>
    <s v="Dustin Dorsey"/>
    <s v="tmcdaniel@example.org"/>
    <n v="39436733"/>
    <n v="5096047004"/>
    <x v="69"/>
    <d v="2025-08-19T17:07:45"/>
    <x v="1"/>
    <x v="0"/>
    <x v="1"/>
    <x v="0"/>
    <n v="79"/>
    <n v="446"/>
    <n v="0"/>
    <s v="Customer reported intermittent service and repeat disruptions"/>
    <n v="405"/>
    <x v="0"/>
    <n v="1"/>
    <s v="Aug 2025"/>
    <n v="202508"/>
    <x v="22"/>
  </r>
  <r>
    <n v="3281471258"/>
    <n v="271784435"/>
    <s v="Brandi Mcclain"/>
    <s v="carpenterjorge@example.net"/>
    <n v="51837852"/>
    <n v="8206651996"/>
    <x v="70"/>
    <d v="2025-06-13T02:58:46"/>
    <x v="2"/>
    <x v="2"/>
    <x v="1"/>
    <x v="0"/>
    <n v="43"/>
    <n v="647"/>
    <n v="0"/>
    <s v="Customer questioned invoice amount and prorated charges"/>
    <n v="406"/>
    <x v="0"/>
    <n v="1"/>
    <s v="Jun 2025"/>
    <n v="202506"/>
    <x v="19"/>
  </r>
  <r>
    <n v="3284482549"/>
    <n v="756102581"/>
    <s v="Zachary Johnson"/>
    <s v="dhansen@example.com"/>
    <n v="25014631"/>
    <m/>
    <x v="71"/>
    <d v="2025-11-16T15:58:19"/>
    <x v="6"/>
    <x v="5"/>
    <x v="2"/>
    <x v="0"/>
    <n v="50"/>
    <n v="798"/>
    <n v="0"/>
    <s v="App, network, or device troubleshooting requested"/>
    <n v="407"/>
    <x v="0"/>
    <n v="1"/>
    <s v="Nov 2025"/>
    <n v="202511"/>
    <x v="4"/>
  </r>
  <r>
    <n v="3305711735"/>
    <n v="179512774"/>
    <s v="Wendy Carroll"/>
    <s v="nbaird@example.com"/>
    <n v="43101783"/>
    <m/>
    <x v="72"/>
    <d v="2024-08-14T13:31:00"/>
    <x v="1"/>
    <x v="4"/>
    <x v="2"/>
    <x v="0"/>
    <n v="33"/>
    <n v="701"/>
    <n v="0"/>
    <s v="Login, OTP, or password reset issue"/>
    <n v="413"/>
    <x v="0"/>
    <n v="1"/>
    <s v="Aug 2024"/>
    <n v="202408"/>
    <x v="18"/>
  </r>
  <r>
    <n v="3312094332"/>
    <n v="220483278"/>
    <s v="Tammy Richards"/>
    <s v="madelinebrooks@example.net"/>
    <n v="46913810"/>
    <m/>
    <x v="73"/>
    <d v="2025-07-06T09:56:57"/>
    <x v="0"/>
    <x v="5"/>
    <x v="2"/>
    <x v="0"/>
    <n v="53"/>
    <n v="725"/>
    <n v="0"/>
    <s v="App, network, or device troubleshooting requested"/>
    <n v="415"/>
    <x v="0"/>
    <n v="1"/>
    <s v="Jul 2025"/>
    <n v="202507"/>
    <x v="13"/>
  </r>
  <r>
    <n v="3341857514"/>
    <n v="416779880"/>
    <s v="Miguel Hernandez"/>
    <s v="davidgonzales@example.com"/>
    <n v="38119557"/>
    <m/>
    <x v="74"/>
    <d v="2025-12-11T00:31:34"/>
    <x v="6"/>
    <x v="0"/>
    <x v="2"/>
    <x v="0"/>
    <n v="69"/>
    <n v="126"/>
    <n v="0"/>
    <s v="Customer reported intermittent service and repeat disruptions"/>
    <n v="422"/>
    <x v="0"/>
    <n v="1"/>
    <s v="Dec 2025"/>
    <n v="202512"/>
    <x v="21"/>
  </r>
  <r>
    <n v="3349475467"/>
    <n v="631388604"/>
    <s v="Michael Morris"/>
    <s v="katiefloyd@example.org"/>
    <n v="39958838"/>
    <m/>
    <x v="75"/>
    <d v="2025-07-26T23:26:56"/>
    <x v="3"/>
    <x v="3"/>
    <x v="3"/>
    <x v="0"/>
    <n v="50"/>
    <n v="772"/>
    <n v="0"/>
    <s v="Shipment or installation appointment delayed beyond ETA"/>
    <n v="425"/>
    <x v="0"/>
    <n v="1"/>
    <s v="Jul 2025"/>
    <n v="202507"/>
    <x v="13"/>
  </r>
  <r>
    <n v="3362019922"/>
    <n v="415429295"/>
    <s v="Anthony Davidson"/>
    <s v="kimberlywang@example.org"/>
    <n v="29175900"/>
    <n v="6780272082"/>
    <x v="76"/>
    <d v="2024-11-16T20:01:09"/>
    <x v="6"/>
    <x v="5"/>
    <x v="1"/>
    <x v="0"/>
    <n v="6"/>
    <n v="278"/>
    <n v="0"/>
    <s v="App, network, or device troubleshooting requested"/>
    <n v="429"/>
    <x v="0"/>
    <n v="1"/>
    <s v="Nov 2024"/>
    <n v="202411"/>
    <x v="11"/>
  </r>
  <r>
    <n v="3411871526"/>
    <n v="387195524"/>
    <s v="Nancy Cook"/>
    <s v="rachael29@example.net"/>
    <n v="35808537"/>
    <m/>
    <x v="77"/>
    <d v="2024-04-15T08:59:41"/>
    <x v="1"/>
    <x v="4"/>
    <x v="0"/>
    <x v="0"/>
    <n v="59"/>
    <n v="381"/>
    <n v="0"/>
    <s v="Login, OTP, or password reset issue"/>
    <n v="433"/>
    <x v="0"/>
    <n v="1"/>
    <s v="Apr 2024"/>
    <n v="202404"/>
    <x v="2"/>
  </r>
  <r>
    <n v="3426768854"/>
    <n v="470228863"/>
    <s v="Jeffrey Carter"/>
    <s v="laurakelley@example.org"/>
    <n v="24716857"/>
    <n v="8767592581"/>
    <x v="78"/>
    <d v="2024-12-03T06:17:14"/>
    <x v="3"/>
    <x v="3"/>
    <x v="2"/>
    <x v="0"/>
    <n v="53"/>
    <n v="311"/>
    <n v="0"/>
    <s v="Shipment or installation appointment delayed beyond ETA"/>
    <n v="438"/>
    <x v="0"/>
    <n v="1"/>
    <s v="Dec 2024"/>
    <n v="202412"/>
    <x v="12"/>
  </r>
  <r>
    <n v="3482007078"/>
    <n v="478557676"/>
    <s v="Michael Melton"/>
    <s v="morganandrew@example.com"/>
    <n v="29175900"/>
    <m/>
    <x v="79"/>
    <d v="2024-05-26T15:10:32"/>
    <x v="2"/>
    <x v="0"/>
    <x v="2"/>
    <x v="0"/>
    <n v="62"/>
    <n v="172"/>
    <n v="0"/>
    <s v="Customer reported intermittent service and repeat disruptions"/>
    <n v="446"/>
    <x v="0"/>
    <n v="1"/>
    <s v="May 2024"/>
    <n v="202405"/>
    <x v="24"/>
  </r>
  <r>
    <n v="3483268925"/>
    <n v="233871736"/>
    <s v="Samuel Smith"/>
    <s v="brendagoodwin@example.net"/>
    <n v="87490893"/>
    <m/>
    <x v="80"/>
    <d v="2024-03-08T18:04:02"/>
    <x v="4"/>
    <x v="1"/>
    <x v="3"/>
    <x v="0"/>
    <n v="81"/>
    <n v="414"/>
    <n v="0"/>
    <s v="Refund status or reversal timeline inquiry"/>
    <n v="447"/>
    <x v="0"/>
    <n v="1"/>
    <s v="Mar 2024"/>
    <n v="202403"/>
    <x v="15"/>
  </r>
  <r>
    <n v="3505651251"/>
    <n v="694875990"/>
    <s v="Kimberly Burnett"/>
    <s v="lbrown@example.net"/>
    <n v="24282218"/>
    <m/>
    <x v="81"/>
    <d v="2025-03-05T19:33:58"/>
    <x v="4"/>
    <x v="0"/>
    <x v="3"/>
    <x v="0"/>
    <n v="35"/>
    <n v="282"/>
    <n v="0"/>
    <s v="Customer reported intermittent service and repeat disruptions"/>
    <n v="452"/>
    <x v="0"/>
    <n v="1"/>
    <s v="Mar 2025"/>
    <n v="202503"/>
    <x v="20"/>
  </r>
  <r>
    <n v="3513419649"/>
    <n v="771112648"/>
    <s v="Ashley Ramirez"/>
    <s v="berrydebbie@example.net"/>
    <n v="82070937"/>
    <n v="2334871184"/>
    <x v="82"/>
    <d v="2025-04-25T10:13:09"/>
    <x v="4"/>
    <x v="0"/>
    <x v="0"/>
    <x v="0"/>
    <n v="37"/>
    <n v="270"/>
    <n v="0"/>
    <s v="Customer reported intermittent service and repeat disruptions"/>
    <n v="454"/>
    <x v="0"/>
    <n v="1"/>
    <s v="Apr 2025"/>
    <n v="202504"/>
    <x v="6"/>
  </r>
  <r>
    <n v="3542132058"/>
    <n v="117439966"/>
    <s v="Erik Delgado"/>
    <s v="catherine64@example.com"/>
    <n v="78387461"/>
    <m/>
    <x v="83"/>
    <d v="2025-08-22T13:08:58"/>
    <x v="0"/>
    <x v="2"/>
    <x v="1"/>
    <x v="0"/>
    <n v="43"/>
    <n v="79"/>
    <n v="0"/>
    <s v="Customer questioned invoice amount and prorated charges"/>
    <n v="456"/>
    <x v="0"/>
    <n v="1"/>
    <s v="Aug 2025"/>
    <n v="202508"/>
    <x v="22"/>
  </r>
  <r>
    <n v="3622142013"/>
    <n v="515524530"/>
    <s v="Taylor Pittman"/>
    <s v="danielallen@example.com"/>
    <n v="82340307"/>
    <m/>
    <x v="84"/>
    <d v="2025-07-07T12:20:07"/>
    <x v="4"/>
    <x v="0"/>
    <x v="0"/>
    <x v="0"/>
    <n v="28"/>
    <n v="188"/>
    <n v="0"/>
    <s v="Customer reported intermittent service and repeat disruptions"/>
    <n v="469"/>
    <x v="0"/>
    <n v="1"/>
    <s v="Jul 2025"/>
    <n v="202507"/>
    <x v="13"/>
  </r>
  <r>
    <n v="3625140288"/>
    <n v="809656613"/>
    <s v="Brianna Murray"/>
    <s v="michaelbrown@example.com"/>
    <n v="90388981"/>
    <n v="9773224781"/>
    <x v="85"/>
    <d v="2025-01-27T15:05:36"/>
    <x v="4"/>
    <x v="0"/>
    <x v="0"/>
    <x v="0"/>
    <n v="43"/>
    <n v="607"/>
    <n v="0"/>
    <s v="Customer reported intermittent service and repeat disruptions"/>
    <n v="470"/>
    <x v="0"/>
    <n v="1"/>
    <s v="Jan 2025"/>
    <n v="202501"/>
    <x v="16"/>
  </r>
  <r>
    <n v="3640494685"/>
    <n v="471539452"/>
    <s v="Matthew Parker"/>
    <s v="anunez@example.com"/>
    <n v="58718453"/>
    <m/>
    <x v="86"/>
    <d v="2025-09-05T21:09:05"/>
    <x v="3"/>
    <x v="4"/>
    <x v="2"/>
    <x v="0"/>
    <n v="44"/>
    <n v="875"/>
    <n v="0"/>
    <s v="Login, OTP, or password reset issue"/>
    <n v="472"/>
    <x v="0"/>
    <n v="1"/>
    <s v="Sep 2025"/>
    <n v="202509"/>
    <x v="9"/>
  </r>
  <r>
    <n v="3644452962"/>
    <n v="238548086"/>
    <s v="Tony Smith"/>
    <s v="karen68@example.org"/>
    <n v="36697396"/>
    <m/>
    <x v="87"/>
    <d v="2025-12-16T02:29:09"/>
    <x v="3"/>
    <x v="3"/>
    <x v="1"/>
    <x v="0"/>
    <n v="72"/>
    <n v="425"/>
    <n v="0"/>
    <s v="Shipment or installation appointment delayed beyond ETA"/>
    <n v="473"/>
    <x v="0"/>
    <n v="1"/>
    <s v="Dec 2025"/>
    <n v="202512"/>
    <x v="21"/>
  </r>
  <r>
    <n v="3659387720"/>
    <n v="570484488"/>
    <s v="Sandra Hunt"/>
    <s v="ygriffin@example.com"/>
    <n v="81182864"/>
    <n v="3772707308"/>
    <x v="88"/>
    <d v="2024-12-08T13:16:50"/>
    <x v="0"/>
    <x v="2"/>
    <x v="0"/>
    <x v="0"/>
    <n v="34"/>
    <n v="39"/>
    <n v="0"/>
    <s v="Customer questioned invoice amount and prorated charges"/>
    <n v="477"/>
    <x v="0"/>
    <n v="1"/>
    <s v="Dec 2024"/>
    <n v="202412"/>
    <x v="12"/>
  </r>
  <r>
    <n v="3701200744"/>
    <n v="105563528"/>
    <s v="Barry Wilson"/>
    <s v="qchapman@example.com"/>
    <n v="68353204"/>
    <n v="6943960966"/>
    <x v="89"/>
    <d v="2025-08-04T17:48:23"/>
    <x v="3"/>
    <x v="1"/>
    <x v="3"/>
    <x v="0"/>
    <n v="43"/>
    <n v="671"/>
    <n v="0"/>
    <s v="Refund status or reversal timeline inquiry"/>
    <n v="484"/>
    <x v="0"/>
    <n v="1"/>
    <s v="Aug 2025"/>
    <n v="202508"/>
    <x v="22"/>
  </r>
  <r>
    <n v="3752718584"/>
    <n v="166874023"/>
    <s v="Christina Martin"/>
    <s v="hubbardkeith@example.net"/>
    <n v="45833156"/>
    <m/>
    <x v="90"/>
    <d v="2025-01-21T18:43:40"/>
    <x v="1"/>
    <x v="1"/>
    <x v="2"/>
    <x v="0"/>
    <n v="35"/>
    <n v="687"/>
    <n v="0"/>
    <s v="Refund status or reversal timeline inquiry"/>
    <n v="492"/>
    <x v="0"/>
    <n v="1"/>
    <s v="Jan 2025"/>
    <n v="202501"/>
    <x v="16"/>
  </r>
  <r>
    <n v="3762744182"/>
    <n v="857820386"/>
    <s v="Penny Marshall"/>
    <s v="olsonchristina@example.org"/>
    <n v="50056581"/>
    <m/>
    <x v="91"/>
    <d v="2024-08-30T05:29:31"/>
    <x v="4"/>
    <x v="3"/>
    <x v="3"/>
    <x v="0"/>
    <n v="32"/>
    <n v="382"/>
    <n v="0"/>
    <s v="Shipment or installation appointment delayed beyond ETA"/>
    <n v="494"/>
    <x v="0"/>
    <n v="1"/>
    <s v="Aug 2024"/>
    <n v="202408"/>
    <x v="18"/>
  </r>
  <r>
    <n v="3830532859"/>
    <n v="593559955"/>
    <s v="Shannon Bates"/>
    <s v="rburns@example.com"/>
    <n v="58537831"/>
    <m/>
    <x v="92"/>
    <d v="2026-03-20T18:01:07"/>
    <x v="0"/>
    <x v="3"/>
    <x v="1"/>
    <x v="0"/>
    <n v="26"/>
    <n v="430"/>
    <n v="0"/>
    <s v="Shipment or installation appointment delayed beyond ETA"/>
    <n v="504"/>
    <x v="0"/>
    <n v="1"/>
    <s v="Mar 2026"/>
    <n v="202603"/>
    <x v="10"/>
  </r>
  <r>
    <n v="3943130161"/>
    <n v="501538092"/>
    <s v="Susan Khan MD"/>
    <s v="clarence54@example.org"/>
    <n v="66722344"/>
    <m/>
    <x v="93"/>
    <d v="2025-03-23T09:10:49"/>
    <x v="1"/>
    <x v="5"/>
    <x v="0"/>
    <x v="0"/>
    <n v="20"/>
    <n v="278"/>
    <n v="0"/>
    <s v="App, network, or device troubleshooting requested"/>
    <n v="513"/>
    <x v="0"/>
    <n v="1"/>
    <s v="Mar 2025"/>
    <n v="202503"/>
    <x v="20"/>
  </r>
  <r>
    <n v="3963929215"/>
    <n v="927720428"/>
    <s v="Shelly Alexander"/>
    <s v="jsmith@example.com"/>
    <n v="17507864"/>
    <m/>
    <x v="94"/>
    <d v="2024-04-25T23:13:12"/>
    <x v="4"/>
    <x v="1"/>
    <x v="2"/>
    <x v="0"/>
    <n v="33"/>
    <n v="292"/>
    <n v="0"/>
    <s v="Refund status or reversal timeline inquiry"/>
    <n v="516"/>
    <x v="0"/>
    <n v="1"/>
    <s v="Apr 2024"/>
    <n v="202404"/>
    <x v="2"/>
  </r>
  <r>
    <n v="4011714914"/>
    <n v="804344630"/>
    <s v="Manuel Jennings"/>
    <s v="johnsondavid@example.com"/>
    <n v="66629388"/>
    <n v="3029665156"/>
    <x v="95"/>
    <d v="2024-02-21T07:18:21"/>
    <x v="2"/>
    <x v="2"/>
    <x v="3"/>
    <x v="0"/>
    <n v="32"/>
    <n v="624"/>
    <n v="0"/>
    <s v="Customer questioned invoice amount and prorated charges"/>
    <n v="525"/>
    <x v="0"/>
    <n v="1"/>
    <s v="Feb 2024"/>
    <n v="202402"/>
    <x v="7"/>
  </r>
  <r>
    <n v="4048500685"/>
    <n v="712335251"/>
    <s v="Mary Peterson"/>
    <s v="bryan56@example.net"/>
    <n v="82394227"/>
    <m/>
    <x v="96"/>
    <d v="2025-08-26T19:47:48"/>
    <x v="3"/>
    <x v="1"/>
    <x v="1"/>
    <x v="0"/>
    <n v="32"/>
    <n v="511"/>
    <n v="0"/>
    <s v="Refund status or reversal timeline inquiry"/>
    <n v="531"/>
    <x v="0"/>
    <n v="1"/>
    <s v="Aug 2025"/>
    <n v="202508"/>
    <x v="22"/>
  </r>
  <r>
    <n v="4071154464"/>
    <n v="271092615"/>
    <s v="Mary Hill"/>
    <s v="ogeorge@example.com"/>
    <n v="17774584"/>
    <m/>
    <x v="97"/>
    <d v="2025-09-28T18:32:13"/>
    <x v="1"/>
    <x v="5"/>
    <x v="1"/>
    <x v="0"/>
    <n v="32"/>
    <n v="236"/>
    <n v="0"/>
    <s v="App, network, or device troubleshooting requested"/>
    <n v="532"/>
    <x v="0"/>
    <n v="1"/>
    <s v="Sep 2025"/>
    <n v="202509"/>
    <x v="9"/>
  </r>
  <r>
    <n v="4081467801"/>
    <n v="789242701"/>
    <s v="Glenda Calderon"/>
    <s v="yglenn@example.net"/>
    <n v="77187530"/>
    <m/>
    <x v="98"/>
    <d v="2024-12-04T10:14:04"/>
    <x v="5"/>
    <x v="2"/>
    <x v="0"/>
    <x v="0"/>
    <n v="32"/>
    <n v="297"/>
    <n v="0"/>
    <s v="Customer questioned invoice amount and prorated charges"/>
    <n v="534"/>
    <x v="0"/>
    <n v="1"/>
    <s v="Dec 2024"/>
    <n v="202412"/>
    <x v="12"/>
  </r>
  <r>
    <n v="4208271113"/>
    <n v="459748735"/>
    <s v="Michael Forbes"/>
    <s v="jennifer54@example.org"/>
    <n v="94214382"/>
    <m/>
    <x v="99"/>
    <d v="2025-01-19T04:09:37"/>
    <x v="5"/>
    <x v="3"/>
    <x v="0"/>
    <x v="0"/>
    <n v="52"/>
    <n v="427"/>
    <n v="0"/>
    <s v="Shipment or installation appointment delayed beyond ETA"/>
    <n v="550"/>
    <x v="0"/>
    <n v="1"/>
    <s v="Jan 2025"/>
    <n v="202501"/>
    <x v="16"/>
  </r>
  <r>
    <n v="4232557668"/>
    <n v="419561201"/>
    <s v="Shawn Avila"/>
    <s v="michealhardy@example.net"/>
    <n v="45812670"/>
    <m/>
    <x v="100"/>
    <d v="2026-02-09T16:05:57"/>
    <x v="4"/>
    <x v="2"/>
    <x v="2"/>
    <x v="0"/>
    <n v="17"/>
    <n v="699"/>
    <n v="0"/>
    <s v="Customer questioned invoice amount and prorated charges"/>
    <n v="557"/>
    <x v="0"/>
    <n v="1"/>
    <s v="Feb 2026"/>
    <n v="202602"/>
    <x v="25"/>
  </r>
  <r>
    <n v="4242622958"/>
    <n v="714327645"/>
    <s v="Shelly Carroll"/>
    <s v="kimberlyevans@example.org"/>
    <n v="90801586"/>
    <n v="1069888983"/>
    <x v="101"/>
    <d v="2025-04-04T23:18:54"/>
    <x v="5"/>
    <x v="5"/>
    <x v="2"/>
    <x v="0"/>
    <n v="47"/>
    <n v="919"/>
    <n v="0"/>
    <s v="App, network, or device troubleshooting requested"/>
    <n v="558"/>
    <x v="0"/>
    <n v="1"/>
    <s v="Apr 2025"/>
    <n v="202504"/>
    <x v="6"/>
  </r>
  <r>
    <n v="4266119897"/>
    <n v="601238919"/>
    <s v="Wanda Brooks"/>
    <s v="nicholasrush@example.org"/>
    <n v="19583482"/>
    <m/>
    <x v="102"/>
    <d v="2025-04-03T02:49:23"/>
    <x v="1"/>
    <x v="0"/>
    <x v="2"/>
    <x v="0"/>
    <n v="26"/>
    <n v="187"/>
    <n v="0"/>
    <s v="Customer reported intermittent service and repeat disruptions"/>
    <n v="563"/>
    <x v="0"/>
    <n v="1"/>
    <s v="Apr 2025"/>
    <n v="202504"/>
    <x v="6"/>
  </r>
  <r>
    <n v="4277085912"/>
    <n v="272134062"/>
    <s v="James Taylor"/>
    <s v="joseph21@example.org"/>
    <n v="78139880"/>
    <m/>
    <x v="103"/>
    <d v="2025-01-28T09:32:47"/>
    <x v="3"/>
    <x v="5"/>
    <x v="2"/>
    <x v="0"/>
    <n v="59"/>
    <n v="347"/>
    <n v="0"/>
    <s v="App, network, or device troubleshooting requested"/>
    <n v="565"/>
    <x v="0"/>
    <n v="1"/>
    <s v="Jan 2025"/>
    <n v="202501"/>
    <x v="16"/>
  </r>
  <r>
    <n v="4311775041"/>
    <n v="326353775"/>
    <s v="Michael Gray"/>
    <s v="jameshenry@example.net"/>
    <n v="90048665"/>
    <m/>
    <x v="104"/>
    <d v="2024-01-08T06:20:06"/>
    <x v="3"/>
    <x v="1"/>
    <x v="1"/>
    <x v="0"/>
    <n v="52"/>
    <n v="358"/>
    <n v="0"/>
    <s v="Refund status or reversal timeline inquiry"/>
    <n v="572"/>
    <x v="0"/>
    <n v="1"/>
    <s v="Jan 2024"/>
    <n v="202401"/>
    <x v="17"/>
  </r>
  <r>
    <n v="4343771107"/>
    <n v="856881618"/>
    <s v="Amy Farrell"/>
    <s v="jamesrobinson@example.com"/>
    <n v="77187530"/>
    <n v="7723528199"/>
    <x v="105"/>
    <d v="2025-06-25T17:37:01"/>
    <x v="4"/>
    <x v="2"/>
    <x v="2"/>
    <x v="0"/>
    <n v="23"/>
    <n v="288"/>
    <n v="0"/>
    <s v="Customer questioned invoice amount and prorated charges"/>
    <n v="580"/>
    <x v="0"/>
    <n v="1"/>
    <s v="Jun 2025"/>
    <n v="202506"/>
    <x v="19"/>
  </r>
  <r>
    <n v="4359141052"/>
    <n v="686277792"/>
    <s v="Andrew Kelly"/>
    <s v="josephpreston@example.org"/>
    <n v="93926371"/>
    <n v="5926890511"/>
    <x v="106"/>
    <d v="2025-11-24T20:34:19"/>
    <x v="4"/>
    <x v="0"/>
    <x v="2"/>
    <x v="0"/>
    <n v="49"/>
    <n v="75"/>
    <n v="0"/>
    <s v="Customer reported intermittent service and repeat disruptions"/>
    <n v="582"/>
    <x v="0"/>
    <n v="1"/>
    <s v="Nov 2025"/>
    <n v="202511"/>
    <x v="4"/>
  </r>
  <r>
    <n v="4386736808"/>
    <n v="483426624"/>
    <s v="Brendan Zuniga"/>
    <s v="bkelley@example.com"/>
    <n v="66722344"/>
    <m/>
    <x v="107"/>
    <d v="2025-12-16T16:25:56"/>
    <x v="5"/>
    <x v="1"/>
    <x v="0"/>
    <x v="0"/>
    <n v="54"/>
    <n v="265"/>
    <n v="0"/>
    <s v="Refund status or reversal timeline inquiry"/>
    <n v="586"/>
    <x v="0"/>
    <n v="1"/>
    <s v="Dec 2025"/>
    <n v="202512"/>
    <x v="21"/>
  </r>
  <r>
    <n v="4413598790"/>
    <n v="461178244"/>
    <s v="Richard Moody"/>
    <s v="jennifer50@example.com"/>
    <n v="95758349"/>
    <m/>
    <x v="108"/>
    <d v="2024-01-29T03:38:03"/>
    <x v="2"/>
    <x v="3"/>
    <x v="1"/>
    <x v="0"/>
    <n v="13"/>
    <n v="772"/>
    <n v="0"/>
    <s v="Shipment or installation appointment delayed beyond ETA"/>
    <n v="596"/>
    <x v="0"/>
    <n v="1"/>
    <s v="Jan 2024"/>
    <n v="202401"/>
    <x v="17"/>
  </r>
  <r>
    <n v="4425670637"/>
    <n v="683246764"/>
    <s v="Susan Price"/>
    <s v="wilsontina@example.com"/>
    <n v="59684848"/>
    <m/>
    <x v="109"/>
    <d v="2024-12-22T18:40:54"/>
    <x v="5"/>
    <x v="3"/>
    <x v="1"/>
    <x v="0"/>
    <n v="63"/>
    <n v="287"/>
    <n v="0"/>
    <s v="Shipment or installation appointment delayed beyond ETA"/>
    <n v="599"/>
    <x v="0"/>
    <n v="1"/>
    <s v="Dec 2024"/>
    <n v="202412"/>
    <x v="12"/>
  </r>
  <r>
    <n v="4492695244"/>
    <n v="683364453"/>
    <s v="Andrew Ford"/>
    <s v="rwheeler@example.org"/>
    <n v="45812670"/>
    <m/>
    <x v="110"/>
    <d v="2024-05-13T02:45:17"/>
    <x v="4"/>
    <x v="3"/>
    <x v="2"/>
    <x v="0"/>
    <n v="44"/>
    <n v="457"/>
    <n v="0"/>
    <s v="Shipment or installation appointment delayed beyond ETA"/>
    <n v="610"/>
    <x v="0"/>
    <n v="1"/>
    <s v="May 2024"/>
    <n v="202405"/>
    <x v="24"/>
  </r>
  <r>
    <n v="4527619641"/>
    <n v="844439496"/>
    <s v="Cindy Cole"/>
    <s v="cherylnorton@example.com"/>
    <n v="77005685"/>
    <m/>
    <x v="111"/>
    <d v="2024-02-03T18:07:37"/>
    <x v="3"/>
    <x v="0"/>
    <x v="2"/>
    <x v="0"/>
    <n v="36"/>
    <n v="760"/>
    <n v="0"/>
    <s v="Customer reported intermittent service and repeat disruptions"/>
    <n v="617"/>
    <x v="0"/>
    <n v="1"/>
    <s v="Feb 2024"/>
    <n v="202402"/>
    <x v="7"/>
  </r>
  <r>
    <n v="4564261658"/>
    <n v="784987769"/>
    <s v="Larry Reese"/>
    <s v="wilsonpatrick@example.org"/>
    <n v="13561597"/>
    <m/>
    <x v="112"/>
    <d v="2025-01-04T08:58:05"/>
    <x v="4"/>
    <x v="3"/>
    <x v="0"/>
    <x v="0"/>
    <n v="36"/>
    <n v="784"/>
    <n v="0"/>
    <s v="Shipment or installation appointment delayed beyond ETA"/>
    <n v="624"/>
    <x v="0"/>
    <n v="1"/>
    <s v="Jan 2025"/>
    <n v="202501"/>
    <x v="16"/>
  </r>
  <r>
    <n v="4596147581"/>
    <n v="992649957"/>
    <s v="Christopher Thomas"/>
    <s v="vjones@example.net"/>
    <n v="52235350"/>
    <m/>
    <x v="113"/>
    <d v="2024-10-25T02:43:22"/>
    <x v="3"/>
    <x v="3"/>
    <x v="0"/>
    <x v="0"/>
    <n v="52"/>
    <n v="688"/>
    <n v="0"/>
    <s v="Shipment or installation appointment delayed beyond ETA"/>
    <n v="628"/>
    <x v="0"/>
    <n v="1"/>
    <s v="Oct 2024"/>
    <n v="202410"/>
    <x v="1"/>
  </r>
  <r>
    <n v="4601723703"/>
    <n v="604803700"/>
    <s v="Debra Valentine"/>
    <s v="victorgonzalez@example.net"/>
    <n v="30514014"/>
    <m/>
    <x v="114"/>
    <d v="2025-03-12T14:06:29"/>
    <x v="2"/>
    <x v="1"/>
    <x v="1"/>
    <x v="0"/>
    <n v="33"/>
    <n v="144"/>
    <n v="0"/>
    <s v="Refund status or reversal timeline inquiry"/>
    <n v="629"/>
    <x v="0"/>
    <n v="1"/>
    <s v="Mar 2025"/>
    <n v="202503"/>
    <x v="20"/>
  </r>
  <r>
    <n v="4604093744"/>
    <n v="457039137"/>
    <s v="Alexis Mccall"/>
    <s v="fhebert@example.com"/>
    <n v="45935572"/>
    <m/>
    <x v="115"/>
    <d v="2024-09-20T21:04:46"/>
    <x v="6"/>
    <x v="4"/>
    <x v="0"/>
    <x v="0"/>
    <n v="73"/>
    <n v="78"/>
    <n v="0"/>
    <s v="Login, OTP, or password reset issue"/>
    <n v="630"/>
    <x v="0"/>
    <n v="1"/>
    <s v="Sep 2024"/>
    <n v="202409"/>
    <x v="3"/>
  </r>
  <r>
    <n v="4613425662"/>
    <n v="461178244"/>
    <s v="Richard Moody"/>
    <s v="jennifer50@example.com"/>
    <n v="81691040"/>
    <n v="6669955364"/>
    <x v="116"/>
    <d v="2024-08-26T09:22:30"/>
    <x v="1"/>
    <x v="4"/>
    <x v="2"/>
    <x v="0"/>
    <n v="40"/>
    <n v="450"/>
    <n v="0"/>
    <s v="Login, OTP, or password reset issue"/>
    <n v="631"/>
    <x v="0"/>
    <n v="1"/>
    <s v="Aug 2024"/>
    <n v="202408"/>
    <x v="18"/>
  </r>
  <r>
    <n v="4636730253"/>
    <n v="830924936"/>
    <s v="Terri Gomez"/>
    <s v="hwalton@example.com"/>
    <n v="91030736"/>
    <m/>
    <x v="117"/>
    <d v="2025-02-25T08:42:22"/>
    <x v="3"/>
    <x v="2"/>
    <x v="0"/>
    <x v="0"/>
    <n v="75"/>
    <n v="621"/>
    <n v="0"/>
    <s v="Customer questioned invoice amount and prorated charges"/>
    <n v="635"/>
    <x v="0"/>
    <n v="1"/>
    <s v="Feb 2025"/>
    <n v="202502"/>
    <x v="14"/>
  </r>
  <r>
    <n v="4654980450"/>
    <n v="781887358"/>
    <s v="Paige Robinson"/>
    <s v="danny30@example.com"/>
    <n v="58181396"/>
    <m/>
    <x v="118"/>
    <d v="2025-05-10T05:52:34"/>
    <x v="0"/>
    <x v="2"/>
    <x v="2"/>
    <x v="0"/>
    <n v="50"/>
    <n v="666"/>
    <n v="0"/>
    <s v="Customer questioned invoice amount and prorated charges"/>
    <n v="640"/>
    <x v="0"/>
    <n v="1"/>
    <s v="May 2025"/>
    <n v="202505"/>
    <x v="5"/>
  </r>
  <r>
    <n v="4707372201"/>
    <n v="686556403"/>
    <s v="Ashley Roach"/>
    <s v="lisa89@example.net"/>
    <n v="28566572"/>
    <m/>
    <x v="119"/>
    <d v="2024-08-13T01:54:49"/>
    <x v="4"/>
    <x v="1"/>
    <x v="1"/>
    <x v="0"/>
    <n v="49"/>
    <n v="740"/>
    <n v="0"/>
    <s v="Refund status or reversal timeline inquiry"/>
    <n v="649"/>
    <x v="0"/>
    <n v="1"/>
    <s v="Aug 2024"/>
    <n v="202408"/>
    <x v="18"/>
  </r>
  <r>
    <n v="4707807308"/>
    <n v="952225000"/>
    <s v="Amanda Clark"/>
    <s v="bennettabigail@example.com"/>
    <n v="84752529"/>
    <m/>
    <x v="120"/>
    <d v="2024-08-12T08:12:47"/>
    <x v="6"/>
    <x v="4"/>
    <x v="2"/>
    <x v="0"/>
    <n v="18"/>
    <n v="394"/>
    <n v="0"/>
    <s v="Login, OTP, or password reset issue"/>
    <n v="650"/>
    <x v="0"/>
    <n v="1"/>
    <s v="Aug 2024"/>
    <n v="202408"/>
    <x v="18"/>
  </r>
  <r>
    <n v="4718164083"/>
    <n v="740743666"/>
    <s v="Priscilla Kent"/>
    <s v="jessicaanderson@example.com"/>
    <n v="35808537"/>
    <m/>
    <x v="121"/>
    <d v="2024-02-27T03:00:06"/>
    <x v="0"/>
    <x v="2"/>
    <x v="0"/>
    <x v="0"/>
    <n v="11"/>
    <n v="1025"/>
    <n v="0"/>
    <s v="Customer questioned invoice amount and prorated charges"/>
    <n v="651"/>
    <x v="0"/>
    <n v="1"/>
    <s v="Feb 2024"/>
    <n v="202402"/>
    <x v="7"/>
  </r>
  <r>
    <n v="4718759226"/>
    <n v="492566853"/>
    <s v="Eric Lopez"/>
    <s v="colongabrielle@example.com"/>
    <n v="85345555"/>
    <m/>
    <x v="122"/>
    <d v="2024-05-01T07:41:35"/>
    <x v="2"/>
    <x v="2"/>
    <x v="1"/>
    <x v="0"/>
    <n v="13"/>
    <n v="597"/>
    <n v="0"/>
    <s v="Customer questioned invoice amount and prorated charges"/>
    <n v="652"/>
    <x v="0"/>
    <n v="1"/>
    <s v="Apr 2024"/>
    <n v="202404"/>
    <x v="2"/>
  </r>
  <r>
    <n v="4778864717"/>
    <n v="156361897"/>
    <s v="Lori Taylor"/>
    <s v="michelle95@example.org"/>
    <n v="82340307"/>
    <m/>
    <x v="123"/>
    <d v="2024-07-13T18:43:20"/>
    <x v="6"/>
    <x v="3"/>
    <x v="2"/>
    <x v="0"/>
    <n v="31"/>
    <n v="361"/>
    <n v="0"/>
    <s v="Shipment or installation appointment delayed beyond ETA"/>
    <n v="663"/>
    <x v="0"/>
    <n v="1"/>
    <s v="Jul 2024"/>
    <n v="202407"/>
    <x v="23"/>
  </r>
  <r>
    <n v="4783058245"/>
    <n v="646272321"/>
    <s v="Mark Mcmahon"/>
    <s v="allen50@example.net"/>
    <n v="66792612"/>
    <m/>
    <x v="124"/>
    <d v="2025-01-24T17:46:30"/>
    <x v="1"/>
    <x v="3"/>
    <x v="2"/>
    <x v="0"/>
    <n v="49"/>
    <n v="283"/>
    <n v="0"/>
    <s v="Shipment or installation appointment delayed beyond ETA"/>
    <n v="664"/>
    <x v="0"/>
    <n v="1"/>
    <s v="Jan 2025"/>
    <n v="202501"/>
    <x v="16"/>
  </r>
  <r>
    <n v="5005196189"/>
    <n v="243418388"/>
    <s v="Michael Davis"/>
    <s v="williegonzalez@example.net"/>
    <n v="31831063"/>
    <m/>
    <x v="125"/>
    <d v="2024-11-23T10:57:38"/>
    <x v="5"/>
    <x v="5"/>
    <x v="2"/>
    <x v="0"/>
    <n v="22"/>
    <n v="550"/>
    <n v="0"/>
    <s v="App, network, or device troubleshooting requested"/>
    <n v="696"/>
    <x v="0"/>
    <n v="1"/>
    <s v="Nov 2024"/>
    <n v="202411"/>
    <x v="11"/>
  </r>
  <r>
    <n v="5062025447"/>
    <n v="756569565"/>
    <s v="James Rice"/>
    <s v="ryandodson@example.org"/>
    <n v="58586340"/>
    <m/>
    <x v="126"/>
    <d v="2025-11-09T16:54:55"/>
    <x v="5"/>
    <x v="2"/>
    <x v="2"/>
    <x v="0"/>
    <n v="43"/>
    <n v="145"/>
    <n v="0"/>
    <s v="Customer questioned invoice amount and prorated charges"/>
    <n v="703"/>
    <x v="0"/>
    <n v="1"/>
    <s v="Nov 2025"/>
    <n v="202511"/>
    <x v="4"/>
  </r>
  <r>
    <n v="5062902006"/>
    <n v="890937440"/>
    <s v="Anthony Riddle"/>
    <s v="sally78@example.net"/>
    <n v="85329037"/>
    <m/>
    <x v="127"/>
    <d v="2025-09-14T08:14:42"/>
    <x v="1"/>
    <x v="2"/>
    <x v="2"/>
    <x v="0"/>
    <n v="12"/>
    <n v="46"/>
    <n v="0"/>
    <s v="Customer questioned invoice amount and prorated charges"/>
    <n v="704"/>
    <x v="0"/>
    <n v="1"/>
    <s v="Sep 2025"/>
    <n v="202509"/>
    <x v="9"/>
  </r>
  <r>
    <n v="5068404283"/>
    <n v="449019278"/>
    <s v="William Murphy"/>
    <s v="kanesarah@example.net"/>
    <n v="33978249"/>
    <n v="8227886543"/>
    <x v="128"/>
    <d v="2024-10-11T12:39:53"/>
    <x v="0"/>
    <x v="3"/>
    <x v="2"/>
    <x v="0"/>
    <n v="32"/>
    <n v="682"/>
    <n v="0"/>
    <s v="Shipment or installation appointment delayed beyond ETA"/>
    <n v="708"/>
    <x v="0"/>
    <n v="1"/>
    <s v="Oct 2024"/>
    <n v="202410"/>
    <x v="1"/>
  </r>
  <r>
    <n v="5178051451"/>
    <n v="120333847"/>
    <s v="Jacqueline Harrison"/>
    <s v="barbara85@example.net"/>
    <n v="78387461"/>
    <n v="7055080408"/>
    <x v="129"/>
    <d v="2026-02-21T17:15:56"/>
    <x v="4"/>
    <x v="0"/>
    <x v="1"/>
    <x v="0"/>
    <n v="72"/>
    <n v="709"/>
    <n v="0"/>
    <s v="Customer reported intermittent service and repeat disruptions"/>
    <n v="726"/>
    <x v="0"/>
    <n v="1"/>
    <s v="Feb 2026"/>
    <n v="202602"/>
    <x v="25"/>
  </r>
  <r>
    <n v="5210798990"/>
    <n v="798510601"/>
    <s v="Matthew Miller"/>
    <s v="williamporter@example.net"/>
    <n v="38898923"/>
    <m/>
    <x v="130"/>
    <d v="2024-08-20T03:00:34"/>
    <x v="6"/>
    <x v="4"/>
    <x v="2"/>
    <x v="0"/>
    <n v="37"/>
    <n v="502"/>
    <n v="0"/>
    <s v="Login, OTP, or password reset issue"/>
    <n v="735"/>
    <x v="0"/>
    <n v="1"/>
    <s v="Aug 2024"/>
    <n v="202408"/>
    <x v="18"/>
  </r>
  <r>
    <n v="5224379868"/>
    <n v="383975609"/>
    <s v="Craig Wise"/>
    <s v="davisgregory@example.net"/>
    <n v="71662963"/>
    <m/>
    <x v="131"/>
    <d v="2024-07-16T04:14:54"/>
    <x v="3"/>
    <x v="4"/>
    <x v="3"/>
    <x v="0"/>
    <n v="19"/>
    <n v="153"/>
    <n v="0"/>
    <s v="Login, OTP, or password reset issue"/>
    <n v="737"/>
    <x v="0"/>
    <n v="1"/>
    <s v="Jul 2024"/>
    <n v="202407"/>
    <x v="23"/>
  </r>
  <r>
    <n v="5237351050"/>
    <n v="169727803"/>
    <s v="Becky Young"/>
    <s v="ntodd@example.org"/>
    <n v="98753260"/>
    <n v="1963998771"/>
    <x v="132"/>
    <d v="2026-02-14T18:17:31"/>
    <x v="1"/>
    <x v="5"/>
    <x v="0"/>
    <x v="0"/>
    <n v="51"/>
    <n v="478"/>
    <n v="0"/>
    <s v="App, network, or device troubleshooting requested"/>
    <n v="739"/>
    <x v="0"/>
    <n v="1"/>
    <s v="Feb 2026"/>
    <n v="202602"/>
    <x v="25"/>
  </r>
  <r>
    <n v="5264744929"/>
    <n v="527589822"/>
    <s v="Fernando Thomas"/>
    <s v="audrey21@example.com"/>
    <n v="73791320"/>
    <m/>
    <x v="133"/>
    <d v="2025-01-24T22:43:33"/>
    <x v="6"/>
    <x v="1"/>
    <x v="3"/>
    <x v="0"/>
    <n v="37"/>
    <n v="442"/>
    <n v="0"/>
    <s v="Refund status or reversal timeline inquiry"/>
    <n v="744"/>
    <x v="0"/>
    <n v="1"/>
    <s v="Jan 2025"/>
    <n v="202501"/>
    <x v="16"/>
  </r>
  <r>
    <n v="5286400604"/>
    <n v="785826598"/>
    <s v="David Anderson"/>
    <s v="stacey25@example.net"/>
    <n v="73791320"/>
    <m/>
    <x v="134"/>
    <d v="2024-09-06T04:32:23"/>
    <x v="5"/>
    <x v="1"/>
    <x v="2"/>
    <x v="0"/>
    <n v="54"/>
    <n v="366"/>
    <n v="0"/>
    <s v="Refund status or reversal timeline inquiry"/>
    <n v="748"/>
    <x v="0"/>
    <n v="1"/>
    <s v="Sep 2024"/>
    <n v="202409"/>
    <x v="3"/>
  </r>
  <r>
    <n v="5306946888"/>
    <n v="600184588"/>
    <s v="Brian Smith"/>
    <s v="andersonkayla@example.com"/>
    <n v="31227574"/>
    <n v="5101913760"/>
    <x v="135"/>
    <d v="2025-09-08T09:48:54"/>
    <x v="2"/>
    <x v="3"/>
    <x v="2"/>
    <x v="0"/>
    <n v="10"/>
    <n v="545"/>
    <n v="0"/>
    <s v="Shipment or installation appointment delayed beyond ETA"/>
    <n v="752"/>
    <x v="0"/>
    <n v="1"/>
    <s v="Sep 2025"/>
    <n v="202509"/>
    <x v="9"/>
  </r>
  <r>
    <n v="5313915933"/>
    <n v="644725317"/>
    <s v="Christina Cochran"/>
    <s v="susanharper@example.org"/>
    <n v="20570592"/>
    <m/>
    <x v="136"/>
    <d v="2025-05-08T05:26:18"/>
    <x v="1"/>
    <x v="2"/>
    <x v="0"/>
    <x v="0"/>
    <n v="54"/>
    <n v="684"/>
    <n v="0"/>
    <s v="Customer questioned invoice amount and prorated charges"/>
    <n v="755"/>
    <x v="0"/>
    <n v="1"/>
    <s v="May 2025"/>
    <n v="202505"/>
    <x v="5"/>
  </r>
  <r>
    <n v="5392178789"/>
    <n v="861888313"/>
    <s v="Jesus Becker"/>
    <s v="john92@example.org"/>
    <n v="45812670"/>
    <n v="5854636277"/>
    <x v="137"/>
    <d v="2026-02-21T13:01:54"/>
    <x v="4"/>
    <x v="1"/>
    <x v="2"/>
    <x v="0"/>
    <n v="61"/>
    <n v="190"/>
    <n v="0"/>
    <s v="Refund status or reversal timeline inquiry"/>
    <n v="780"/>
    <x v="0"/>
    <n v="1"/>
    <s v="Feb 2026"/>
    <n v="202602"/>
    <x v="25"/>
  </r>
  <r>
    <n v="5395447722"/>
    <n v="404994549"/>
    <s v="Lori Green"/>
    <s v="stacyharris@example.org"/>
    <n v="96282117"/>
    <n v="2248985201"/>
    <x v="138"/>
    <d v="2024-08-27T02:54:45"/>
    <x v="6"/>
    <x v="3"/>
    <x v="2"/>
    <x v="0"/>
    <n v="68"/>
    <n v="601"/>
    <n v="0"/>
    <s v="Shipment or installation appointment delayed beyond ETA"/>
    <n v="781"/>
    <x v="0"/>
    <n v="1"/>
    <s v="Aug 2024"/>
    <n v="202408"/>
    <x v="18"/>
  </r>
  <r>
    <n v="5423693170"/>
    <n v="843937341"/>
    <s v="Anthony Moore"/>
    <s v="craigjoseph@example.net"/>
    <n v="95320121"/>
    <m/>
    <x v="139"/>
    <d v="2024-09-18T02:50:38"/>
    <x v="4"/>
    <x v="5"/>
    <x v="2"/>
    <x v="0"/>
    <n v="29"/>
    <n v="102"/>
    <n v="0"/>
    <s v="App, network, or device troubleshooting requested"/>
    <n v="785"/>
    <x v="0"/>
    <n v="1"/>
    <s v="Sep 2024"/>
    <n v="202409"/>
    <x v="3"/>
  </r>
  <r>
    <n v="5430886153"/>
    <n v="449019278"/>
    <s v="William Murphy"/>
    <s v="kanesarah@example.net"/>
    <n v="28740864"/>
    <n v="8227886543"/>
    <x v="140"/>
    <d v="2025-06-08T18:24:13"/>
    <x v="5"/>
    <x v="4"/>
    <x v="0"/>
    <x v="0"/>
    <n v="51"/>
    <n v="355"/>
    <n v="0"/>
    <s v="Login, OTP, or password reset issue"/>
    <n v="786"/>
    <x v="0"/>
    <n v="1"/>
    <s v="Jun 2025"/>
    <n v="202506"/>
    <x v="19"/>
  </r>
  <r>
    <n v="5451731167"/>
    <n v="583564328"/>
    <s v="Jason Johnson"/>
    <s v="qatkinson@example.com"/>
    <n v="15831819"/>
    <m/>
    <x v="141"/>
    <d v="2024-03-25T23:22:22"/>
    <x v="2"/>
    <x v="1"/>
    <x v="0"/>
    <x v="0"/>
    <n v="24"/>
    <n v="661"/>
    <n v="0"/>
    <s v="Refund status or reversal timeline inquiry"/>
    <n v="791"/>
    <x v="0"/>
    <n v="1"/>
    <s v="Mar 2024"/>
    <n v="202403"/>
    <x v="15"/>
  </r>
  <r>
    <n v="5542066249"/>
    <n v="368018471"/>
    <s v="Dr. Christy Pittman MD"/>
    <s v="jocelynhart@example.com"/>
    <n v="30868105"/>
    <m/>
    <x v="142"/>
    <d v="2024-02-16T00:02:36"/>
    <x v="1"/>
    <x v="5"/>
    <x v="2"/>
    <x v="0"/>
    <n v="32"/>
    <n v="498"/>
    <n v="0"/>
    <s v="App, network, or device troubleshooting requested"/>
    <n v="809"/>
    <x v="0"/>
    <n v="1"/>
    <s v="Feb 2024"/>
    <n v="202402"/>
    <x v="7"/>
  </r>
  <r>
    <n v="5563810247"/>
    <n v="886989426"/>
    <s v="Anthony Nichols"/>
    <s v="teresacampbell@example.org"/>
    <n v="45812670"/>
    <m/>
    <x v="143"/>
    <d v="2024-01-23T17:22:04"/>
    <x v="5"/>
    <x v="2"/>
    <x v="2"/>
    <x v="0"/>
    <n v="77"/>
    <n v="666"/>
    <n v="0"/>
    <s v="Customer questioned invoice amount and prorated charges"/>
    <n v="814"/>
    <x v="0"/>
    <n v="1"/>
    <s v="Jan 2024"/>
    <n v="202401"/>
    <x v="17"/>
  </r>
  <r>
    <n v="5583346716"/>
    <n v="598885034"/>
    <s v="Kristina Marquez"/>
    <s v="wrightalyssa@example.com"/>
    <n v="39436733"/>
    <m/>
    <x v="144"/>
    <d v="2024-12-04T15:05:42"/>
    <x v="1"/>
    <x v="5"/>
    <x v="0"/>
    <x v="0"/>
    <n v="46"/>
    <n v="75"/>
    <n v="0"/>
    <s v="App, network, or device troubleshooting requested"/>
    <n v="818"/>
    <x v="0"/>
    <n v="1"/>
    <s v="Dec 2024"/>
    <n v="202412"/>
    <x v="12"/>
  </r>
  <r>
    <n v="5595734376"/>
    <n v="756102581"/>
    <s v="Zachary Johnson"/>
    <s v="dhansen@example.com"/>
    <n v="52339391"/>
    <m/>
    <x v="145"/>
    <d v="2024-07-24T22:30:26"/>
    <x v="4"/>
    <x v="2"/>
    <x v="0"/>
    <x v="0"/>
    <n v="42"/>
    <n v="75"/>
    <n v="0"/>
    <s v="Customer questioned invoice amount and prorated charges"/>
    <n v="822"/>
    <x v="0"/>
    <n v="1"/>
    <s v="Jul 2024"/>
    <n v="202407"/>
    <x v="23"/>
  </r>
  <r>
    <n v="5618214993"/>
    <n v="233871736"/>
    <s v="Samuel Smith"/>
    <s v="brendagoodwin@example.net"/>
    <n v="56164955"/>
    <m/>
    <x v="146"/>
    <d v="2025-07-30T11:44:23"/>
    <x v="2"/>
    <x v="5"/>
    <x v="2"/>
    <x v="0"/>
    <n v="59"/>
    <n v="684"/>
    <n v="0"/>
    <s v="App, network, or device troubleshooting requested"/>
    <n v="826"/>
    <x v="0"/>
    <n v="1"/>
    <s v="Jul 2025"/>
    <n v="202507"/>
    <x v="13"/>
  </r>
  <r>
    <n v="5640218557"/>
    <n v="922816526"/>
    <s v="Travis Horton"/>
    <s v="umatthews@example.org"/>
    <n v="86149359"/>
    <m/>
    <x v="147"/>
    <d v="2024-01-19T13:10:48"/>
    <x v="3"/>
    <x v="4"/>
    <x v="2"/>
    <x v="0"/>
    <n v="43"/>
    <n v="383"/>
    <n v="0"/>
    <s v="Login, OTP, or password reset issue"/>
    <n v="828"/>
    <x v="0"/>
    <n v="1"/>
    <s v="Jan 2024"/>
    <n v="202401"/>
    <x v="17"/>
  </r>
  <r>
    <n v="5706337930"/>
    <n v="835172306"/>
    <s v="Alejandra Price"/>
    <s v="elizabeth51@example.org"/>
    <n v="47338124"/>
    <n v="7519795910"/>
    <x v="148"/>
    <d v="2026-01-19T19:27:04"/>
    <x v="2"/>
    <x v="2"/>
    <x v="3"/>
    <x v="0"/>
    <n v="28"/>
    <n v="604"/>
    <n v="0"/>
    <s v="Customer questioned invoice amount and prorated charges"/>
    <n v="837"/>
    <x v="0"/>
    <n v="1"/>
    <s v="Jan 2026"/>
    <n v="202601"/>
    <x v="0"/>
  </r>
  <r>
    <n v="5729884241"/>
    <n v="690554938"/>
    <s v="Evan Buchanan"/>
    <s v="meyertiffany@example.net"/>
    <n v="17774584"/>
    <n v="9949069966"/>
    <x v="149"/>
    <d v="2024-10-07T23:37:23"/>
    <x v="0"/>
    <x v="0"/>
    <x v="2"/>
    <x v="0"/>
    <n v="1"/>
    <n v="409"/>
    <n v="0"/>
    <s v="Customer reported intermittent service and repeat disruptions"/>
    <n v="840"/>
    <x v="0"/>
    <n v="1"/>
    <s v="Oct 2024"/>
    <n v="202410"/>
    <x v="1"/>
  </r>
  <r>
    <n v="5746228612"/>
    <n v="166874023"/>
    <s v="Christina Martin"/>
    <s v="hubbardkeith@example.net"/>
    <n v="82340307"/>
    <m/>
    <x v="150"/>
    <d v="2025-12-01T10:52:46"/>
    <x v="3"/>
    <x v="3"/>
    <x v="0"/>
    <x v="0"/>
    <n v="56"/>
    <n v="638"/>
    <n v="0"/>
    <s v="Shipment or installation appointment delayed beyond ETA"/>
    <n v="843"/>
    <x v="0"/>
    <n v="1"/>
    <s v="Dec 2025"/>
    <n v="202512"/>
    <x v="21"/>
  </r>
  <r>
    <n v="5784154528"/>
    <n v="986090690"/>
    <s v="Jason Jenkins"/>
    <s v="gainesanthony@example.com"/>
    <n v="97226012"/>
    <n v="2175304017"/>
    <x v="151"/>
    <d v="2025-07-13T16:38:25"/>
    <x v="2"/>
    <x v="5"/>
    <x v="2"/>
    <x v="0"/>
    <n v="47"/>
    <n v="391"/>
    <n v="0"/>
    <s v="App, network, or device troubleshooting requested"/>
    <n v="855"/>
    <x v="0"/>
    <n v="1"/>
    <s v="Jul 2025"/>
    <n v="202507"/>
    <x v="13"/>
  </r>
  <r>
    <n v="5786473236"/>
    <n v="998386592"/>
    <s v="Matthew Smith"/>
    <s v="maria48@example.net"/>
    <n v="13999315"/>
    <m/>
    <x v="152"/>
    <d v="2025-06-15T00:19:01"/>
    <x v="5"/>
    <x v="1"/>
    <x v="3"/>
    <x v="0"/>
    <n v="37"/>
    <n v="450"/>
    <n v="0"/>
    <s v="Refund status or reversal timeline inquiry"/>
    <n v="856"/>
    <x v="0"/>
    <n v="1"/>
    <s v="Jun 2025"/>
    <n v="202506"/>
    <x v="19"/>
  </r>
  <r>
    <n v="5867229859"/>
    <n v="601873197"/>
    <s v="Jennifer Pierce"/>
    <s v="patrick26@example.com"/>
    <n v="53507489"/>
    <n v="8212634244"/>
    <x v="153"/>
    <d v="2025-05-11T19:17:11"/>
    <x v="0"/>
    <x v="2"/>
    <x v="2"/>
    <x v="0"/>
    <n v="20"/>
    <n v="791"/>
    <n v="0"/>
    <s v="Customer questioned invoice amount and prorated charges"/>
    <n v="863"/>
    <x v="0"/>
    <n v="1"/>
    <s v="May 2025"/>
    <n v="202505"/>
    <x v="5"/>
  </r>
  <r>
    <n v="5882585297"/>
    <n v="463512350"/>
    <s v="Anna May"/>
    <s v="crossbarbara@example.org"/>
    <n v="76238574"/>
    <n v="1679348721"/>
    <x v="154"/>
    <d v="2024-12-07T10:42:17"/>
    <x v="0"/>
    <x v="2"/>
    <x v="0"/>
    <x v="0"/>
    <n v="46"/>
    <n v="121"/>
    <n v="0"/>
    <s v="Customer questioned invoice amount and prorated charges"/>
    <n v="870"/>
    <x v="0"/>
    <n v="1"/>
    <s v="Dec 2024"/>
    <n v="202412"/>
    <x v="12"/>
  </r>
  <r>
    <n v="5981037863"/>
    <n v="391126537"/>
    <s v="Diana Huffman"/>
    <s v="trevormorgan@example.com"/>
    <n v="58718453"/>
    <m/>
    <x v="155"/>
    <d v="2025-02-15T17:35:43"/>
    <x v="4"/>
    <x v="4"/>
    <x v="2"/>
    <x v="0"/>
    <n v="48"/>
    <n v="526"/>
    <n v="0"/>
    <s v="Login, OTP, or password reset issue"/>
    <n v="888"/>
    <x v="0"/>
    <n v="1"/>
    <s v="Feb 2025"/>
    <n v="202502"/>
    <x v="14"/>
  </r>
  <r>
    <n v="5992932347"/>
    <n v="470585534"/>
    <s v="Joshua Miller"/>
    <s v="harriswendy@example.org"/>
    <n v="90048665"/>
    <m/>
    <x v="156"/>
    <d v="2025-06-19T10:38:20"/>
    <x v="6"/>
    <x v="1"/>
    <x v="0"/>
    <x v="0"/>
    <n v="30"/>
    <n v="254"/>
    <n v="0"/>
    <s v="Refund status or reversal timeline inquiry"/>
    <n v="890"/>
    <x v="0"/>
    <n v="1"/>
    <s v="Jun 2025"/>
    <n v="202506"/>
    <x v="19"/>
  </r>
  <r>
    <n v="6069326399"/>
    <n v="470228863"/>
    <s v="Jeffrey Carter"/>
    <s v="laurakelley@example.org"/>
    <n v="19335534"/>
    <n v="9473321348"/>
    <x v="157"/>
    <d v="2024-01-17T23:08:22"/>
    <x v="2"/>
    <x v="2"/>
    <x v="3"/>
    <x v="0"/>
    <n v="7"/>
    <n v="537"/>
    <n v="0"/>
    <s v="Customer questioned invoice amount and prorated charges"/>
    <n v="901"/>
    <x v="0"/>
    <n v="1"/>
    <s v="Jan 2024"/>
    <n v="202401"/>
    <x v="17"/>
  </r>
  <r>
    <n v="6079363850"/>
    <n v="726553348"/>
    <s v="Jeffrey Edwards"/>
    <s v="herbertward@example.org"/>
    <n v="99949389"/>
    <n v="1336923353"/>
    <x v="158"/>
    <d v="2024-06-15T21:18:03"/>
    <x v="4"/>
    <x v="5"/>
    <x v="0"/>
    <x v="0"/>
    <n v="57"/>
    <n v="802"/>
    <n v="0"/>
    <s v="App, network, or device troubleshooting requested"/>
    <n v="905"/>
    <x v="0"/>
    <n v="1"/>
    <s v="Jun 2024"/>
    <n v="202406"/>
    <x v="26"/>
  </r>
  <r>
    <n v="6082707337"/>
    <n v="753780028"/>
    <s v="Kayla Hancock"/>
    <s v="wellsdavid@example.org"/>
    <n v="42138745"/>
    <m/>
    <x v="159"/>
    <d v="2026-03-06T12:40:38"/>
    <x v="4"/>
    <x v="3"/>
    <x v="2"/>
    <x v="0"/>
    <n v="54"/>
    <n v="522"/>
    <n v="0"/>
    <s v="Shipment or installation appointment delayed beyond ETA"/>
    <n v="906"/>
    <x v="0"/>
    <n v="1"/>
    <s v="Mar 2026"/>
    <n v="202603"/>
    <x v="10"/>
  </r>
  <r>
    <n v="6088461006"/>
    <n v="829511584"/>
    <s v="Michelle Erickson"/>
    <s v="charles80@example.org"/>
    <n v="97971488"/>
    <m/>
    <x v="160"/>
    <d v="2025-09-12T16:55:01"/>
    <x v="2"/>
    <x v="0"/>
    <x v="2"/>
    <x v="0"/>
    <n v="18"/>
    <n v="748"/>
    <n v="0"/>
    <s v="Customer reported intermittent service and repeat disruptions"/>
    <n v="909"/>
    <x v="0"/>
    <n v="1"/>
    <s v="Sep 2025"/>
    <n v="202509"/>
    <x v="9"/>
  </r>
  <r>
    <n v="6089478391"/>
    <n v="529520110"/>
    <s v="Deborah Graves"/>
    <s v="gandrews@example.net"/>
    <n v="13999315"/>
    <m/>
    <x v="161"/>
    <d v="2024-01-23T12:03:00"/>
    <x v="6"/>
    <x v="5"/>
    <x v="0"/>
    <x v="0"/>
    <n v="5"/>
    <n v="246"/>
    <n v="0"/>
    <s v="App, network, or device troubleshooting requested"/>
    <n v="910"/>
    <x v="0"/>
    <n v="1"/>
    <s v="Jan 2024"/>
    <n v="202401"/>
    <x v="17"/>
  </r>
  <r>
    <n v="6093562307"/>
    <n v="576642996"/>
    <s v="Pamela Wheeler"/>
    <s v="qkelly@example.net"/>
    <n v="82383095"/>
    <n v="6268529625"/>
    <x v="162"/>
    <d v="2025-08-19T04:46:04"/>
    <x v="6"/>
    <x v="0"/>
    <x v="0"/>
    <x v="0"/>
    <n v="45"/>
    <n v="395"/>
    <n v="0"/>
    <s v="Customer reported intermittent service and repeat disruptions"/>
    <n v="911"/>
    <x v="0"/>
    <n v="1"/>
    <s v="Aug 2025"/>
    <n v="202508"/>
    <x v="22"/>
  </r>
  <r>
    <n v="6097417358"/>
    <n v="601873197"/>
    <s v="Jennifer Pierce"/>
    <s v="patrick26@example.com"/>
    <n v="60806024"/>
    <n v="8212634244"/>
    <x v="163"/>
    <d v="2025-01-06T09:40:46"/>
    <x v="1"/>
    <x v="2"/>
    <x v="1"/>
    <x v="0"/>
    <n v="39"/>
    <n v="60"/>
    <n v="0"/>
    <s v="Customer questioned invoice amount and prorated charges"/>
    <n v="912"/>
    <x v="0"/>
    <n v="1"/>
    <s v="Jan 2025"/>
    <n v="202501"/>
    <x v="16"/>
  </r>
  <r>
    <n v="6171742010"/>
    <n v="219032752"/>
    <s v="Brandon Munoz"/>
    <s v="pamela83@example.net"/>
    <n v="21668732"/>
    <n v="1288372981"/>
    <x v="164"/>
    <d v="2024-07-19T15:15:23"/>
    <x v="5"/>
    <x v="0"/>
    <x v="1"/>
    <x v="0"/>
    <n v="12"/>
    <n v="107"/>
    <n v="0"/>
    <s v="Customer reported intermittent service and repeat disruptions"/>
    <n v="920"/>
    <x v="0"/>
    <n v="1"/>
    <s v="Jul 2024"/>
    <n v="202407"/>
    <x v="23"/>
  </r>
  <r>
    <n v="6182239160"/>
    <n v="215213239"/>
    <s v="Benjamin Weaver"/>
    <s v="juanfranklin@example.net"/>
    <n v="45503389"/>
    <n v="5319921998"/>
    <x v="165"/>
    <d v="2026-01-31T10:11:30"/>
    <x v="1"/>
    <x v="1"/>
    <x v="2"/>
    <x v="0"/>
    <n v="53"/>
    <n v="474"/>
    <n v="0"/>
    <s v="Refund status or reversal timeline inquiry"/>
    <n v="923"/>
    <x v="0"/>
    <n v="1"/>
    <s v="Jan 2026"/>
    <n v="202601"/>
    <x v="0"/>
  </r>
  <r>
    <n v="6236392677"/>
    <n v="530986098"/>
    <s v="Travis Wagner"/>
    <s v="jacklee@example.net"/>
    <n v="31682744"/>
    <m/>
    <x v="166"/>
    <d v="2026-02-21T03:41:23"/>
    <x v="0"/>
    <x v="1"/>
    <x v="2"/>
    <x v="0"/>
    <n v="16"/>
    <n v="190"/>
    <n v="0"/>
    <s v="Refund status or reversal timeline inquiry"/>
    <n v="928"/>
    <x v="0"/>
    <n v="1"/>
    <s v="Feb 2026"/>
    <n v="202602"/>
    <x v="25"/>
  </r>
  <r>
    <n v="6322209707"/>
    <n v="898120571"/>
    <s v="Eric Brown"/>
    <s v="diazmelissa@example.com"/>
    <n v="61642594"/>
    <n v="8261041225"/>
    <x v="167"/>
    <d v="2026-03-27T08:56:01"/>
    <x v="4"/>
    <x v="1"/>
    <x v="3"/>
    <x v="0"/>
    <n v="36"/>
    <n v="103"/>
    <n v="0"/>
    <s v="Refund status or reversal timeline inquiry"/>
    <n v="947"/>
    <x v="0"/>
    <n v="1"/>
    <s v="Mar 2026"/>
    <n v="202603"/>
    <x v="10"/>
  </r>
  <r>
    <n v="6374353620"/>
    <n v="444851196"/>
    <s v="Crystal Williams"/>
    <s v="qtaylor@example.com"/>
    <n v="28728463"/>
    <m/>
    <x v="168"/>
    <d v="2025-03-22T01:06:27"/>
    <x v="5"/>
    <x v="2"/>
    <x v="2"/>
    <x v="0"/>
    <n v="39"/>
    <n v="806"/>
    <n v="0"/>
    <s v="Customer questioned invoice amount and prorated charges"/>
    <n v="954"/>
    <x v="0"/>
    <n v="1"/>
    <s v="Mar 2025"/>
    <n v="202503"/>
    <x v="20"/>
  </r>
  <r>
    <n v="6448508300"/>
    <n v="725412469"/>
    <s v="David Edwards"/>
    <s v="thomasjohnson@example.net"/>
    <n v="45503389"/>
    <m/>
    <x v="169"/>
    <d v="2024-06-02T08:51:03"/>
    <x v="3"/>
    <x v="0"/>
    <x v="3"/>
    <x v="0"/>
    <n v="15"/>
    <n v="105"/>
    <n v="0"/>
    <s v="Customer reported intermittent service and repeat disruptions"/>
    <n v="966"/>
    <x v="0"/>
    <n v="1"/>
    <s v="Jun 2024"/>
    <n v="202406"/>
    <x v="26"/>
  </r>
  <r>
    <n v="6448757098"/>
    <n v="230833665"/>
    <s v="Carmen Meadows"/>
    <s v="osmith@example.net"/>
    <n v="63843426"/>
    <m/>
    <x v="170"/>
    <d v="2024-04-09T09:52:19"/>
    <x v="3"/>
    <x v="2"/>
    <x v="0"/>
    <x v="0"/>
    <n v="44"/>
    <n v="687"/>
    <n v="0"/>
    <s v="Customer questioned invoice amount and prorated charges"/>
    <n v="967"/>
    <x v="0"/>
    <n v="1"/>
    <s v="Apr 2024"/>
    <n v="202404"/>
    <x v="2"/>
  </r>
  <r>
    <n v="6616324532"/>
    <n v="392956587"/>
    <s v="Teresa Davis"/>
    <s v="thomaslinda@example.net"/>
    <n v="39436733"/>
    <n v="4684249425"/>
    <x v="171"/>
    <d v="2024-08-17T00:52:00"/>
    <x v="2"/>
    <x v="1"/>
    <x v="1"/>
    <x v="0"/>
    <n v="1"/>
    <n v="777"/>
    <n v="0"/>
    <s v="Refund status or reversal timeline inquiry"/>
    <n v="988"/>
    <x v="0"/>
    <n v="1"/>
    <s v="Aug 2024"/>
    <n v="202408"/>
    <x v="18"/>
  </r>
  <r>
    <n v="6648522453"/>
    <n v="798510601"/>
    <s v="Matthew Miller"/>
    <s v="williamporter@example.net"/>
    <n v="38317637"/>
    <n v="9948523764"/>
    <x v="172"/>
    <d v="2025-02-05T15:17:10"/>
    <x v="6"/>
    <x v="5"/>
    <x v="0"/>
    <x v="0"/>
    <n v="5"/>
    <n v="262"/>
    <n v="0"/>
    <s v="App, network, or device troubleshooting requested"/>
    <n v="990"/>
    <x v="0"/>
    <n v="1"/>
    <s v="Feb 2025"/>
    <n v="202502"/>
    <x v="14"/>
  </r>
  <r>
    <n v="6722317166"/>
    <n v="442185272"/>
    <s v="Carla Benton"/>
    <s v="gary24@example.net"/>
    <n v="98753260"/>
    <n v="2842980985"/>
    <x v="173"/>
    <d v="2025-10-25T20:12:32"/>
    <x v="6"/>
    <x v="3"/>
    <x v="0"/>
    <x v="0"/>
    <n v="42"/>
    <n v="112"/>
    <n v="0"/>
    <s v="Shipment or installation appointment delayed beyond ETA"/>
    <n v="1001"/>
    <x v="0"/>
    <n v="1"/>
    <s v="Oct 2025"/>
    <n v="202510"/>
    <x v="8"/>
  </r>
  <r>
    <n v="6806357653"/>
    <n v="461178244"/>
    <s v="Richard Moody"/>
    <s v="jennifer50@example.com"/>
    <n v="40742311"/>
    <n v="6669955364"/>
    <x v="174"/>
    <d v="2025-12-05T07:55:12"/>
    <x v="5"/>
    <x v="4"/>
    <x v="0"/>
    <x v="0"/>
    <n v="37"/>
    <n v="599"/>
    <n v="0"/>
    <s v="Login, OTP, or password reset issue"/>
    <n v="1009"/>
    <x v="0"/>
    <n v="1"/>
    <s v="Dec 2025"/>
    <n v="202512"/>
    <x v="21"/>
  </r>
  <r>
    <n v="6891386279"/>
    <n v="919395339"/>
    <s v="Kimberly Leon"/>
    <s v="brooksthomas@example.com"/>
    <n v="59684848"/>
    <n v="1383428853"/>
    <x v="175"/>
    <d v="2025-05-14T21:05:22"/>
    <x v="1"/>
    <x v="4"/>
    <x v="2"/>
    <x v="0"/>
    <n v="65"/>
    <n v="314"/>
    <n v="0"/>
    <s v="Login, OTP, or password reset issue"/>
    <n v="1018"/>
    <x v="0"/>
    <n v="1"/>
    <s v="May 2025"/>
    <n v="202505"/>
    <x v="5"/>
  </r>
  <r>
    <n v="6982124095"/>
    <n v="526269674"/>
    <s v="Barbara Herrera"/>
    <s v="morgan69@example.net"/>
    <n v="83793389"/>
    <m/>
    <x v="176"/>
    <d v="2025-07-15T06:04:08"/>
    <x v="4"/>
    <x v="1"/>
    <x v="2"/>
    <x v="0"/>
    <n v="44"/>
    <n v="261"/>
    <n v="0"/>
    <s v="Refund status or reversal timeline inquiry"/>
    <n v="1026"/>
    <x v="0"/>
    <n v="1"/>
    <s v="Jul 2025"/>
    <n v="202507"/>
    <x v="13"/>
  </r>
  <r>
    <n v="6993726567"/>
    <n v="244096091"/>
    <s v="Antonio Atkins"/>
    <s v="bwilliams@example.com"/>
    <n v="43744231"/>
    <n v="6971064982"/>
    <x v="177"/>
    <d v="2025-06-30T03:41:53"/>
    <x v="4"/>
    <x v="5"/>
    <x v="3"/>
    <x v="0"/>
    <n v="21"/>
    <n v="206"/>
    <n v="0"/>
    <s v="App, network, or device troubleshooting requested"/>
    <n v="1028"/>
    <x v="0"/>
    <n v="1"/>
    <s v="Jun 2025"/>
    <n v="202506"/>
    <x v="19"/>
  </r>
  <r>
    <n v="7001190085"/>
    <n v="747060047"/>
    <s v="Bryan King"/>
    <s v="turneralex@example.org"/>
    <n v="59684848"/>
    <n v="9127754416"/>
    <x v="178"/>
    <d v="2024-03-16T22:50:02"/>
    <x v="5"/>
    <x v="4"/>
    <x v="2"/>
    <x v="0"/>
    <n v="79"/>
    <n v="372"/>
    <n v="0"/>
    <s v="Login, OTP, or password reset issue"/>
    <n v="1031"/>
    <x v="0"/>
    <n v="1"/>
    <s v="Mar 2024"/>
    <n v="202403"/>
    <x v="15"/>
  </r>
  <r>
    <n v="7064518450"/>
    <n v="108780419"/>
    <s v="Valerie Norman"/>
    <s v="laurenmathis@example.org"/>
    <n v="95225343"/>
    <m/>
    <x v="179"/>
    <d v="2024-12-29T13:45:47"/>
    <x v="5"/>
    <x v="3"/>
    <x v="2"/>
    <x v="0"/>
    <n v="48"/>
    <n v="672"/>
    <n v="0"/>
    <s v="Shipment or installation appointment delayed beyond ETA"/>
    <n v="1042"/>
    <x v="0"/>
    <n v="1"/>
    <s v="Dec 2024"/>
    <n v="202412"/>
    <x v="12"/>
  </r>
  <r>
    <n v="7132039885"/>
    <n v="193133974"/>
    <s v="Kristin Flores"/>
    <s v="michaelmontes@example.com"/>
    <n v="83197857"/>
    <n v="2431229740"/>
    <x v="180"/>
    <d v="2025-04-27T17:12:35"/>
    <x v="6"/>
    <x v="3"/>
    <x v="2"/>
    <x v="0"/>
    <n v="71"/>
    <n v="516"/>
    <n v="0"/>
    <s v="Shipment or installation appointment delayed beyond ETA"/>
    <n v="1050"/>
    <x v="0"/>
    <n v="1"/>
    <s v="Apr 2025"/>
    <n v="202504"/>
    <x v="6"/>
  </r>
  <r>
    <n v="7145702684"/>
    <n v="761078179"/>
    <s v="Karen Gray"/>
    <s v="nguyenchristine@example.net"/>
    <n v="70855700"/>
    <m/>
    <x v="181"/>
    <d v="2024-01-19T13:29:41"/>
    <x v="1"/>
    <x v="0"/>
    <x v="0"/>
    <x v="0"/>
    <n v="6"/>
    <n v="345"/>
    <n v="0"/>
    <s v="Customer reported intermittent service and repeat disruptions"/>
    <n v="1053"/>
    <x v="0"/>
    <n v="1"/>
    <s v="Jan 2024"/>
    <n v="202401"/>
    <x v="17"/>
  </r>
  <r>
    <n v="7150363994"/>
    <n v="788755699"/>
    <s v="Charles Smith"/>
    <s v="lorisandoval@example.org"/>
    <n v="26879290"/>
    <m/>
    <x v="182"/>
    <d v="2024-02-07T19:22:07"/>
    <x v="1"/>
    <x v="3"/>
    <x v="3"/>
    <x v="0"/>
    <n v="3"/>
    <n v="215"/>
    <n v="0"/>
    <s v="Shipment or installation appointment delayed beyond ETA"/>
    <n v="1056"/>
    <x v="0"/>
    <n v="1"/>
    <s v="Feb 2024"/>
    <n v="202402"/>
    <x v="7"/>
  </r>
  <r>
    <n v="7242789730"/>
    <n v="470228863"/>
    <s v="Jeffrey Carter"/>
    <s v="laurakelley@example.org"/>
    <n v="45935572"/>
    <n v="9473321348"/>
    <x v="183"/>
    <d v="2026-03-03T16:01:05"/>
    <x v="0"/>
    <x v="5"/>
    <x v="2"/>
    <x v="0"/>
    <n v="54"/>
    <n v="215"/>
    <n v="0"/>
    <s v="App, network, or device troubleshooting requested"/>
    <n v="1069"/>
    <x v="0"/>
    <n v="1"/>
    <s v="Mar 2026"/>
    <n v="202603"/>
    <x v="10"/>
  </r>
  <r>
    <n v="7254273444"/>
    <n v="830572478"/>
    <s v="William Mueller"/>
    <s v="gnichols@example.net"/>
    <n v="13999315"/>
    <n v="1978200864"/>
    <x v="184"/>
    <d v="2024-03-28T02:00:50"/>
    <x v="2"/>
    <x v="5"/>
    <x v="2"/>
    <x v="0"/>
    <n v="62"/>
    <n v="541"/>
    <n v="0"/>
    <s v="App, network, or device troubleshooting requested"/>
    <n v="1070"/>
    <x v="0"/>
    <n v="1"/>
    <s v="Mar 2024"/>
    <n v="202403"/>
    <x v="15"/>
  </r>
  <r>
    <n v="7281716024"/>
    <n v="314423806"/>
    <s v="Elizabeth Johnson"/>
    <s v="lisa39@example.org"/>
    <n v="95899313"/>
    <m/>
    <x v="185"/>
    <d v="2025-04-14T14:24:03"/>
    <x v="3"/>
    <x v="2"/>
    <x v="0"/>
    <x v="0"/>
    <n v="29"/>
    <n v="773"/>
    <n v="0"/>
    <s v="Customer questioned invoice amount and prorated charges"/>
    <n v="1072"/>
    <x v="0"/>
    <n v="1"/>
    <s v="Apr 2025"/>
    <n v="202504"/>
    <x v="6"/>
  </r>
  <r>
    <n v="7329608508"/>
    <n v="140229006"/>
    <s v="William Barnett"/>
    <s v="eadams@example.org"/>
    <n v="31429110"/>
    <m/>
    <x v="186"/>
    <d v="2024-08-13T03:46:50"/>
    <x v="5"/>
    <x v="3"/>
    <x v="2"/>
    <x v="0"/>
    <n v="21"/>
    <n v="506"/>
    <n v="0"/>
    <s v="Shipment or installation appointment delayed beyond ETA"/>
    <n v="1080"/>
    <x v="0"/>
    <n v="1"/>
    <s v="Aug 2024"/>
    <n v="202408"/>
    <x v="18"/>
  </r>
  <r>
    <n v="7373507987"/>
    <n v="548700579"/>
    <s v="Melissa Hall"/>
    <s v="natalie54@example.org"/>
    <n v="98550256"/>
    <n v="3602111250"/>
    <x v="187"/>
    <d v="2024-04-14T19:19:57"/>
    <x v="5"/>
    <x v="5"/>
    <x v="2"/>
    <x v="0"/>
    <n v="51"/>
    <n v="622"/>
    <n v="0"/>
    <s v="App, network, or device troubleshooting requested"/>
    <n v="1087"/>
    <x v="0"/>
    <n v="1"/>
    <s v="Apr 2024"/>
    <n v="202404"/>
    <x v="2"/>
  </r>
  <r>
    <n v="7376872215"/>
    <n v="576676179"/>
    <s v="Heather Garcia"/>
    <s v="fpoole@example.org"/>
    <n v="47338124"/>
    <n v="1995162447"/>
    <x v="188"/>
    <d v="2024-05-18T06:33:25"/>
    <x v="2"/>
    <x v="0"/>
    <x v="0"/>
    <x v="0"/>
    <n v="23"/>
    <n v="210"/>
    <n v="0"/>
    <s v="Customer reported intermittent service and repeat disruptions"/>
    <n v="1088"/>
    <x v="0"/>
    <n v="1"/>
    <s v="May 2024"/>
    <n v="202405"/>
    <x v="24"/>
  </r>
  <r>
    <n v="7433122359"/>
    <n v="990189659"/>
    <s v="Mallory Taylor"/>
    <s v="patrickdunn@example.net"/>
    <n v="70291817"/>
    <n v="9711293507"/>
    <x v="189"/>
    <d v="2024-07-14T16:36:58"/>
    <x v="2"/>
    <x v="3"/>
    <x v="0"/>
    <x v="0"/>
    <n v="39"/>
    <n v="858"/>
    <n v="0"/>
    <s v="Shipment or installation appointment delayed beyond ETA"/>
    <n v="1095"/>
    <x v="0"/>
    <n v="1"/>
    <s v="Jul 2024"/>
    <n v="202407"/>
    <x v="23"/>
  </r>
  <r>
    <n v="7522186733"/>
    <n v="788255012"/>
    <s v="Robert Gill"/>
    <s v="kathleen47@example.net"/>
    <n v="61642594"/>
    <n v="4400697308"/>
    <x v="190"/>
    <d v="2025-05-19T12:50:44"/>
    <x v="1"/>
    <x v="4"/>
    <x v="2"/>
    <x v="0"/>
    <n v="1"/>
    <n v="6"/>
    <n v="0"/>
    <s v="Login, OTP, or password reset issue"/>
    <n v="1110"/>
    <x v="0"/>
    <n v="1"/>
    <s v="May 2025"/>
    <n v="202505"/>
    <x v="5"/>
  </r>
  <r>
    <n v="7531704552"/>
    <n v="140048684"/>
    <s v="Wendy Anderson"/>
    <s v="thompsoncaitlin@example.com"/>
    <n v="21668732"/>
    <n v="3747126998"/>
    <x v="191"/>
    <d v="2025-10-05T08:32:43"/>
    <x v="5"/>
    <x v="2"/>
    <x v="1"/>
    <x v="0"/>
    <n v="36"/>
    <n v="157"/>
    <n v="0"/>
    <s v="Customer questioned invoice amount and prorated charges"/>
    <n v="1112"/>
    <x v="0"/>
    <n v="1"/>
    <s v="Oct 2025"/>
    <n v="202510"/>
    <x v="8"/>
  </r>
  <r>
    <n v="7562248692"/>
    <n v="872649234"/>
    <s v="Douglas Reyes"/>
    <s v="mburch@example.net"/>
    <n v="41227216"/>
    <m/>
    <x v="192"/>
    <d v="2025-02-11T02:06:23"/>
    <x v="3"/>
    <x v="1"/>
    <x v="2"/>
    <x v="0"/>
    <n v="50"/>
    <n v="333"/>
    <n v="0"/>
    <s v="Refund status or reversal timeline inquiry"/>
    <n v="1117"/>
    <x v="0"/>
    <n v="1"/>
    <s v="Feb 2025"/>
    <n v="202502"/>
    <x v="14"/>
  </r>
  <r>
    <n v="7563042060"/>
    <n v="355046107"/>
    <s v="Brittany Kim"/>
    <s v="lisawilkerson@example.org"/>
    <n v="82383095"/>
    <m/>
    <x v="193"/>
    <d v="2026-02-13T18:27:30"/>
    <x v="4"/>
    <x v="3"/>
    <x v="1"/>
    <x v="0"/>
    <n v="43"/>
    <n v="259"/>
    <n v="0"/>
    <s v="Shipment or installation appointment delayed beyond ETA"/>
    <n v="1118"/>
    <x v="0"/>
    <n v="1"/>
    <s v="Feb 2026"/>
    <n v="202602"/>
    <x v="25"/>
  </r>
  <r>
    <n v="7588022249"/>
    <n v="770809983"/>
    <s v="Mary Gomez"/>
    <s v="chensley@example.com"/>
    <n v="22201654"/>
    <m/>
    <x v="194"/>
    <d v="2025-06-10T10:04:00"/>
    <x v="2"/>
    <x v="0"/>
    <x v="0"/>
    <x v="0"/>
    <n v="95"/>
    <n v="330"/>
    <n v="0"/>
    <s v="Customer reported intermittent service and repeat disruptions"/>
    <n v="1123"/>
    <x v="0"/>
    <n v="1"/>
    <s v="Jun 2025"/>
    <n v="202506"/>
    <x v="19"/>
  </r>
  <r>
    <n v="7614463949"/>
    <n v="992398092"/>
    <s v="Sara Cochran"/>
    <s v="lweaver@example.com"/>
    <n v="70855700"/>
    <m/>
    <x v="195"/>
    <d v="2025-12-20T03:27:23"/>
    <x v="4"/>
    <x v="0"/>
    <x v="0"/>
    <x v="0"/>
    <n v="18"/>
    <n v="627"/>
    <n v="0"/>
    <s v="Customer reported intermittent service and repeat disruptions"/>
    <n v="1126"/>
    <x v="0"/>
    <n v="1"/>
    <s v="Dec 2025"/>
    <n v="202512"/>
    <x v="21"/>
  </r>
  <r>
    <n v="7640584556"/>
    <n v="797889971"/>
    <s v="Sharon Ayala"/>
    <s v="mark87@example.org"/>
    <n v="45264581"/>
    <m/>
    <x v="196"/>
    <d v="2025-03-26T19:55:01"/>
    <x v="6"/>
    <x v="4"/>
    <x v="1"/>
    <x v="0"/>
    <n v="70"/>
    <n v="359"/>
    <n v="0"/>
    <s v="Login, OTP, or password reset issue"/>
    <n v="1133"/>
    <x v="0"/>
    <n v="1"/>
    <s v="Mar 2025"/>
    <n v="202503"/>
    <x v="20"/>
  </r>
  <r>
    <n v="7650227343"/>
    <n v="886989426"/>
    <s v="Anthony Nichols"/>
    <s v="teresacampbell@example.org"/>
    <n v="35808537"/>
    <m/>
    <x v="197"/>
    <d v="2024-03-17T10:21:12"/>
    <x v="1"/>
    <x v="1"/>
    <x v="0"/>
    <x v="0"/>
    <n v="71"/>
    <n v="373"/>
    <n v="0"/>
    <s v="Refund status or reversal timeline inquiry"/>
    <n v="1135"/>
    <x v="0"/>
    <n v="1"/>
    <s v="Mar 2024"/>
    <n v="202403"/>
    <x v="15"/>
  </r>
  <r>
    <n v="7674997006"/>
    <n v="532990767"/>
    <s v="Shane Mcintyre"/>
    <s v="ryankathryn@example.net"/>
    <n v="91734598"/>
    <m/>
    <x v="198"/>
    <d v="2024-01-02T21:04:38"/>
    <x v="5"/>
    <x v="1"/>
    <x v="0"/>
    <x v="0"/>
    <n v="25"/>
    <n v="713"/>
    <n v="0"/>
    <s v="Refund status or reversal timeline inquiry"/>
    <n v="1142"/>
    <x v="0"/>
    <n v="1"/>
    <s v="Jan 2024"/>
    <n v="202401"/>
    <x v="17"/>
  </r>
  <r>
    <n v="7704591830"/>
    <n v="492750748"/>
    <s v="Ryan Thompson"/>
    <s v="andersoneric@example.net"/>
    <n v="10076758"/>
    <n v="8783691893"/>
    <x v="199"/>
    <d v="2026-01-06T03:53:43"/>
    <x v="1"/>
    <x v="5"/>
    <x v="2"/>
    <x v="0"/>
    <n v="9"/>
    <n v="703"/>
    <n v="0"/>
    <s v="App, network, or device troubleshooting requested"/>
    <n v="1147"/>
    <x v="0"/>
    <n v="1"/>
    <s v="Jan 2026"/>
    <n v="202601"/>
    <x v="0"/>
  </r>
  <r>
    <n v="7882014958"/>
    <n v="499446327"/>
    <s v="Kenneth Smith"/>
    <s v="tonya99@example.net"/>
    <n v="63100814"/>
    <m/>
    <x v="200"/>
    <d v="2025-09-17T17:29:34"/>
    <x v="2"/>
    <x v="2"/>
    <x v="2"/>
    <x v="0"/>
    <n v="2"/>
    <n v="198"/>
    <n v="0"/>
    <s v="Customer questioned invoice amount and prorated charges"/>
    <n v="1171"/>
    <x v="0"/>
    <n v="1"/>
    <s v="Sep 2025"/>
    <n v="202509"/>
    <x v="9"/>
  </r>
  <r>
    <n v="7914730523"/>
    <n v="417440983"/>
    <s v="Eugene Kirk"/>
    <s v="joseph51@example.net"/>
    <n v="52235350"/>
    <m/>
    <x v="201"/>
    <d v="2024-04-24T13:47:28"/>
    <x v="1"/>
    <x v="3"/>
    <x v="1"/>
    <x v="0"/>
    <n v="64"/>
    <n v="595"/>
    <n v="0"/>
    <s v="Shipment or installation appointment delayed beyond ETA"/>
    <n v="1173"/>
    <x v="0"/>
    <n v="1"/>
    <s v="Apr 2024"/>
    <n v="202404"/>
    <x v="2"/>
  </r>
  <r>
    <n v="7922345853"/>
    <n v="322631460"/>
    <s v="Jennifer Monroe"/>
    <s v="michelle12@example.org"/>
    <n v="29175900"/>
    <n v="8094961855"/>
    <x v="202"/>
    <d v="2025-12-26T09:05:42"/>
    <x v="4"/>
    <x v="3"/>
    <x v="2"/>
    <x v="0"/>
    <n v="40"/>
    <n v="396"/>
    <n v="0"/>
    <s v="Shipment or installation appointment delayed beyond ETA"/>
    <n v="1174"/>
    <x v="0"/>
    <n v="1"/>
    <s v="Dec 2025"/>
    <n v="202512"/>
    <x v="21"/>
  </r>
  <r>
    <n v="7937815039"/>
    <n v="316456682"/>
    <s v="Daniel Brown"/>
    <s v="webbhaley@example.net"/>
    <n v="63606628"/>
    <m/>
    <x v="203"/>
    <d v="2025-09-19T18:40:04"/>
    <x v="4"/>
    <x v="4"/>
    <x v="2"/>
    <x v="0"/>
    <n v="57"/>
    <n v="432"/>
    <n v="0"/>
    <s v="Login, OTP, or password reset issue"/>
    <n v="1175"/>
    <x v="0"/>
    <n v="1"/>
    <s v="Sep 2025"/>
    <n v="202509"/>
    <x v="9"/>
  </r>
  <r>
    <n v="7938817989"/>
    <n v="133898577"/>
    <s v="John Khan"/>
    <s v="danderson@example.org"/>
    <n v="22981052"/>
    <n v="1780617297"/>
    <x v="204"/>
    <d v="2026-01-29T08:55:34"/>
    <x v="6"/>
    <x v="2"/>
    <x v="3"/>
    <x v="0"/>
    <n v="73"/>
    <n v="774"/>
    <n v="0"/>
    <s v="Customer questioned invoice amount and prorated charges"/>
    <n v="1176"/>
    <x v="0"/>
    <n v="1"/>
    <s v="Jan 2026"/>
    <n v="202601"/>
    <x v="0"/>
  </r>
  <r>
    <n v="7986328381"/>
    <n v="459748735"/>
    <s v="Michael Forbes"/>
    <s v="jennifer54@example.org"/>
    <n v="60806024"/>
    <m/>
    <x v="205"/>
    <d v="2024-03-13T23:25:00"/>
    <x v="0"/>
    <x v="3"/>
    <x v="0"/>
    <x v="0"/>
    <n v="17"/>
    <n v="561"/>
    <n v="0"/>
    <s v="Shipment or installation appointment delayed beyond ETA"/>
    <n v="1182"/>
    <x v="0"/>
    <n v="1"/>
    <s v="Mar 2024"/>
    <n v="202403"/>
    <x v="15"/>
  </r>
  <r>
    <n v="8018052519"/>
    <n v="475364113"/>
    <s v="John Mckinney"/>
    <s v="fburns@example.net"/>
    <n v="93016315"/>
    <m/>
    <x v="206"/>
    <d v="2025-08-10T01:18:34"/>
    <x v="6"/>
    <x v="2"/>
    <x v="2"/>
    <x v="0"/>
    <n v="22"/>
    <n v="69"/>
    <n v="0"/>
    <s v="Customer questioned invoice amount and prorated charges"/>
    <n v="1185"/>
    <x v="0"/>
    <n v="1"/>
    <s v="Aug 2025"/>
    <n v="202508"/>
    <x v="22"/>
  </r>
  <r>
    <n v="8034322712"/>
    <n v="543412542"/>
    <s v="Erin Williams"/>
    <s v="mcneilchristina@example.org"/>
    <n v="91030736"/>
    <m/>
    <x v="207"/>
    <d v="2025-10-20T05:41:41"/>
    <x v="6"/>
    <x v="5"/>
    <x v="2"/>
    <x v="0"/>
    <n v="37"/>
    <n v="304"/>
    <n v="0"/>
    <s v="App, network, or device troubleshooting requested"/>
    <n v="1189"/>
    <x v="0"/>
    <n v="1"/>
    <s v="Oct 2025"/>
    <n v="202510"/>
    <x v="8"/>
  </r>
  <r>
    <n v="8063555243"/>
    <n v="217281149"/>
    <s v="John Harris"/>
    <s v="icooper@example.org"/>
    <n v="32162965"/>
    <m/>
    <x v="208"/>
    <d v="2024-02-15T17:41:30"/>
    <x v="6"/>
    <x v="0"/>
    <x v="2"/>
    <x v="0"/>
    <n v="57"/>
    <n v="178"/>
    <n v="0"/>
    <s v="Customer reported intermittent service and repeat disruptions"/>
    <n v="1191"/>
    <x v="0"/>
    <n v="1"/>
    <s v="Feb 2024"/>
    <n v="202402"/>
    <x v="7"/>
  </r>
  <r>
    <n v="8108540153"/>
    <n v="492750748"/>
    <s v="Ryan Thompson"/>
    <s v="andersoneric@example.net"/>
    <n v="52339391"/>
    <m/>
    <x v="209"/>
    <d v="2024-11-12T13:20:55"/>
    <x v="1"/>
    <x v="1"/>
    <x v="2"/>
    <x v="0"/>
    <n v="3"/>
    <n v="771"/>
    <n v="0"/>
    <s v="Refund status or reversal timeline inquiry"/>
    <n v="1197"/>
    <x v="0"/>
    <n v="1"/>
    <s v="Nov 2024"/>
    <n v="202411"/>
    <x v="11"/>
  </r>
  <r>
    <n v="8157055313"/>
    <n v="178354184"/>
    <s v="Andrew Reynolds"/>
    <s v="veronicaanderson@example.net"/>
    <n v="49349722"/>
    <m/>
    <x v="210"/>
    <d v="2025-11-30T10:33:24"/>
    <x v="4"/>
    <x v="1"/>
    <x v="0"/>
    <x v="0"/>
    <n v="92"/>
    <n v="412"/>
    <n v="0"/>
    <s v="Refund status or reversal timeline inquiry"/>
    <n v="1204"/>
    <x v="0"/>
    <n v="1"/>
    <s v="Nov 2025"/>
    <n v="202511"/>
    <x v="4"/>
  </r>
  <r>
    <n v="8177588181"/>
    <n v="269737590"/>
    <s v="Amanda Landry"/>
    <s v="russellramirez@example.net"/>
    <n v="45351479"/>
    <m/>
    <x v="211"/>
    <d v="2025-08-01T11:50:13"/>
    <x v="6"/>
    <x v="3"/>
    <x v="0"/>
    <x v="0"/>
    <n v="18"/>
    <n v="218"/>
    <n v="0"/>
    <s v="Shipment or installation appointment delayed beyond ETA"/>
    <n v="1207"/>
    <x v="0"/>
    <n v="1"/>
    <s v="Aug 2025"/>
    <n v="202508"/>
    <x v="22"/>
  </r>
  <r>
    <n v="8186917158"/>
    <n v="140048684"/>
    <s v="Wendy Anderson"/>
    <s v="thompsoncaitlin@example.com"/>
    <n v="17507864"/>
    <m/>
    <x v="212"/>
    <d v="2026-03-15T12:48:02"/>
    <x v="0"/>
    <x v="0"/>
    <x v="3"/>
    <x v="0"/>
    <n v="43"/>
    <n v="661"/>
    <n v="0"/>
    <s v="Customer reported intermittent service and repeat disruptions"/>
    <n v="1208"/>
    <x v="0"/>
    <n v="1"/>
    <s v="Mar 2026"/>
    <n v="202603"/>
    <x v="10"/>
  </r>
  <r>
    <n v="8243971892"/>
    <n v="788255012"/>
    <s v="Robert Gill"/>
    <s v="kathleen47@example.net"/>
    <n v="30513739"/>
    <n v="4400697308"/>
    <x v="213"/>
    <d v="2025-12-20T05:40:59"/>
    <x v="0"/>
    <x v="2"/>
    <x v="0"/>
    <x v="0"/>
    <n v="42"/>
    <n v="757"/>
    <n v="0"/>
    <s v="Customer questioned invoice amount and prorated charges"/>
    <n v="1218"/>
    <x v="0"/>
    <n v="1"/>
    <s v="Dec 2025"/>
    <n v="202512"/>
    <x v="21"/>
  </r>
  <r>
    <n v="8247938862"/>
    <n v="564520346"/>
    <s v="Sean Johnson"/>
    <s v="edwardford@example.net"/>
    <n v="60929647"/>
    <m/>
    <x v="214"/>
    <d v="2025-03-28T23:45:39"/>
    <x v="2"/>
    <x v="5"/>
    <x v="1"/>
    <x v="0"/>
    <n v="60"/>
    <n v="691"/>
    <n v="0"/>
    <s v="App, network, or device troubleshooting requested"/>
    <n v="1219"/>
    <x v="0"/>
    <n v="1"/>
    <s v="Mar 2025"/>
    <n v="202503"/>
    <x v="20"/>
  </r>
  <r>
    <n v="8259384311"/>
    <n v="238151258"/>
    <s v="Christopher Lee"/>
    <s v="maryjohnson@example.com"/>
    <n v="41227216"/>
    <m/>
    <x v="215"/>
    <d v="2025-11-22T07:30:08"/>
    <x v="2"/>
    <x v="4"/>
    <x v="1"/>
    <x v="0"/>
    <n v="44"/>
    <n v="689"/>
    <n v="0"/>
    <s v="Login, OTP, or password reset issue"/>
    <n v="1224"/>
    <x v="0"/>
    <n v="1"/>
    <s v="Nov 2025"/>
    <n v="202511"/>
    <x v="4"/>
  </r>
  <r>
    <n v="8262720206"/>
    <n v="128636900"/>
    <s v="Brian Hampton"/>
    <s v="amber07@example.net"/>
    <n v="71662963"/>
    <m/>
    <x v="216"/>
    <d v="2025-06-05T17:50:33"/>
    <x v="5"/>
    <x v="1"/>
    <x v="2"/>
    <x v="0"/>
    <n v="14"/>
    <n v="809"/>
    <n v="0"/>
    <s v="Refund status or reversal timeline inquiry"/>
    <n v="1225"/>
    <x v="0"/>
    <n v="1"/>
    <s v="Jun 2025"/>
    <n v="202506"/>
    <x v="19"/>
  </r>
  <r>
    <n v="8311872268"/>
    <n v="144996163"/>
    <s v="Chase Pittman"/>
    <s v="tonya82@example.net"/>
    <n v="97226012"/>
    <n v="5892956017"/>
    <x v="217"/>
    <d v="2024-08-12T03:26:50"/>
    <x v="5"/>
    <x v="2"/>
    <x v="2"/>
    <x v="0"/>
    <n v="1"/>
    <n v="774"/>
    <n v="0"/>
    <s v="Customer questioned invoice amount and prorated charges"/>
    <n v="1230"/>
    <x v="0"/>
    <n v="1"/>
    <s v="Aug 2024"/>
    <n v="202408"/>
    <x v="18"/>
  </r>
  <r>
    <n v="8396845668"/>
    <n v="226074193"/>
    <s v="Bobby Ross"/>
    <s v="thomascassandra@example.org"/>
    <n v="24942603"/>
    <m/>
    <x v="218"/>
    <d v="2024-07-01T20:44:18"/>
    <x v="4"/>
    <x v="1"/>
    <x v="1"/>
    <x v="0"/>
    <n v="31"/>
    <n v="36"/>
    <n v="0"/>
    <s v="Refund status or reversal timeline inquiry"/>
    <n v="1236"/>
    <x v="0"/>
    <n v="1"/>
    <s v="Jul 2024"/>
    <n v="202407"/>
    <x v="23"/>
  </r>
  <r>
    <n v="8438406597"/>
    <n v="685698675"/>
    <s v="Dylan Raymond"/>
    <s v="laurenchandler@example.com"/>
    <n v="21668732"/>
    <m/>
    <x v="219"/>
    <d v="2025-04-21T01:40:14"/>
    <x v="1"/>
    <x v="5"/>
    <x v="1"/>
    <x v="0"/>
    <n v="44"/>
    <n v="410"/>
    <n v="0"/>
    <s v="App, network, or device troubleshooting requested"/>
    <n v="1243"/>
    <x v="0"/>
    <n v="1"/>
    <s v="Apr 2025"/>
    <n v="202504"/>
    <x v="6"/>
  </r>
  <r>
    <n v="8442057019"/>
    <n v="749715626"/>
    <s v="Pamela Jimenez"/>
    <s v="mooremichael@example.org"/>
    <n v="20570592"/>
    <m/>
    <x v="220"/>
    <d v="2024-12-22T07:29:19"/>
    <x v="2"/>
    <x v="1"/>
    <x v="2"/>
    <x v="0"/>
    <n v="72"/>
    <n v="703"/>
    <n v="0"/>
    <s v="Refund status or reversal timeline inquiry"/>
    <n v="1245"/>
    <x v="0"/>
    <n v="1"/>
    <s v="Dec 2024"/>
    <n v="202412"/>
    <x v="12"/>
  </r>
  <r>
    <n v="8522334977"/>
    <n v="334517688"/>
    <s v="Breanna Randolph"/>
    <s v="jackwyatt@example.org"/>
    <n v="31931511"/>
    <m/>
    <x v="221"/>
    <d v="2024-07-19T18:09:24"/>
    <x v="5"/>
    <x v="0"/>
    <x v="2"/>
    <x v="0"/>
    <n v="62"/>
    <n v="441"/>
    <n v="0"/>
    <s v="Customer reported intermittent service and repeat disruptions"/>
    <n v="1261"/>
    <x v="0"/>
    <n v="1"/>
    <s v="Jul 2024"/>
    <n v="202407"/>
    <x v="23"/>
  </r>
  <r>
    <n v="8550388932"/>
    <n v="690554938"/>
    <s v="Evan Buchanan"/>
    <s v="meyertiffany@example.net"/>
    <n v="32969840"/>
    <m/>
    <x v="222"/>
    <d v="2025-06-18T21:19:19"/>
    <x v="2"/>
    <x v="1"/>
    <x v="2"/>
    <x v="0"/>
    <n v="41"/>
    <n v="221"/>
    <n v="0"/>
    <s v="Refund status or reversal timeline inquiry"/>
    <n v="1269"/>
    <x v="0"/>
    <n v="1"/>
    <s v="Jun 2025"/>
    <n v="202506"/>
    <x v="19"/>
  </r>
  <r>
    <n v="8557322555"/>
    <n v="417604347"/>
    <s v="Kimberly Gutierrez"/>
    <s v="aprildean@example.com"/>
    <n v="23756669"/>
    <n v="7634187301"/>
    <x v="223"/>
    <d v="2026-01-15T17:06:28"/>
    <x v="1"/>
    <x v="5"/>
    <x v="2"/>
    <x v="0"/>
    <n v="67"/>
    <n v="340"/>
    <n v="0"/>
    <s v="App, network, or device troubleshooting requested"/>
    <n v="1270"/>
    <x v="0"/>
    <n v="1"/>
    <s v="Jan 2026"/>
    <n v="202601"/>
    <x v="0"/>
  </r>
  <r>
    <n v="8563355529"/>
    <n v="322631460"/>
    <s v="Jennifer Monroe"/>
    <s v="michelle12@example.org"/>
    <n v="22575562"/>
    <n v="8094961855"/>
    <x v="224"/>
    <d v="2025-11-11T09:15:28"/>
    <x v="1"/>
    <x v="3"/>
    <x v="3"/>
    <x v="0"/>
    <n v="64"/>
    <n v="787"/>
    <n v="0"/>
    <s v="Shipment or installation appointment delayed beyond ETA"/>
    <n v="1273"/>
    <x v="0"/>
    <n v="1"/>
    <s v="Nov 2025"/>
    <n v="202511"/>
    <x v="4"/>
  </r>
  <r>
    <n v="8603785258"/>
    <n v="582452834"/>
    <s v="Mackenzie Faulkner"/>
    <s v="markramirez@example.com"/>
    <n v="43744231"/>
    <n v="7098454628"/>
    <x v="225"/>
    <d v="2026-01-30T12:55:55"/>
    <x v="5"/>
    <x v="0"/>
    <x v="0"/>
    <x v="0"/>
    <n v="35"/>
    <n v="748"/>
    <n v="0"/>
    <s v="Customer reported intermittent service and repeat disruptions"/>
    <n v="1282"/>
    <x v="0"/>
    <n v="1"/>
    <s v="Jan 2026"/>
    <n v="202601"/>
    <x v="0"/>
  </r>
  <r>
    <n v="8617012756"/>
    <n v="840629322"/>
    <s v="Joseph Rhodes"/>
    <s v="thomasrichard@example.net"/>
    <n v="24716857"/>
    <m/>
    <x v="226"/>
    <d v="2026-02-11T11:53:33"/>
    <x v="1"/>
    <x v="0"/>
    <x v="3"/>
    <x v="0"/>
    <n v="39"/>
    <n v="138"/>
    <n v="0"/>
    <s v="Customer reported intermittent service and repeat disruptions"/>
    <n v="1286"/>
    <x v="0"/>
    <n v="1"/>
    <s v="Feb 2026"/>
    <n v="202602"/>
    <x v="25"/>
  </r>
  <r>
    <n v="8680701997"/>
    <n v="872649234"/>
    <s v="Douglas Reyes"/>
    <s v="mburch@example.net"/>
    <n v="48840994"/>
    <n v="1888734391"/>
    <x v="227"/>
    <d v="2025-08-18T15:50:52"/>
    <x v="3"/>
    <x v="3"/>
    <x v="0"/>
    <x v="0"/>
    <n v="41"/>
    <n v="341"/>
    <n v="0"/>
    <s v="Shipment or installation appointment delayed beyond ETA"/>
    <n v="1293"/>
    <x v="0"/>
    <n v="1"/>
    <s v="Aug 2025"/>
    <n v="202508"/>
    <x v="22"/>
  </r>
  <r>
    <n v="8766760796"/>
    <n v="639991949"/>
    <s v="Ashley Bird"/>
    <s v="shawn88@example.com"/>
    <n v="45812670"/>
    <m/>
    <x v="228"/>
    <d v="2024-01-02T12:20:16"/>
    <x v="2"/>
    <x v="4"/>
    <x v="0"/>
    <x v="0"/>
    <n v="56"/>
    <n v="162"/>
    <n v="0"/>
    <s v="Login, OTP, or password reset issue"/>
    <n v="1307"/>
    <x v="0"/>
    <n v="1"/>
    <s v="Jan 2024"/>
    <n v="202401"/>
    <x v="17"/>
  </r>
  <r>
    <n v="8818607239"/>
    <n v="499446327"/>
    <s v="Kenneth Smith"/>
    <s v="tonya99@example.net"/>
    <n v="91756179"/>
    <m/>
    <x v="229"/>
    <d v="2025-09-26T18:16:50"/>
    <x v="2"/>
    <x v="4"/>
    <x v="1"/>
    <x v="0"/>
    <n v="24"/>
    <n v="85"/>
    <n v="0"/>
    <s v="Login, OTP, or password reset issue"/>
    <n v="1313"/>
    <x v="0"/>
    <n v="1"/>
    <s v="Sep 2025"/>
    <n v="202509"/>
    <x v="9"/>
  </r>
  <r>
    <n v="8820108666"/>
    <n v="874364174"/>
    <s v="Shawn Yu"/>
    <s v="debbiebrown@example.net"/>
    <n v="55667651"/>
    <m/>
    <x v="230"/>
    <d v="2025-09-19T11:04:32"/>
    <x v="6"/>
    <x v="1"/>
    <x v="2"/>
    <x v="0"/>
    <n v="3"/>
    <n v="892"/>
    <n v="0"/>
    <s v="Refund status or reversal timeline inquiry"/>
    <n v="1314"/>
    <x v="0"/>
    <n v="1"/>
    <s v="Sep 2025"/>
    <n v="202509"/>
    <x v="9"/>
  </r>
  <r>
    <n v="8828157532"/>
    <n v="287974375"/>
    <s v="David Moss"/>
    <s v="bpeterson@example.com"/>
    <n v="85345555"/>
    <n v="3803069611"/>
    <x v="231"/>
    <d v="2024-11-20T09:00:35"/>
    <x v="4"/>
    <x v="5"/>
    <x v="1"/>
    <x v="0"/>
    <n v="60"/>
    <n v="842"/>
    <n v="0"/>
    <s v="App, network, or device troubleshooting requested"/>
    <n v="1315"/>
    <x v="0"/>
    <n v="1"/>
    <s v="Nov 2024"/>
    <n v="202411"/>
    <x v="11"/>
  </r>
  <r>
    <n v="8832420150"/>
    <n v="925884151"/>
    <s v="Jeffery Brown"/>
    <s v="tschneider@example.org"/>
    <n v="31931511"/>
    <m/>
    <x v="232"/>
    <d v="2025-08-05T09:46:58"/>
    <x v="2"/>
    <x v="4"/>
    <x v="2"/>
    <x v="0"/>
    <n v="57"/>
    <n v="254"/>
    <n v="0"/>
    <s v="Login, OTP, or password reset issue"/>
    <n v="1317"/>
    <x v="0"/>
    <n v="1"/>
    <s v="Aug 2025"/>
    <n v="202508"/>
    <x v="22"/>
  </r>
  <r>
    <n v="8860358355"/>
    <n v="464090064"/>
    <s v="Joseph Alvarado"/>
    <s v="rhonda99@example.net"/>
    <n v="31682744"/>
    <m/>
    <x v="233"/>
    <d v="2024-05-08T07:49:45"/>
    <x v="5"/>
    <x v="0"/>
    <x v="1"/>
    <x v="0"/>
    <n v="1"/>
    <n v="1061"/>
    <n v="0"/>
    <s v="Customer reported intermittent service and repeat disruptions"/>
    <n v="1320"/>
    <x v="0"/>
    <n v="1"/>
    <s v="May 2024"/>
    <n v="202405"/>
    <x v="24"/>
  </r>
  <r>
    <n v="8881826467"/>
    <n v="572022811"/>
    <s v="Nicole Middleton DDS"/>
    <s v="codyarnold@example.net"/>
    <n v="88320463"/>
    <m/>
    <x v="234"/>
    <d v="2025-10-04T01:23:08"/>
    <x v="3"/>
    <x v="2"/>
    <x v="1"/>
    <x v="0"/>
    <n v="69"/>
    <n v="74"/>
    <n v="0"/>
    <s v="Customer questioned invoice amount and prorated charges"/>
    <n v="1324"/>
    <x v="0"/>
    <n v="1"/>
    <s v="Oct 2025"/>
    <n v="202510"/>
    <x v="8"/>
  </r>
  <r>
    <n v="8885111529"/>
    <n v="501538092"/>
    <s v="Susan Khan MD"/>
    <s v="clarence54@example.org"/>
    <n v="46913810"/>
    <m/>
    <x v="235"/>
    <d v="2024-06-25T23:51:31"/>
    <x v="0"/>
    <x v="5"/>
    <x v="2"/>
    <x v="0"/>
    <n v="32"/>
    <n v="112"/>
    <n v="0"/>
    <s v="App, network, or device troubleshooting requested"/>
    <n v="1325"/>
    <x v="0"/>
    <n v="1"/>
    <s v="Jun 2024"/>
    <n v="202406"/>
    <x v="26"/>
  </r>
  <r>
    <n v="8932718217"/>
    <n v="746879296"/>
    <s v="Rachel Tucker"/>
    <s v="kellis@example.org"/>
    <n v="95822412"/>
    <m/>
    <x v="236"/>
    <d v="2024-06-03T20:15:15"/>
    <x v="2"/>
    <x v="0"/>
    <x v="0"/>
    <x v="0"/>
    <n v="9"/>
    <n v="569"/>
    <n v="0"/>
    <s v="Customer reported intermittent service and repeat disruptions"/>
    <n v="1333"/>
    <x v="0"/>
    <n v="1"/>
    <s v="Jun 2024"/>
    <n v="202406"/>
    <x v="26"/>
  </r>
  <r>
    <n v="8971041739"/>
    <n v="880697625"/>
    <s v="Angela Gilmore"/>
    <s v="robertsonrenee@example.com"/>
    <n v="30513739"/>
    <n v="1691934899"/>
    <x v="237"/>
    <d v="2024-10-29T07:01:32"/>
    <x v="0"/>
    <x v="1"/>
    <x v="2"/>
    <x v="0"/>
    <n v="44"/>
    <n v="468"/>
    <n v="0"/>
    <s v="Refund status or reversal timeline inquiry"/>
    <n v="1337"/>
    <x v="0"/>
    <n v="1"/>
    <s v="Oct 2024"/>
    <n v="202410"/>
    <x v="1"/>
  </r>
  <r>
    <n v="9002512712"/>
    <n v="146914391"/>
    <s v="Jeffrey Gonzales"/>
    <s v="michaelhardin@example.com"/>
    <n v="93016315"/>
    <n v="1064174343"/>
    <x v="238"/>
    <d v="2026-03-17T09:16:42"/>
    <x v="1"/>
    <x v="1"/>
    <x v="2"/>
    <x v="0"/>
    <n v="21"/>
    <n v="124"/>
    <n v="0"/>
    <s v="Refund status or reversal timeline inquiry"/>
    <n v="1346"/>
    <x v="0"/>
    <n v="1"/>
    <s v="Mar 2026"/>
    <n v="202603"/>
    <x v="10"/>
  </r>
  <r>
    <n v="9018550283"/>
    <n v="477470703"/>
    <s v="Anthony Jones"/>
    <s v="stantonpatrick@example.net"/>
    <n v="31472420"/>
    <m/>
    <x v="239"/>
    <d v="2025-07-20T00:42:14"/>
    <x v="5"/>
    <x v="1"/>
    <x v="2"/>
    <x v="0"/>
    <n v="14"/>
    <n v="537"/>
    <n v="0"/>
    <s v="Refund status or reversal timeline inquiry"/>
    <n v="1348"/>
    <x v="0"/>
    <n v="1"/>
    <s v="Jul 2025"/>
    <n v="202507"/>
    <x v="13"/>
  </r>
  <r>
    <n v="9066647198"/>
    <n v="446454337"/>
    <s v="Sharon Lyons"/>
    <s v="wgutierrez@example.com"/>
    <n v="82070937"/>
    <n v="3552669535"/>
    <x v="240"/>
    <d v="2026-03-09T21:59:40"/>
    <x v="5"/>
    <x v="5"/>
    <x v="3"/>
    <x v="0"/>
    <n v="46"/>
    <n v="275"/>
    <n v="0"/>
    <s v="App, network, or device troubleshooting requested"/>
    <n v="1360"/>
    <x v="0"/>
    <n v="1"/>
    <s v="Mar 2026"/>
    <n v="202603"/>
    <x v="10"/>
  </r>
  <r>
    <n v="9109638107"/>
    <n v="156361897"/>
    <s v="Lori Taylor"/>
    <s v="michelle95@example.org"/>
    <n v="27232410"/>
    <m/>
    <x v="241"/>
    <d v="2025-07-12T18:18:22"/>
    <x v="0"/>
    <x v="4"/>
    <x v="2"/>
    <x v="0"/>
    <n v="58"/>
    <n v="875"/>
    <n v="0"/>
    <s v="Login, OTP, or password reset issue"/>
    <n v="1369"/>
    <x v="0"/>
    <n v="1"/>
    <s v="Jul 2025"/>
    <n v="202507"/>
    <x v="13"/>
  </r>
  <r>
    <n v="9116770673"/>
    <n v="826239153"/>
    <s v="Michael Weber"/>
    <s v="jenniferwilliams@example.com"/>
    <n v="25014631"/>
    <m/>
    <x v="242"/>
    <d v="2025-04-04T13:53:36"/>
    <x v="4"/>
    <x v="2"/>
    <x v="0"/>
    <x v="0"/>
    <n v="36"/>
    <n v="243"/>
    <n v="0"/>
    <s v="Customer questioned invoice amount and prorated charges"/>
    <n v="1371"/>
    <x v="0"/>
    <n v="1"/>
    <s v="Apr 2025"/>
    <n v="202504"/>
    <x v="6"/>
  </r>
  <r>
    <n v="9171872675"/>
    <n v="595725097"/>
    <s v="Melody Lee"/>
    <s v="jedwards@example.com"/>
    <n v="60992979"/>
    <n v="7765563516"/>
    <x v="243"/>
    <d v="2024-06-02T07:02:21"/>
    <x v="6"/>
    <x v="0"/>
    <x v="1"/>
    <x v="0"/>
    <n v="51"/>
    <n v="675"/>
    <n v="0"/>
    <s v="Customer reported intermittent service and repeat disruptions"/>
    <n v="1381"/>
    <x v="0"/>
    <n v="1"/>
    <s v="Jun 2024"/>
    <n v="202406"/>
    <x v="26"/>
  </r>
  <r>
    <n v="9241758722"/>
    <n v="365713980"/>
    <s v="Shannon Carlson"/>
    <s v="figueroapreston@example.net"/>
    <n v="39476249"/>
    <n v="8309328395"/>
    <x v="244"/>
    <d v="2024-11-14T03:45:56"/>
    <x v="1"/>
    <x v="2"/>
    <x v="2"/>
    <x v="0"/>
    <n v="1"/>
    <n v="865"/>
    <n v="0"/>
    <s v="Customer questioned invoice amount and prorated charges"/>
    <n v="1392"/>
    <x v="0"/>
    <n v="1"/>
    <s v="Nov 2024"/>
    <n v="202411"/>
    <x v="11"/>
  </r>
  <r>
    <n v="9266144191"/>
    <n v="646666136"/>
    <s v="Oscar Ramos"/>
    <s v="bateswilliam@example.org"/>
    <n v="71586053"/>
    <m/>
    <x v="245"/>
    <d v="2026-03-11T06:57:51"/>
    <x v="4"/>
    <x v="2"/>
    <x v="3"/>
    <x v="0"/>
    <n v="65"/>
    <n v="453"/>
    <n v="0"/>
    <s v="Customer questioned invoice amount and prorated charges"/>
    <n v="1396"/>
    <x v="0"/>
    <n v="1"/>
    <s v="Mar 2026"/>
    <n v="202603"/>
    <x v="10"/>
  </r>
  <r>
    <n v="9366676167"/>
    <n v="143223380"/>
    <s v="Amanda Gardner"/>
    <s v="banksrenee@example.net"/>
    <n v="81971316"/>
    <n v="1441280475"/>
    <x v="246"/>
    <d v="2025-12-18T03:20:21"/>
    <x v="6"/>
    <x v="3"/>
    <x v="2"/>
    <x v="0"/>
    <n v="26"/>
    <n v="764"/>
    <n v="0"/>
    <s v="Shipment or installation appointment delayed beyond ETA"/>
    <n v="1413"/>
    <x v="0"/>
    <n v="1"/>
    <s v="Dec 2025"/>
    <n v="202512"/>
    <x v="21"/>
  </r>
  <r>
    <n v="9381688418"/>
    <n v="838781242"/>
    <s v="Victor Blake"/>
    <s v="wellsamy@example.org"/>
    <n v="95758349"/>
    <m/>
    <x v="247"/>
    <d v="2024-01-05T17:13:20"/>
    <x v="1"/>
    <x v="1"/>
    <x v="0"/>
    <x v="0"/>
    <n v="57"/>
    <n v="659"/>
    <n v="0"/>
    <s v="Refund status or reversal timeline inquiry"/>
    <n v="1415"/>
    <x v="0"/>
    <n v="1"/>
    <s v="Jan 2024"/>
    <n v="202401"/>
    <x v="17"/>
  </r>
  <r>
    <n v="9388467387"/>
    <n v="650921917"/>
    <s v="Theresa Wilkerson"/>
    <s v="andrewjohnson@example.net"/>
    <n v="52339391"/>
    <m/>
    <x v="248"/>
    <d v="2026-02-18T14:09:46"/>
    <x v="0"/>
    <x v="4"/>
    <x v="1"/>
    <x v="0"/>
    <n v="47"/>
    <n v="605"/>
    <n v="0"/>
    <s v="Login, OTP, or password reset issue"/>
    <n v="1416"/>
    <x v="0"/>
    <n v="1"/>
    <s v="Feb 2026"/>
    <n v="202602"/>
    <x v="25"/>
  </r>
  <r>
    <n v="9451787954"/>
    <n v="986171278"/>
    <s v="Danielle Moore"/>
    <s v="anthony33@example.org"/>
    <n v="45551614"/>
    <m/>
    <x v="249"/>
    <d v="2025-05-27T18:35:02"/>
    <x v="4"/>
    <x v="0"/>
    <x v="3"/>
    <x v="0"/>
    <n v="91"/>
    <n v="270"/>
    <n v="0"/>
    <s v="Customer reported intermittent service and repeat disruptions"/>
    <n v="1425"/>
    <x v="0"/>
    <n v="1"/>
    <s v="May 2025"/>
    <n v="202505"/>
    <x v="5"/>
  </r>
  <r>
    <n v="9542076073"/>
    <n v="184675178"/>
    <s v="Paula Lopez"/>
    <s v="kennethnichols@example.org"/>
    <n v="90388981"/>
    <m/>
    <x v="250"/>
    <d v="2024-01-18T14:34:35"/>
    <x v="2"/>
    <x v="0"/>
    <x v="3"/>
    <x v="0"/>
    <n v="61"/>
    <n v="627"/>
    <n v="0"/>
    <s v="Customer reported intermittent service and repeat disruptions"/>
    <n v="1436"/>
    <x v="0"/>
    <n v="1"/>
    <s v="Jan 2024"/>
    <n v="202401"/>
    <x v="17"/>
  </r>
  <r>
    <n v="9553143673"/>
    <n v="447464644"/>
    <s v="Brett Newman"/>
    <s v="patriciagrant@example.net"/>
    <n v="81182864"/>
    <m/>
    <x v="251"/>
    <d v="2025-01-19T22:13:29"/>
    <x v="3"/>
    <x v="5"/>
    <x v="1"/>
    <x v="0"/>
    <n v="55"/>
    <n v="302"/>
    <n v="0"/>
    <s v="App, network, or device troubleshooting requested"/>
    <n v="1439"/>
    <x v="0"/>
    <n v="1"/>
    <s v="Jan 2025"/>
    <n v="202501"/>
    <x v="16"/>
  </r>
  <r>
    <n v="9571662836"/>
    <n v="410812797"/>
    <s v="Sean Chapman"/>
    <s v="johnsonjames@example.org"/>
    <n v="22201654"/>
    <n v="4006086273"/>
    <x v="252"/>
    <d v="2025-09-21T15:29:00"/>
    <x v="2"/>
    <x v="0"/>
    <x v="0"/>
    <x v="0"/>
    <n v="54"/>
    <n v="510"/>
    <n v="0"/>
    <s v="Customer reported intermittent service and repeat disruptions"/>
    <n v="1443"/>
    <x v="0"/>
    <n v="1"/>
    <s v="Sep 2025"/>
    <n v="202509"/>
    <x v="9"/>
  </r>
  <r>
    <n v="9587096470"/>
    <n v="369085407"/>
    <s v="Dennis White"/>
    <s v="snydermichael@example.org"/>
    <n v="81971316"/>
    <n v="1530443469"/>
    <x v="253"/>
    <d v="2024-04-14T16:08:33"/>
    <x v="1"/>
    <x v="2"/>
    <x v="1"/>
    <x v="0"/>
    <n v="36"/>
    <n v="288"/>
    <n v="0"/>
    <s v="Customer questioned invoice amount and prorated charges"/>
    <n v="1447"/>
    <x v="0"/>
    <n v="1"/>
    <s v="Apr 2024"/>
    <n v="202404"/>
    <x v="2"/>
  </r>
  <r>
    <n v="9596410216"/>
    <n v="695016134"/>
    <s v="Kelly Mclaughlin"/>
    <s v="calhounandrea@example.net"/>
    <n v="84252722"/>
    <m/>
    <x v="254"/>
    <d v="2025-12-01T13:09:54"/>
    <x v="6"/>
    <x v="4"/>
    <x v="3"/>
    <x v="0"/>
    <n v="42"/>
    <n v="715"/>
    <n v="0"/>
    <s v="Login, OTP, or password reset issue"/>
    <n v="1449"/>
    <x v="0"/>
    <n v="1"/>
    <s v="Dec 2025"/>
    <n v="202512"/>
    <x v="21"/>
  </r>
  <r>
    <n v="9675727360"/>
    <n v="340777602"/>
    <s v="Michelle Kane"/>
    <s v="andersonlaura@example.com"/>
    <n v="70291817"/>
    <n v="6093465668"/>
    <x v="255"/>
    <d v="2025-08-15T20:37:26"/>
    <x v="5"/>
    <x v="1"/>
    <x v="2"/>
    <x v="0"/>
    <n v="3"/>
    <n v="398"/>
    <n v="0"/>
    <s v="Refund status or reversal timeline inquiry"/>
    <n v="1463"/>
    <x v="0"/>
    <n v="1"/>
    <s v="Aug 2025"/>
    <n v="202508"/>
    <x v="22"/>
  </r>
  <r>
    <n v="9699023942"/>
    <n v="761962359"/>
    <s v="Christopher Gallegos PhD"/>
    <s v="jeremy79@example.net"/>
    <n v="48840994"/>
    <n v="7032536684"/>
    <x v="256"/>
    <d v="2025-11-08T13:19:23"/>
    <x v="5"/>
    <x v="4"/>
    <x v="0"/>
    <x v="0"/>
    <n v="11"/>
    <n v="81"/>
    <n v="0"/>
    <s v="Login, OTP, or password reset issue"/>
    <n v="1469"/>
    <x v="0"/>
    <n v="1"/>
    <s v="Nov 2025"/>
    <n v="202511"/>
    <x v="4"/>
  </r>
  <r>
    <n v="9771450806"/>
    <n v="380840558"/>
    <s v="Kevin Mason"/>
    <s v="catherinewoods@example.org"/>
    <n v="49349722"/>
    <m/>
    <x v="257"/>
    <d v="2026-02-24T05:59:39"/>
    <x v="0"/>
    <x v="2"/>
    <x v="0"/>
    <x v="0"/>
    <n v="56"/>
    <n v="204"/>
    <n v="0"/>
    <s v="Customer questioned invoice amount and prorated charges"/>
    <n v="1477"/>
    <x v="0"/>
    <n v="1"/>
    <s v="Feb 2026"/>
    <n v="202602"/>
    <x v="25"/>
  </r>
  <r>
    <n v="9916410186"/>
    <n v="342313086"/>
    <s v="Laura Gay"/>
    <s v="clarkbrittney@example.org"/>
    <n v="61220073"/>
    <m/>
    <x v="258"/>
    <d v="2024-07-20T14:44:43"/>
    <x v="3"/>
    <x v="1"/>
    <x v="1"/>
    <x v="0"/>
    <n v="6"/>
    <n v="614"/>
    <n v="0"/>
    <s v="Refund status or reversal timeline inquiry"/>
    <n v="1491"/>
    <x v="0"/>
    <n v="1"/>
    <s v="Jul 2024"/>
    <n v="202407"/>
    <x v="23"/>
  </r>
  <r>
    <n v="9952439235"/>
    <n v="846668526"/>
    <s v="Robin Johnson"/>
    <s v="jeremiah56@example.net"/>
    <n v="52235350"/>
    <m/>
    <x v="259"/>
    <d v="2024-10-10T23:03:54"/>
    <x v="3"/>
    <x v="1"/>
    <x v="0"/>
    <x v="0"/>
    <n v="3"/>
    <n v="653"/>
    <n v="0"/>
    <s v="Refund status or reversal timeline inquiry"/>
    <n v="1495"/>
    <x v="0"/>
    <n v="1"/>
    <s v="Oct 2024"/>
    <n v="202410"/>
    <x v="1"/>
  </r>
  <r>
    <n v="1063266942"/>
    <n v="254164462"/>
    <s v="Andrew Villanueva"/>
    <s v="lukemiller@example.org"/>
    <n v="47295260"/>
    <m/>
    <x v="260"/>
    <m/>
    <x v="1"/>
    <x v="2"/>
    <x v="2"/>
    <x v="1"/>
    <n v="24"/>
    <m/>
    <n v="1"/>
    <s v="Customer questioned invoice amount and prorated charges"/>
    <n v="11"/>
    <x v="1"/>
    <n v="0"/>
    <s v="Nov 2025"/>
    <n v="202511"/>
    <x v="4"/>
  </r>
  <r>
    <n v="1074718908"/>
    <n v="634211672"/>
    <s v="Mary Hill"/>
    <s v="danielhernandez@example.com"/>
    <n v="66661351"/>
    <m/>
    <x v="261"/>
    <m/>
    <x v="1"/>
    <x v="0"/>
    <x v="0"/>
    <x v="1"/>
    <n v="73"/>
    <m/>
    <n v="1"/>
    <s v="Customer reported intermittent service and repeat disruptions"/>
    <n v="15"/>
    <x v="1"/>
    <n v="0"/>
    <s v="Dec 2025"/>
    <n v="202512"/>
    <x v="21"/>
  </r>
  <r>
    <n v="1261819082"/>
    <n v="260545470"/>
    <s v="Patrick Schroeder"/>
    <s v="joseph69@example.net"/>
    <n v="72820592"/>
    <m/>
    <x v="262"/>
    <m/>
    <x v="3"/>
    <x v="4"/>
    <x v="1"/>
    <x v="1"/>
    <n v="27"/>
    <m/>
    <n v="1"/>
    <s v="Login, OTP, or password reset issue"/>
    <n v="53"/>
    <x v="1"/>
    <n v="0"/>
    <s v="Mar 2024"/>
    <n v="202403"/>
    <x v="15"/>
  </r>
  <r>
    <n v="1373690685"/>
    <n v="352889019"/>
    <s v="Timothy Davis"/>
    <s v="nvargas@example.net"/>
    <n v="63551839"/>
    <n v="7167041161"/>
    <x v="263"/>
    <m/>
    <x v="2"/>
    <x v="0"/>
    <x v="1"/>
    <x v="1"/>
    <n v="60"/>
    <m/>
    <n v="1"/>
    <s v="Customer reported intermittent service and repeat disruptions"/>
    <n v="67"/>
    <x v="1"/>
    <n v="0"/>
    <s v="Mar 2026"/>
    <n v="202603"/>
    <x v="10"/>
  </r>
  <r>
    <n v="1459429001"/>
    <n v="835172306"/>
    <s v="Alejandra Price"/>
    <s v="elizabeth51@example.org"/>
    <n v="63100814"/>
    <m/>
    <x v="264"/>
    <m/>
    <x v="2"/>
    <x v="0"/>
    <x v="2"/>
    <x v="1"/>
    <n v="30"/>
    <m/>
    <n v="1"/>
    <s v="Customer reported intermittent service and repeat disruptions"/>
    <n v="79"/>
    <x v="1"/>
    <n v="0"/>
    <s v="Dec 2024"/>
    <n v="202412"/>
    <x v="12"/>
  </r>
  <r>
    <n v="1592921738"/>
    <n v="410812797"/>
    <s v="Sean Chapman"/>
    <s v="johnsonjames@example.org"/>
    <n v="10435578"/>
    <m/>
    <x v="265"/>
    <m/>
    <x v="6"/>
    <x v="0"/>
    <x v="0"/>
    <x v="1"/>
    <n v="48"/>
    <m/>
    <n v="1"/>
    <s v="Customer reported intermittent service and repeat disruptions"/>
    <n v="103"/>
    <x v="1"/>
    <n v="0"/>
    <s v="Apr 2025"/>
    <n v="202504"/>
    <x v="6"/>
  </r>
  <r>
    <n v="1604466898"/>
    <n v="411871167"/>
    <s v="Cassandra Maldonado"/>
    <s v="ricky53@example.net"/>
    <n v="10076758"/>
    <n v="5025345979"/>
    <x v="266"/>
    <m/>
    <x v="1"/>
    <x v="3"/>
    <x v="0"/>
    <x v="1"/>
    <n v="52"/>
    <m/>
    <n v="1"/>
    <s v="Shipment or installation appointment delayed beyond ETA"/>
    <n v="105"/>
    <x v="1"/>
    <n v="0"/>
    <s v="Oct 2024"/>
    <n v="202410"/>
    <x v="1"/>
  </r>
  <r>
    <n v="1610046667"/>
    <n v="861003571"/>
    <s v="Ryan Perez"/>
    <s v="williamskatherine@example.org"/>
    <n v="58537831"/>
    <n v="5916093622"/>
    <x v="267"/>
    <m/>
    <x v="1"/>
    <x v="4"/>
    <x v="0"/>
    <x v="1"/>
    <n v="52"/>
    <m/>
    <n v="1"/>
    <s v="Login, OTP, or password reset issue"/>
    <n v="107"/>
    <x v="1"/>
    <n v="0"/>
    <s v="Apr 2024"/>
    <n v="202404"/>
    <x v="2"/>
  </r>
  <r>
    <n v="1739024459"/>
    <n v="331009561"/>
    <s v="Travis Peterson"/>
    <s v="jamie24@example.net"/>
    <n v="72820592"/>
    <n v="5176425710"/>
    <x v="268"/>
    <m/>
    <x v="3"/>
    <x v="3"/>
    <x v="3"/>
    <x v="1"/>
    <n v="52"/>
    <m/>
    <n v="1"/>
    <s v="Shipment or installation appointment delayed beyond ETA"/>
    <n v="135"/>
    <x v="1"/>
    <n v="0"/>
    <s v="Oct 2025"/>
    <n v="202510"/>
    <x v="8"/>
  </r>
  <r>
    <n v="1779705253"/>
    <n v="657568201"/>
    <s v="Andrew Carroll"/>
    <s v="derek77@example.com"/>
    <n v="94214382"/>
    <m/>
    <x v="269"/>
    <d v="2024-12-31T22:41:21"/>
    <x v="4"/>
    <x v="1"/>
    <x v="2"/>
    <x v="1"/>
    <n v="12"/>
    <n v="1083"/>
    <n v="1"/>
    <s v="Refund status or reversal timeline inquiry"/>
    <n v="150"/>
    <x v="1"/>
    <n v="0"/>
    <s v="Dec 2024"/>
    <n v="202412"/>
    <x v="12"/>
  </r>
  <r>
    <n v="1786072383"/>
    <n v="244796859"/>
    <s v="Margaret Padilla"/>
    <s v="meyershannon@example.org"/>
    <n v="45812670"/>
    <n v="7549701358"/>
    <x v="270"/>
    <m/>
    <x v="6"/>
    <x v="3"/>
    <x v="3"/>
    <x v="1"/>
    <n v="21"/>
    <m/>
    <n v="1"/>
    <s v="Shipment or installation appointment delayed beyond ETA"/>
    <n v="154"/>
    <x v="1"/>
    <n v="0"/>
    <s v="Mar 2025"/>
    <n v="202503"/>
    <x v="20"/>
  </r>
  <r>
    <n v="1810828128"/>
    <n v="295381429"/>
    <s v="Rodney Daugherty"/>
    <s v="velasqueztaylor@example.com"/>
    <n v="19289546"/>
    <n v="8122962522"/>
    <x v="271"/>
    <m/>
    <x v="4"/>
    <x v="4"/>
    <x v="0"/>
    <x v="1"/>
    <n v="57"/>
    <m/>
    <n v="1"/>
    <s v="Login, OTP, or password reset issue"/>
    <n v="159"/>
    <x v="1"/>
    <n v="0"/>
    <s v="Mar 2026"/>
    <n v="202603"/>
    <x v="10"/>
  </r>
  <r>
    <n v="1839674756"/>
    <n v="674615376"/>
    <s v="Renee Johnson"/>
    <s v="johncasey@example.com"/>
    <n v="77187530"/>
    <n v="4378559057"/>
    <x v="272"/>
    <m/>
    <x v="0"/>
    <x v="3"/>
    <x v="1"/>
    <x v="1"/>
    <n v="83"/>
    <m/>
    <n v="1"/>
    <s v="Shipment or installation appointment delayed beyond ETA"/>
    <n v="165"/>
    <x v="1"/>
    <n v="0"/>
    <s v="Apr 2025"/>
    <n v="202504"/>
    <x v="6"/>
  </r>
  <r>
    <n v="1886008703"/>
    <n v="399580835"/>
    <s v="Anthony Stanley"/>
    <s v="nicholasfields@example.org"/>
    <n v="46231783"/>
    <m/>
    <x v="273"/>
    <m/>
    <x v="3"/>
    <x v="2"/>
    <x v="0"/>
    <x v="1"/>
    <n v="36"/>
    <m/>
    <n v="1"/>
    <s v="Customer questioned invoice amount and prorated charges"/>
    <n v="176"/>
    <x v="1"/>
    <n v="0"/>
    <s v="Mar 2026"/>
    <n v="202603"/>
    <x v="10"/>
  </r>
  <r>
    <n v="1973604824"/>
    <n v="251266214"/>
    <s v="Jennifer Conley"/>
    <s v="nicole24@example.com"/>
    <n v="42857966"/>
    <n v="5627318014"/>
    <x v="274"/>
    <m/>
    <x v="5"/>
    <x v="0"/>
    <x v="0"/>
    <x v="1"/>
    <n v="57"/>
    <m/>
    <n v="1"/>
    <s v="Customer reported intermittent service and repeat disruptions"/>
    <n v="194"/>
    <x v="1"/>
    <n v="0"/>
    <s v="Nov 2025"/>
    <n v="202511"/>
    <x v="4"/>
  </r>
  <r>
    <n v="2115438431"/>
    <n v="610778600"/>
    <s v="Jeremy Johnson"/>
    <s v="sarah80@example.org"/>
    <n v="53524491"/>
    <n v="9898412960"/>
    <x v="275"/>
    <m/>
    <x v="1"/>
    <x v="3"/>
    <x v="0"/>
    <x v="1"/>
    <n v="48"/>
    <m/>
    <n v="1"/>
    <s v="Shipment or installation appointment delayed beyond ETA"/>
    <n v="208"/>
    <x v="1"/>
    <n v="0"/>
    <s v="Oct 2025"/>
    <n v="202510"/>
    <x v="8"/>
  </r>
  <r>
    <n v="2259113584"/>
    <n v="577934499"/>
    <s v="Sarah Perry"/>
    <s v="rachelquinn@example.com"/>
    <n v="49392920"/>
    <n v="8769646224"/>
    <x v="276"/>
    <d v="2024-12-13T02:00:48"/>
    <x v="4"/>
    <x v="5"/>
    <x v="3"/>
    <x v="1"/>
    <n v="26"/>
    <n v="631"/>
    <n v="1"/>
    <s v="App, network, or device troubleshooting requested"/>
    <n v="234"/>
    <x v="1"/>
    <n v="0"/>
    <s v="Dec 2024"/>
    <n v="202412"/>
    <x v="12"/>
  </r>
  <r>
    <n v="2320160317"/>
    <n v="986090690"/>
    <s v="Jason Jenkins"/>
    <s v="gainesanthony@example.com"/>
    <n v="94374605"/>
    <n v="2175304017"/>
    <x v="277"/>
    <m/>
    <x v="2"/>
    <x v="0"/>
    <x v="3"/>
    <x v="1"/>
    <n v="35"/>
    <m/>
    <n v="1"/>
    <s v="Customer reported intermittent service and repeat disruptions"/>
    <n v="240"/>
    <x v="1"/>
    <n v="0"/>
    <s v="Mar 2026"/>
    <n v="202603"/>
    <x v="10"/>
  </r>
  <r>
    <n v="2367955354"/>
    <n v="717452511"/>
    <s v="Jeffrey Hawkins"/>
    <s v="eugenesingleton@example.org"/>
    <n v="38119557"/>
    <m/>
    <x v="278"/>
    <m/>
    <x v="4"/>
    <x v="2"/>
    <x v="2"/>
    <x v="1"/>
    <n v="25"/>
    <m/>
    <n v="1"/>
    <s v="Customer questioned invoice amount and prorated charges"/>
    <n v="251"/>
    <x v="1"/>
    <n v="0"/>
    <s v="Jan 2024"/>
    <n v="202401"/>
    <x v="17"/>
  </r>
  <r>
    <n v="2506878485"/>
    <n v="962925204"/>
    <s v="Christian Riddle"/>
    <s v="mgray@example.org"/>
    <n v="51273847"/>
    <m/>
    <x v="279"/>
    <d v="2025-10-25T20:58:06"/>
    <x v="3"/>
    <x v="3"/>
    <x v="2"/>
    <x v="1"/>
    <n v="9"/>
    <n v="854"/>
    <n v="1"/>
    <s v="Shipment or installation appointment delayed beyond ETA"/>
    <n v="273"/>
    <x v="1"/>
    <n v="0"/>
    <s v="Oct 2025"/>
    <n v="202510"/>
    <x v="8"/>
  </r>
  <r>
    <n v="2721346755"/>
    <n v="402550088"/>
    <s v="Rebecca Hill"/>
    <s v="berryamy@example.com"/>
    <n v="52339391"/>
    <m/>
    <x v="280"/>
    <d v="2025-05-05T23:23:22"/>
    <x v="4"/>
    <x v="1"/>
    <x v="2"/>
    <x v="1"/>
    <n v="102"/>
    <n v="872"/>
    <n v="1"/>
    <s v="Refund status or reversal timeline inquiry"/>
    <n v="308"/>
    <x v="1"/>
    <n v="0"/>
    <s v="May 2025"/>
    <n v="202505"/>
    <x v="5"/>
  </r>
  <r>
    <n v="2727535486"/>
    <n v="569172971"/>
    <s v="Ashley Fernandez"/>
    <s v="probinson@example.org"/>
    <n v="94374605"/>
    <n v="2687430058"/>
    <x v="281"/>
    <d v="2024-05-01T00:04:16"/>
    <x v="6"/>
    <x v="1"/>
    <x v="2"/>
    <x v="1"/>
    <n v="56"/>
    <n v="637"/>
    <n v="1"/>
    <s v="Refund status or reversal timeline inquiry"/>
    <n v="311"/>
    <x v="1"/>
    <n v="0"/>
    <s v="Apr 2024"/>
    <n v="202404"/>
    <x v="2"/>
  </r>
  <r>
    <n v="2796846217"/>
    <n v="452108572"/>
    <s v="Jason Barrett"/>
    <s v="rperez@example.org"/>
    <n v="45833156"/>
    <m/>
    <x v="282"/>
    <m/>
    <x v="6"/>
    <x v="4"/>
    <x v="2"/>
    <x v="1"/>
    <n v="30"/>
    <m/>
    <n v="1"/>
    <s v="Login, OTP, or password reset issue"/>
    <n v="321"/>
    <x v="1"/>
    <n v="0"/>
    <s v="Feb 2025"/>
    <n v="202502"/>
    <x v="14"/>
  </r>
  <r>
    <n v="2809380515"/>
    <n v="952442674"/>
    <s v="Grant Wilson"/>
    <s v="rrivers@example.com"/>
    <n v="38317637"/>
    <n v="7024341290"/>
    <x v="283"/>
    <m/>
    <x v="0"/>
    <x v="1"/>
    <x v="3"/>
    <x v="1"/>
    <n v="54"/>
    <m/>
    <n v="1"/>
    <s v="Refund status or reversal timeline inquiry"/>
    <n v="324"/>
    <x v="1"/>
    <n v="0"/>
    <s v="Apr 2024"/>
    <n v="202404"/>
    <x v="2"/>
  </r>
  <r>
    <n v="2813424011"/>
    <n v="546270451"/>
    <s v="Jeremy Martinez"/>
    <s v="hphillips@example.net"/>
    <n v="36697396"/>
    <n v="8250400388"/>
    <x v="284"/>
    <m/>
    <x v="0"/>
    <x v="4"/>
    <x v="2"/>
    <x v="1"/>
    <n v="42"/>
    <m/>
    <n v="1"/>
    <s v="Login, OTP, or password reset issue"/>
    <n v="326"/>
    <x v="1"/>
    <n v="0"/>
    <s v="Mar 2024"/>
    <n v="202403"/>
    <x v="15"/>
  </r>
  <r>
    <n v="2853798776"/>
    <n v="285388355"/>
    <s v="William Anderson"/>
    <s v="emendoza@example.com"/>
    <n v="98550256"/>
    <n v="7346211863"/>
    <x v="285"/>
    <d v="2025-02-19T17:51:02"/>
    <x v="3"/>
    <x v="2"/>
    <x v="1"/>
    <x v="1"/>
    <n v="88"/>
    <n v="1005"/>
    <n v="1"/>
    <s v="Customer questioned invoice amount and prorated charges"/>
    <n v="333"/>
    <x v="1"/>
    <n v="0"/>
    <s v="Feb 2025"/>
    <n v="202502"/>
    <x v="14"/>
  </r>
  <r>
    <n v="2939053184"/>
    <n v="494009507"/>
    <s v="Alicia Barrett"/>
    <s v="suzannehill@example.org"/>
    <n v="60806024"/>
    <n v="9213654445"/>
    <x v="286"/>
    <m/>
    <x v="0"/>
    <x v="3"/>
    <x v="1"/>
    <x v="1"/>
    <n v="31"/>
    <m/>
    <n v="1"/>
    <s v="Shipment or installation appointment delayed beyond ETA"/>
    <n v="346"/>
    <x v="1"/>
    <n v="0"/>
    <s v="Feb 2025"/>
    <n v="202502"/>
    <x v="14"/>
  </r>
  <r>
    <n v="2962956522"/>
    <n v="353398109"/>
    <s v="Christopher Woods"/>
    <s v="vmelton@example.net"/>
    <n v="91734598"/>
    <n v="4991586232"/>
    <x v="287"/>
    <m/>
    <x v="1"/>
    <x v="3"/>
    <x v="1"/>
    <x v="1"/>
    <n v="28"/>
    <m/>
    <n v="1"/>
    <s v="Shipment or installation appointment delayed beyond ETA"/>
    <n v="351"/>
    <x v="1"/>
    <n v="0"/>
    <s v="Jul 2024"/>
    <n v="202407"/>
    <x v="23"/>
  </r>
  <r>
    <n v="2981028339"/>
    <n v="770529419"/>
    <s v="Harold Mckinney"/>
    <s v="rrodriguez@example.net"/>
    <n v="36697396"/>
    <m/>
    <x v="288"/>
    <m/>
    <x v="3"/>
    <x v="1"/>
    <x v="2"/>
    <x v="1"/>
    <n v="12"/>
    <m/>
    <n v="1"/>
    <s v="Refund status or reversal timeline inquiry"/>
    <n v="355"/>
    <x v="1"/>
    <n v="0"/>
    <s v="Jan 2024"/>
    <n v="202401"/>
    <x v="17"/>
  </r>
  <r>
    <n v="2991143886"/>
    <n v="148578655"/>
    <s v="Brenda Hopkins"/>
    <s v="lovejustin@example.net"/>
    <n v="23756669"/>
    <m/>
    <x v="289"/>
    <d v="2025-04-30T01:45:27"/>
    <x v="0"/>
    <x v="0"/>
    <x v="2"/>
    <x v="1"/>
    <n v="9"/>
    <n v="958"/>
    <n v="1"/>
    <s v="Customer reported intermittent service and repeat disruptions"/>
    <n v="360"/>
    <x v="1"/>
    <n v="0"/>
    <s v="Apr 2025"/>
    <n v="202504"/>
    <x v="6"/>
  </r>
  <r>
    <n v="3038689728"/>
    <n v="866803374"/>
    <s v="Lee Roberts"/>
    <s v="bentondavid@example.org"/>
    <n v="98550256"/>
    <m/>
    <x v="290"/>
    <d v="2024-04-08T05:13:29"/>
    <x v="0"/>
    <x v="3"/>
    <x v="2"/>
    <x v="1"/>
    <n v="43"/>
    <n v="1019"/>
    <n v="1"/>
    <s v="Shipment or installation appointment delayed beyond ETA"/>
    <n v="370"/>
    <x v="1"/>
    <n v="0"/>
    <s v="Apr 2024"/>
    <n v="202404"/>
    <x v="2"/>
  </r>
  <r>
    <n v="3060255290"/>
    <n v="935504321"/>
    <s v="Melissa Taylor"/>
    <s v="johnsantiago@example.net"/>
    <n v="66306997"/>
    <m/>
    <x v="291"/>
    <m/>
    <x v="6"/>
    <x v="4"/>
    <x v="2"/>
    <x v="1"/>
    <n v="5"/>
    <m/>
    <n v="1"/>
    <s v="Login, OTP, or password reset issue"/>
    <n v="376"/>
    <x v="1"/>
    <n v="0"/>
    <s v="Jan 2026"/>
    <n v="202601"/>
    <x v="0"/>
  </r>
  <r>
    <n v="3063480704"/>
    <n v="902874167"/>
    <s v="Michael Sweeney"/>
    <s v="michaellopez@example.net"/>
    <n v="17774584"/>
    <m/>
    <x v="292"/>
    <m/>
    <x v="2"/>
    <x v="4"/>
    <x v="1"/>
    <x v="1"/>
    <n v="30"/>
    <m/>
    <n v="1"/>
    <s v="Login, OTP, or password reset issue"/>
    <n v="377"/>
    <x v="1"/>
    <n v="0"/>
    <s v="Jun 2025"/>
    <n v="202506"/>
    <x v="19"/>
  </r>
  <r>
    <n v="3186980398"/>
    <n v="809656613"/>
    <s v="Brianna Murray"/>
    <s v="michaelbrown@example.com"/>
    <n v="24282218"/>
    <n v="9773224781"/>
    <x v="293"/>
    <m/>
    <x v="4"/>
    <x v="0"/>
    <x v="3"/>
    <x v="1"/>
    <n v="40"/>
    <m/>
    <n v="1"/>
    <s v="Customer reported intermittent service and repeat disruptions"/>
    <n v="396"/>
    <x v="1"/>
    <n v="0"/>
    <s v="Feb 2025"/>
    <n v="202502"/>
    <x v="14"/>
  </r>
  <r>
    <n v="3348758451"/>
    <n v="781887358"/>
    <s v="Paige Robinson"/>
    <s v="danny30@example.com"/>
    <n v="51837852"/>
    <m/>
    <x v="294"/>
    <d v="2025-10-14T15:49:19"/>
    <x v="3"/>
    <x v="4"/>
    <x v="0"/>
    <x v="1"/>
    <n v="13"/>
    <n v="1277"/>
    <n v="1"/>
    <s v="Login, OTP, or password reset issue"/>
    <n v="424"/>
    <x v="1"/>
    <n v="0"/>
    <s v="Oct 2025"/>
    <n v="202510"/>
    <x v="8"/>
  </r>
  <r>
    <n v="3363382168"/>
    <n v="440419907"/>
    <s v="Angel Hayes"/>
    <s v="matthew11@example.com"/>
    <n v="52339391"/>
    <n v="7145255596"/>
    <x v="295"/>
    <m/>
    <x v="4"/>
    <x v="1"/>
    <x v="2"/>
    <x v="1"/>
    <n v="18"/>
    <m/>
    <n v="1"/>
    <s v="Refund status or reversal timeline inquiry"/>
    <n v="430"/>
    <x v="1"/>
    <n v="0"/>
    <s v="Jan 2025"/>
    <n v="202501"/>
    <x v="16"/>
  </r>
  <r>
    <n v="3462724281"/>
    <n v="583564328"/>
    <s v="Jason Johnson"/>
    <s v="qatkinson@example.com"/>
    <n v="77827638"/>
    <n v="9038527558"/>
    <x v="296"/>
    <d v="2025-05-12T07:59:37"/>
    <x v="0"/>
    <x v="5"/>
    <x v="2"/>
    <x v="1"/>
    <n v="71"/>
    <n v="586"/>
    <n v="1"/>
    <s v="App, network, or device troubleshooting requested"/>
    <n v="442"/>
    <x v="1"/>
    <n v="0"/>
    <s v="May 2025"/>
    <n v="202505"/>
    <x v="5"/>
  </r>
  <r>
    <n v="3537040461"/>
    <n v="632794158"/>
    <s v="Christopher Hobbs"/>
    <s v="smithharry@example.org"/>
    <n v="51273847"/>
    <n v="7654361461"/>
    <x v="297"/>
    <m/>
    <x v="1"/>
    <x v="2"/>
    <x v="2"/>
    <x v="1"/>
    <n v="29"/>
    <m/>
    <n v="1"/>
    <s v="Customer questioned invoice amount and prorated charges"/>
    <n v="455"/>
    <x v="1"/>
    <n v="0"/>
    <s v="Feb 2024"/>
    <n v="202402"/>
    <x v="7"/>
  </r>
  <r>
    <n v="3555599455"/>
    <n v="869801588"/>
    <s v="Jeffrey Gonzalez"/>
    <s v="robertgentry@example.org"/>
    <n v="51837852"/>
    <n v="9368300034"/>
    <x v="298"/>
    <m/>
    <x v="4"/>
    <x v="0"/>
    <x v="1"/>
    <x v="1"/>
    <n v="24"/>
    <m/>
    <n v="1"/>
    <s v="Customer reported intermittent service and repeat disruptions"/>
    <n v="458"/>
    <x v="1"/>
    <n v="0"/>
    <s v="Aug 2024"/>
    <n v="202408"/>
    <x v="18"/>
  </r>
  <r>
    <n v="3727303120"/>
    <n v="730104453"/>
    <s v="Lauren Bowman"/>
    <s v="angelathomas@example.org"/>
    <n v="85329037"/>
    <m/>
    <x v="299"/>
    <m/>
    <x v="1"/>
    <x v="3"/>
    <x v="2"/>
    <x v="1"/>
    <n v="29"/>
    <m/>
    <n v="1"/>
    <s v="Shipment or installation appointment delayed beyond ETA"/>
    <n v="486"/>
    <x v="1"/>
    <n v="0"/>
    <s v="Nov 2024"/>
    <n v="202411"/>
    <x v="11"/>
  </r>
  <r>
    <n v="3802974096"/>
    <n v="417604347"/>
    <s v="Kimberly Gutierrez"/>
    <s v="aprildean@example.com"/>
    <n v="99949389"/>
    <m/>
    <x v="300"/>
    <m/>
    <x v="0"/>
    <x v="0"/>
    <x v="0"/>
    <x v="1"/>
    <n v="17"/>
    <m/>
    <n v="1"/>
    <s v="Customer reported intermittent service and repeat disruptions"/>
    <n v="500"/>
    <x v="1"/>
    <n v="0"/>
    <s v="Aug 2024"/>
    <n v="202408"/>
    <x v="18"/>
  </r>
  <r>
    <n v="3826817688"/>
    <n v="238548086"/>
    <s v="Tony Smith"/>
    <s v="karen68@example.org"/>
    <n v="22201654"/>
    <m/>
    <x v="301"/>
    <m/>
    <x v="4"/>
    <x v="3"/>
    <x v="3"/>
    <x v="1"/>
    <n v="30"/>
    <m/>
    <n v="1"/>
    <s v="Shipment or installation appointment delayed beyond ETA"/>
    <n v="502"/>
    <x v="1"/>
    <n v="0"/>
    <s v="Mar 2026"/>
    <n v="202603"/>
    <x v="10"/>
  </r>
  <r>
    <n v="3901494974"/>
    <n v="652681586"/>
    <s v="Mrs. Nicole Moreno"/>
    <s v="kelly57@example.net"/>
    <n v="80823176"/>
    <m/>
    <x v="302"/>
    <d v="2025-11-19T18:49:52"/>
    <x v="2"/>
    <x v="0"/>
    <x v="0"/>
    <x v="1"/>
    <n v="7"/>
    <n v="404"/>
    <n v="1"/>
    <s v="Customer reported intermittent service and repeat disruptions"/>
    <n v="510"/>
    <x v="1"/>
    <n v="0"/>
    <s v="Nov 2025"/>
    <n v="202511"/>
    <x v="4"/>
  </r>
  <r>
    <n v="4104342076"/>
    <n v="804344630"/>
    <s v="Manuel Jennings"/>
    <s v="johnsondavid@example.com"/>
    <n v="30514014"/>
    <n v="3029665156"/>
    <x v="303"/>
    <d v="2024-03-11T23:15:18"/>
    <x v="2"/>
    <x v="0"/>
    <x v="2"/>
    <x v="1"/>
    <n v="35"/>
    <n v="971"/>
    <n v="1"/>
    <s v="Customer reported intermittent service and repeat disruptions"/>
    <n v="537"/>
    <x v="1"/>
    <n v="0"/>
    <s v="Mar 2024"/>
    <n v="202403"/>
    <x v="15"/>
  </r>
  <r>
    <n v="4176118012"/>
    <n v="221814525"/>
    <s v="Matthew Morris"/>
    <s v="stevegreene@example.org"/>
    <n v="78387461"/>
    <n v="3657059704"/>
    <x v="304"/>
    <m/>
    <x v="0"/>
    <x v="4"/>
    <x v="2"/>
    <x v="1"/>
    <n v="33"/>
    <m/>
    <n v="1"/>
    <s v="Login, OTP, or password reset issue"/>
    <n v="545"/>
    <x v="1"/>
    <n v="0"/>
    <s v="Feb 2026"/>
    <n v="202602"/>
    <x v="25"/>
  </r>
  <r>
    <n v="4341994651"/>
    <n v="470585534"/>
    <s v="Joshua Miller"/>
    <s v="harriswendy@example.org"/>
    <n v="40742311"/>
    <m/>
    <x v="305"/>
    <d v="2024-06-14T19:37:02"/>
    <x v="6"/>
    <x v="2"/>
    <x v="0"/>
    <x v="1"/>
    <n v="61"/>
    <n v="71"/>
    <n v="1"/>
    <s v="Customer questioned invoice amount and prorated charges"/>
    <n v="579"/>
    <x v="1"/>
    <n v="0"/>
    <s v="Jun 2024"/>
    <n v="202406"/>
    <x v="26"/>
  </r>
  <r>
    <n v="4353437923"/>
    <n v="550784243"/>
    <s v="Susan Watts"/>
    <s v="arivera@example.org"/>
    <n v="43744231"/>
    <m/>
    <x v="306"/>
    <m/>
    <x v="1"/>
    <x v="5"/>
    <x v="2"/>
    <x v="1"/>
    <n v="47"/>
    <m/>
    <n v="1"/>
    <s v="App, network, or device troubleshooting requested"/>
    <n v="581"/>
    <x v="1"/>
    <n v="0"/>
    <s v="Feb 2024"/>
    <n v="202402"/>
    <x v="7"/>
  </r>
  <r>
    <n v="4428763547"/>
    <n v="360056579"/>
    <s v="James Edwards"/>
    <s v="karenlewis@example.net"/>
    <n v="19335534"/>
    <n v="8938610457"/>
    <x v="307"/>
    <m/>
    <x v="1"/>
    <x v="0"/>
    <x v="3"/>
    <x v="1"/>
    <n v="15"/>
    <m/>
    <n v="1"/>
    <s v="Customer reported intermittent service and repeat disruptions"/>
    <n v="601"/>
    <x v="1"/>
    <n v="0"/>
    <s v="Nov 2024"/>
    <n v="202411"/>
    <x v="11"/>
  </r>
  <r>
    <n v="4476731220"/>
    <n v="288436227"/>
    <s v="Larry Jackson"/>
    <s v="davidjackson@example.org"/>
    <n v="39436733"/>
    <n v="2393982645"/>
    <x v="308"/>
    <m/>
    <x v="2"/>
    <x v="2"/>
    <x v="3"/>
    <x v="1"/>
    <n v="58"/>
    <m/>
    <n v="1"/>
    <s v="Customer questioned invoice amount and prorated charges"/>
    <n v="605"/>
    <x v="1"/>
    <n v="0"/>
    <s v="Nov 2025"/>
    <n v="202511"/>
    <x v="4"/>
  </r>
  <r>
    <n v="4486324021"/>
    <n v="914799481"/>
    <s v="Jessica Fowler"/>
    <s v="lbanks@example.net"/>
    <n v="60185867"/>
    <n v="7316602744"/>
    <x v="309"/>
    <m/>
    <x v="4"/>
    <x v="2"/>
    <x v="0"/>
    <x v="1"/>
    <n v="33"/>
    <m/>
    <n v="1"/>
    <s v="Customer questioned invoice amount and prorated charges"/>
    <n v="609"/>
    <x v="1"/>
    <n v="0"/>
    <s v="Jun 2025"/>
    <n v="202506"/>
    <x v="19"/>
  </r>
  <r>
    <n v="4558104786"/>
    <n v="765436255"/>
    <s v="Derrick Buck"/>
    <s v="timothy23@example.net"/>
    <n v="90048665"/>
    <m/>
    <x v="310"/>
    <m/>
    <x v="5"/>
    <x v="4"/>
    <x v="3"/>
    <x v="1"/>
    <n v="66"/>
    <m/>
    <n v="1"/>
    <s v="Login, OTP, or password reset issue"/>
    <n v="621"/>
    <x v="1"/>
    <n v="0"/>
    <s v="Nov 2024"/>
    <n v="202411"/>
    <x v="11"/>
  </r>
  <r>
    <n v="4626852472"/>
    <n v="608678910"/>
    <s v="Lori Graves"/>
    <s v="hannah31@example.net"/>
    <n v="40742311"/>
    <m/>
    <x v="311"/>
    <m/>
    <x v="4"/>
    <x v="4"/>
    <x v="2"/>
    <x v="1"/>
    <n v="86"/>
    <m/>
    <n v="1"/>
    <s v="Login, OTP, or password reset issue"/>
    <n v="633"/>
    <x v="1"/>
    <n v="0"/>
    <s v="Jun 2024"/>
    <n v="202406"/>
    <x v="26"/>
  </r>
  <r>
    <n v="4706611053"/>
    <n v="871880418"/>
    <s v="Jessica Taylor"/>
    <s v="tsmith@example.org"/>
    <n v="10435578"/>
    <n v="1697341120"/>
    <x v="312"/>
    <m/>
    <x v="6"/>
    <x v="3"/>
    <x v="0"/>
    <x v="1"/>
    <n v="28"/>
    <m/>
    <n v="1"/>
    <s v="Shipment or installation appointment delayed beyond ETA"/>
    <n v="648"/>
    <x v="1"/>
    <n v="0"/>
    <s v="Aug 2025"/>
    <n v="202508"/>
    <x v="22"/>
  </r>
  <r>
    <n v="4749369776"/>
    <n v="409011489"/>
    <s v="Allison Grant"/>
    <s v="raymondwilson@example.com"/>
    <n v="58537831"/>
    <n v="2025497024"/>
    <x v="313"/>
    <m/>
    <x v="4"/>
    <x v="3"/>
    <x v="0"/>
    <x v="1"/>
    <n v="32"/>
    <m/>
    <n v="1"/>
    <s v="Shipment or installation appointment delayed beyond ETA"/>
    <n v="656"/>
    <x v="1"/>
    <n v="0"/>
    <s v="Aug 2025"/>
    <n v="202508"/>
    <x v="22"/>
  </r>
  <r>
    <n v="4770185521"/>
    <n v="381080560"/>
    <s v="Cheryl Berry"/>
    <s v="michael79@example.com"/>
    <n v="83793389"/>
    <n v="9232151988"/>
    <x v="314"/>
    <m/>
    <x v="0"/>
    <x v="3"/>
    <x v="0"/>
    <x v="1"/>
    <n v="9"/>
    <m/>
    <n v="1"/>
    <s v="Shipment or installation appointment delayed beyond ETA"/>
    <n v="661"/>
    <x v="1"/>
    <n v="0"/>
    <s v="Apr 2024"/>
    <n v="202404"/>
    <x v="2"/>
  </r>
  <r>
    <n v="4789795295"/>
    <n v="751396498"/>
    <s v="Rachel Brown"/>
    <s v="jose56@example.com"/>
    <n v="38317637"/>
    <m/>
    <x v="315"/>
    <m/>
    <x v="2"/>
    <x v="4"/>
    <x v="0"/>
    <x v="1"/>
    <n v="1"/>
    <m/>
    <n v="1"/>
    <s v="Login, OTP, or password reset issue"/>
    <n v="666"/>
    <x v="1"/>
    <n v="0"/>
    <s v="Aug 2025"/>
    <n v="202508"/>
    <x v="22"/>
  </r>
  <r>
    <n v="4794327780"/>
    <n v="857563699"/>
    <s v="Evan Lamb"/>
    <s v="daniellegarcia@example.com"/>
    <n v="77187530"/>
    <n v="7966945268"/>
    <x v="316"/>
    <m/>
    <x v="4"/>
    <x v="1"/>
    <x v="0"/>
    <x v="1"/>
    <n v="100"/>
    <m/>
    <n v="1"/>
    <s v="Refund status or reversal timeline inquiry"/>
    <n v="667"/>
    <x v="1"/>
    <n v="0"/>
    <s v="Oct 2025"/>
    <n v="202510"/>
    <x v="8"/>
  </r>
  <r>
    <n v="4838658273"/>
    <n v="381080560"/>
    <s v="Cheryl Berry"/>
    <s v="michael79@example.com"/>
    <n v="91734598"/>
    <m/>
    <x v="317"/>
    <m/>
    <x v="4"/>
    <x v="4"/>
    <x v="2"/>
    <x v="1"/>
    <n v="65"/>
    <m/>
    <n v="1"/>
    <s v="Login, OTP, or password reset issue"/>
    <n v="671"/>
    <x v="1"/>
    <n v="0"/>
    <s v="Apr 2024"/>
    <n v="202404"/>
    <x v="2"/>
  </r>
  <r>
    <n v="4889978691"/>
    <n v="569172971"/>
    <s v="Ashley Fernandez"/>
    <s v="probinson@example.org"/>
    <n v="30513739"/>
    <m/>
    <x v="318"/>
    <m/>
    <x v="3"/>
    <x v="0"/>
    <x v="0"/>
    <x v="1"/>
    <n v="38"/>
    <m/>
    <n v="1"/>
    <s v="Customer reported intermittent service and repeat disruptions"/>
    <n v="678"/>
    <x v="1"/>
    <n v="0"/>
    <s v="Aug 2025"/>
    <n v="202508"/>
    <x v="22"/>
  </r>
  <r>
    <n v="4956260090"/>
    <n v="703068400"/>
    <s v="Christina Watkins"/>
    <s v="crossjoshua@example.com"/>
    <n v="12614124"/>
    <n v="2283142882"/>
    <x v="319"/>
    <m/>
    <x v="5"/>
    <x v="3"/>
    <x v="3"/>
    <x v="1"/>
    <n v="21"/>
    <m/>
    <n v="1"/>
    <s v="Shipment or installation appointment delayed beyond ETA"/>
    <n v="686"/>
    <x v="1"/>
    <n v="0"/>
    <s v="Aug 2024"/>
    <n v="202408"/>
    <x v="18"/>
  </r>
  <r>
    <n v="4960195993"/>
    <n v="721132087"/>
    <s v="Steven Thomas"/>
    <s v="woodphillip@example.com"/>
    <n v="55176955"/>
    <m/>
    <x v="320"/>
    <d v="2024-01-12T01:22:33"/>
    <x v="4"/>
    <x v="4"/>
    <x v="3"/>
    <x v="1"/>
    <n v="6"/>
    <n v="791"/>
    <n v="1"/>
    <s v="Login, OTP, or password reset issue"/>
    <n v="688"/>
    <x v="1"/>
    <n v="0"/>
    <s v="Jan 2024"/>
    <n v="202401"/>
    <x v="17"/>
  </r>
  <r>
    <n v="5043120297"/>
    <n v="631388604"/>
    <s v="Michael Morris"/>
    <s v="katiefloyd@example.org"/>
    <n v="22201654"/>
    <n v="7993235236"/>
    <x v="321"/>
    <m/>
    <x v="6"/>
    <x v="3"/>
    <x v="2"/>
    <x v="1"/>
    <n v="62"/>
    <m/>
    <n v="1"/>
    <s v="Shipment or installation appointment delayed beyond ETA"/>
    <n v="702"/>
    <x v="1"/>
    <n v="0"/>
    <s v="Aug 2025"/>
    <n v="202508"/>
    <x v="22"/>
  </r>
  <r>
    <n v="5065207415"/>
    <n v="435775088"/>
    <s v="Jennifer Thompson"/>
    <s v="martinezduane@example.com"/>
    <n v="90801586"/>
    <m/>
    <x v="322"/>
    <m/>
    <x v="1"/>
    <x v="2"/>
    <x v="1"/>
    <x v="1"/>
    <n v="13"/>
    <m/>
    <n v="1"/>
    <s v="Customer questioned invoice amount and prorated charges"/>
    <n v="705"/>
    <x v="1"/>
    <n v="0"/>
    <s v="Apr 2024"/>
    <n v="202404"/>
    <x v="2"/>
  </r>
  <r>
    <n v="5097207058"/>
    <n v="438868427"/>
    <s v="Elizabeth Warren"/>
    <s v="danielglover@example.org"/>
    <n v="58537831"/>
    <m/>
    <x v="323"/>
    <m/>
    <x v="6"/>
    <x v="4"/>
    <x v="0"/>
    <x v="1"/>
    <n v="62"/>
    <m/>
    <n v="1"/>
    <s v="Login, OTP, or password reset issue"/>
    <n v="713"/>
    <x v="1"/>
    <n v="0"/>
    <s v="Jun 2024"/>
    <n v="202406"/>
    <x v="26"/>
  </r>
  <r>
    <n v="5158155350"/>
    <n v="871336275"/>
    <s v="Amanda Campbell"/>
    <s v="hallkelsey@example.org"/>
    <n v="21668732"/>
    <n v="1912575226"/>
    <x v="324"/>
    <m/>
    <x v="3"/>
    <x v="5"/>
    <x v="1"/>
    <x v="1"/>
    <n v="11"/>
    <m/>
    <n v="1"/>
    <s v="App, network, or device troubleshooting requested"/>
    <n v="721"/>
    <x v="1"/>
    <n v="0"/>
    <s v="Nov 2025"/>
    <n v="202511"/>
    <x v="4"/>
  </r>
  <r>
    <n v="5169624957"/>
    <n v="305195749"/>
    <s v="Heather Butler"/>
    <s v="whitney22@example.org"/>
    <n v="41244663"/>
    <m/>
    <x v="325"/>
    <m/>
    <x v="6"/>
    <x v="5"/>
    <x v="0"/>
    <x v="1"/>
    <n v="17"/>
    <m/>
    <n v="1"/>
    <s v="App, network, or device troubleshooting requested"/>
    <n v="725"/>
    <x v="1"/>
    <n v="0"/>
    <s v="Nov 2024"/>
    <n v="202411"/>
    <x v="11"/>
  </r>
  <r>
    <n v="5179636703"/>
    <n v="230833665"/>
    <s v="Carmen Meadows"/>
    <s v="osmith@example.net"/>
    <n v="16150444"/>
    <n v="9948318521"/>
    <x v="326"/>
    <m/>
    <x v="1"/>
    <x v="5"/>
    <x v="1"/>
    <x v="1"/>
    <n v="40"/>
    <m/>
    <n v="1"/>
    <s v="App, network, or device troubleshooting requested"/>
    <n v="727"/>
    <x v="1"/>
    <n v="0"/>
    <s v="Nov 2024"/>
    <n v="202411"/>
    <x v="11"/>
  </r>
  <r>
    <n v="5193698972"/>
    <n v="457039137"/>
    <s v="Alexis Mccall"/>
    <s v="fhebert@example.com"/>
    <n v="63843426"/>
    <n v="1517376881"/>
    <x v="327"/>
    <m/>
    <x v="3"/>
    <x v="0"/>
    <x v="0"/>
    <x v="1"/>
    <n v="73"/>
    <m/>
    <n v="1"/>
    <s v="Customer reported intermittent service and repeat disruptions"/>
    <n v="730"/>
    <x v="1"/>
    <n v="0"/>
    <s v="Feb 2025"/>
    <n v="202502"/>
    <x v="14"/>
  </r>
  <r>
    <n v="5209622941"/>
    <n v="655511084"/>
    <s v="Dustin Dorsey"/>
    <s v="tmcdaniel@example.org"/>
    <n v="18526544"/>
    <n v="5096047004"/>
    <x v="328"/>
    <m/>
    <x v="5"/>
    <x v="0"/>
    <x v="0"/>
    <x v="1"/>
    <n v="26"/>
    <m/>
    <n v="1"/>
    <s v="Customer reported intermittent service and repeat disruptions"/>
    <n v="734"/>
    <x v="1"/>
    <n v="0"/>
    <s v="Feb 2026"/>
    <n v="202602"/>
    <x v="25"/>
  </r>
  <r>
    <n v="5373507418"/>
    <n v="769200551"/>
    <s v="Mrs. Charlotte Stone MD"/>
    <s v="tfrancis@example.com"/>
    <n v="66661351"/>
    <m/>
    <x v="329"/>
    <m/>
    <x v="5"/>
    <x v="1"/>
    <x v="1"/>
    <x v="1"/>
    <n v="35"/>
    <m/>
    <n v="1"/>
    <s v="Refund status or reversal timeline inquiry"/>
    <n v="773"/>
    <x v="1"/>
    <n v="0"/>
    <s v="Oct 2025"/>
    <n v="202510"/>
    <x v="8"/>
  </r>
  <r>
    <n v="5421237457"/>
    <n v="341096660"/>
    <s v="Antonio Mccormick"/>
    <s v="courtney86@example.com"/>
    <n v="57683626"/>
    <m/>
    <x v="330"/>
    <m/>
    <x v="1"/>
    <x v="0"/>
    <x v="1"/>
    <x v="1"/>
    <n v="2"/>
    <m/>
    <n v="1"/>
    <s v="Customer reported intermittent service and repeat disruptions"/>
    <n v="783"/>
    <x v="1"/>
    <n v="0"/>
    <s v="Nov 2024"/>
    <n v="202411"/>
    <x v="11"/>
  </r>
  <r>
    <n v="5437844528"/>
    <n v="386389162"/>
    <s v="Zachary Vargas PhD"/>
    <s v="alexis63@example.org"/>
    <n v="91756179"/>
    <m/>
    <x v="331"/>
    <m/>
    <x v="3"/>
    <x v="2"/>
    <x v="0"/>
    <x v="1"/>
    <n v="20"/>
    <m/>
    <n v="1"/>
    <s v="Customer questioned invoice amount and prorated charges"/>
    <n v="790"/>
    <x v="1"/>
    <n v="0"/>
    <s v="Jan 2024"/>
    <n v="202401"/>
    <x v="17"/>
  </r>
  <r>
    <n v="5495872589"/>
    <n v="514642708"/>
    <s v="Megan Jones"/>
    <s v="bishopfrank@example.com"/>
    <n v="55657579"/>
    <m/>
    <x v="332"/>
    <m/>
    <x v="1"/>
    <x v="0"/>
    <x v="1"/>
    <x v="1"/>
    <n v="58"/>
    <m/>
    <n v="1"/>
    <s v="Customer reported intermittent service and repeat disruptions"/>
    <n v="803"/>
    <x v="1"/>
    <n v="0"/>
    <s v="Jun 2024"/>
    <n v="202406"/>
    <x v="26"/>
  </r>
  <r>
    <n v="5546169804"/>
    <n v="470838810"/>
    <s v="Justin Day"/>
    <s v="douglas11@example.net"/>
    <n v="95758349"/>
    <m/>
    <x v="333"/>
    <d v="2024-01-22T13:13:40"/>
    <x v="4"/>
    <x v="0"/>
    <x v="1"/>
    <x v="1"/>
    <n v="63"/>
    <n v="1187"/>
    <n v="1"/>
    <s v="Customer reported intermittent service and repeat disruptions"/>
    <n v="810"/>
    <x v="1"/>
    <n v="0"/>
    <s v="Jan 2024"/>
    <n v="202401"/>
    <x v="17"/>
  </r>
  <r>
    <n v="5588388195"/>
    <n v="269587940"/>
    <s v="Bryan Perry"/>
    <s v="curtis61@example.org"/>
    <n v="38119557"/>
    <m/>
    <x v="334"/>
    <d v="2025-11-02T02:39:35"/>
    <x v="2"/>
    <x v="1"/>
    <x v="0"/>
    <x v="1"/>
    <n v="54"/>
    <n v="919"/>
    <n v="1"/>
    <s v="Refund status or reversal timeline inquiry"/>
    <n v="819"/>
    <x v="1"/>
    <n v="0"/>
    <s v="Nov 2025"/>
    <n v="202511"/>
    <x v="4"/>
  </r>
  <r>
    <n v="5816024490"/>
    <n v="909340042"/>
    <s v="Keith Mills"/>
    <s v="charlessimmons@example.com"/>
    <n v="51273847"/>
    <m/>
    <x v="335"/>
    <m/>
    <x v="4"/>
    <x v="5"/>
    <x v="2"/>
    <x v="1"/>
    <n v="17"/>
    <m/>
    <n v="1"/>
    <s v="App, network, or device troubleshooting requested"/>
    <n v="859"/>
    <x v="1"/>
    <n v="0"/>
    <s v="Feb 2024"/>
    <n v="202402"/>
    <x v="7"/>
  </r>
  <r>
    <n v="6083811608"/>
    <n v="442648079"/>
    <s v="Raymond Mccarthy"/>
    <s v="larry85@example.net"/>
    <n v="47308985"/>
    <m/>
    <x v="336"/>
    <m/>
    <x v="5"/>
    <x v="1"/>
    <x v="0"/>
    <x v="1"/>
    <n v="67"/>
    <m/>
    <n v="1"/>
    <s v="Refund status or reversal timeline inquiry"/>
    <n v="908"/>
    <x v="1"/>
    <n v="0"/>
    <s v="Oct 2025"/>
    <n v="202510"/>
    <x v="8"/>
  </r>
  <r>
    <n v="6121400193"/>
    <n v="590687732"/>
    <s v="Tiffany Miller"/>
    <s v="lsmith@example.com"/>
    <n v="82070937"/>
    <n v="7506506106"/>
    <x v="337"/>
    <m/>
    <x v="5"/>
    <x v="3"/>
    <x v="2"/>
    <x v="1"/>
    <n v="67"/>
    <m/>
    <n v="1"/>
    <s v="Shipment or installation appointment delayed beyond ETA"/>
    <n v="913"/>
    <x v="1"/>
    <n v="0"/>
    <s v="Feb 2026"/>
    <n v="202602"/>
    <x v="25"/>
  </r>
  <r>
    <n v="6192554454"/>
    <n v="817087513"/>
    <s v="Amanda Hunt"/>
    <s v="marcus39@example.org"/>
    <n v="39436733"/>
    <n v="2966178433"/>
    <x v="338"/>
    <m/>
    <x v="4"/>
    <x v="0"/>
    <x v="2"/>
    <x v="1"/>
    <n v="4"/>
    <m/>
    <n v="1"/>
    <s v="Customer reported intermittent service and repeat disruptions"/>
    <n v="924"/>
    <x v="1"/>
    <n v="0"/>
    <s v="Feb 2024"/>
    <n v="202402"/>
    <x v="7"/>
  </r>
  <r>
    <n v="6196294531"/>
    <n v="532990767"/>
    <s v="Shane Mcintyre"/>
    <s v="ryankathryn@example.net"/>
    <n v="99949389"/>
    <m/>
    <x v="339"/>
    <m/>
    <x v="3"/>
    <x v="4"/>
    <x v="0"/>
    <x v="1"/>
    <n v="101"/>
    <m/>
    <n v="1"/>
    <s v="Login, OTP, or password reset issue"/>
    <n v="925"/>
    <x v="1"/>
    <n v="0"/>
    <s v="Mar 2024"/>
    <n v="202403"/>
    <x v="15"/>
  </r>
  <r>
    <n v="6263029293"/>
    <n v="987973565"/>
    <s v="Scott Long"/>
    <s v="erivers@example.com"/>
    <n v="51273847"/>
    <n v="2482024096"/>
    <x v="340"/>
    <m/>
    <x v="0"/>
    <x v="5"/>
    <x v="0"/>
    <x v="1"/>
    <n v="46"/>
    <m/>
    <n v="1"/>
    <s v="App, network, or device troubleshooting requested"/>
    <n v="934"/>
    <x v="1"/>
    <n v="0"/>
    <s v="Jan 2026"/>
    <n v="202601"/>
    <x v="0"/>
  </r>
  <r>
    <n v="6294288263"/>
    <n v="635539154"/>
    <s v="Kyle Flores"/>
    <s v="crystal58@example.net"/>
    <n v="82340307"/>
    <n v="6561533151"/>
    <x v="341"/>
    <m/>
    <x v="6"/>
    <x v="3"/>
    <x v="2"/>
    <x v="1"/>
    <n v="58"/>
    <m/>
    <n v="1"/>
    <s v="Shipment or installation appointment delayed beyond ETA"/>
    <n v="938"/>
    <x v="1"/>
    <n v="0"/>
    <s v="Feb 2024"/>
    <n v="202402"/>
    <x v="7"/>
  </r>
  <r>
    <n v="6360027517"/>
    <n v="927603754"/>
    <s v="Jeffrey Bailey"/>
    <s v="sean69@example.com"/>
    <n v="81016525"/>
    <m/>
    <x v="342"/>
    <m/>
    <x v="6"/>
    <x v="3"/>
    <x v="2"/>
    <x v="1"/>
    <n v="50"/>
    <m/>
    <n v="1"/>
    <s v="Shipment or installation appointment delayed beyond ETA"/>
    <n v="951"/>
    <x v="1"/>
    <n v="0"/>
    <s v="Feb 2024"/>
    <n v="202402"/>
    <x v="7"/>
  </r>
  <r>
    <n v="6529640931"/>
    <n v="331557515"/>
    <s v="Shane Buchanan"/>
    <s v="jrodriguez@example.org"/>
    <n v="51837852"/>
    <m/>
    <x v="343"/>
    <m/>
    <x v="5"/>
    <x v="3"/>
    <x v="3"/>
    <x v="1"/>
    <n v="28"/>
    <m/>
    <n v="1"/>
    <s v="Shipment or installation appointment delayed beyond ETA"/>
    <n v="976"/>
    <x v="1"/>
    <n v="0"/>
    <s v="Nov 2024"/>
    <n v="202411"/>
    <x v="11"/>
  </r>
  <r>
    <n v="6659676478"/>
    <n v="826239153"/>
    <s v="Michael Weber"/>
    <s v="jenniferwilliams@example.com"/>
    <n v="90048665"/>
    <n v="1049832004"/>
    <x v="344"/>
    <m/>
    <x v="6"/>
    <x v="1"/>
    <x v="2"/>
    <x v="1"/>
    <n v="76"/>
    <m/>
    <n v="1"/>
    <s v="Refund status or reversal timeline inquiry"/>
    <n v="992"/>
    <x v="1"/>
    <n v="0"/>
    <s v="Dec 2025"/>
    <n v="202512"/>
    <x v="21"/>
  </r>
  <r>
    <n v="6685131324"/>
    <n v="431292818"/>
    <s v="Mary Vega"/>
    <s v="reyesdenise@example.com"/>
    <n v="63551839"/>
    <m/>
    <x v="345"/>
    <m/>
    <x v="2"/>
    <x v="3"/>
    <x v="2"/>
    <x v="1"/>
    <n v="4"/>
    <m/>
    <n v="1"/>
    <s v="Shipment or installation appointment delayed beyond ETA"/>
    <n v="996"/>
    <x v="1"/>
    <n v="0"/>
    <s v="May 2024"/>
    <n v="202405"/>
    <x v="24"/>
  </r>
  <r>
    <n v="6698204494"/>
    <n v="515524530"/>
    <s v="Taylor Pittman"/>
    <s v="danielallen@example.com"/>
    <n v="45503389"/>
    <m/>
    <x v="346"/>
    <d v="2024-05-08T19:05:30"/>
    <x v="1"/>
    <x v="5"/>
    <x v="2"/>
    <x v="1"/>
    <n v="48"/>
    <n v="814"/>
    <n v="1"/>
    <s v="App, network, or device troubleshooting requested"/>
    <n v="999"/>
    <x v="1"/>
    <n v="0"/>
    <s v="May 2024"/>
    <n v="202405"/>
    <x v="24"/>
  </r>
  <r>
    <n v="6827915017"/>
    <n v="405545745"/>
    <s v="Sergio Crawford"/>
    <s v="pageandrew@example.net"/>
    <n v="86125617"/>
    <m/>
    <x v="347"/>
    <d v="2025-12-03T01:10:53"/>
    <x v="1"/>
    <x v="2"/>
    <x v="3"/>
    <x v="1"/>
    <n v="60"/>
    <n v="517"/>
    <n v="1"/>
    <s v="Customer questioned invoice amount and prorated charges"/>
    <n v="1012"/>
    <x v="1"/>
    <n v="0"/>
    <s v="Dec 2025"/>
    <n v="202512"/>
    <x v="21"/>
  </r>
  <r>
    <n v="6949721083"/>
    <n v="852178601"/>
    <s v="Jamie Lindsey"/>
    <s v="ureed@example.com"/>
    <n v="53524491"/>
    <n v="4078487866"/>
    <x v="348"/>
    <m/>
    <x v="4"/>
    <x v="2"/>
    <x v="1"/>
    <x v="1"/>
    <n v="44"/>
    <m/>
    <n v="1"/>
    <s v="Customer questioned invoice amount and prorated charges"/>
    <n v="1021"/>
    <x v="1"/>
    <n v="0"/>
    <s v="Oct 2024"/>
    <n v="202410"/>
    <x v="1"/>
  </r>
  <r>
    <n v="6973627111"/>
    <n v="461971444"/>
    <s v="Mary Cowan"/>
    <s v="garywebster@example.org"/>
    <n v="42138745"/>
    <m/>
    <x v="349"/>
    <m/>
    <x v="6"/>
    <x v="5"/>
    <x v="0"/>
    <x v="1"/>
    <n v="52"/>
    <m/>
    <n v="1"/>
    <s v="App, network, or device troubleshooting requested"/>
    <n v="1024"/>
    <x v="1"/>
    <n v="0"/>
    <s v="Jan 2024"/>
    <n v="202401"/>
    <x v="17"/>
  </r>
  <r>
    <n v="7147910941"/>
    <n v="151270577"/>
    <s v="Amber Rodriguez"/>
    <s v="williamsdarrell@example.com"/>
    <n v="39476249"/>
    <m/>
    <x v="350"/>
    <m/>
    <x v="2"/>
    <x v="5"/>
    <x v="2"/>
    <x v="1"/>
    <n v="25"/>
    <m/>
    <n v="1"/>
    <s v="App, network, or device troubleshooting requested"/>
    <n v="1054"/>
    <x v="1"/>
    <n v="0"/>
    <s v="Mar 2025"/>
    <n v="202503"/>
    <x v="20"/>
  </r>
  <r>
    <n v="7174228135"/>
    <n v="786111573"/>
    <s v="Danny Bell MD"/>
    <s v="andrewbrown@example.org"/>
    <n v="29175900"/>
    <m/>
    <x v="351"/>
    <m/>
    <x v="4"/>
    <x v="3"/>
    <x v="2"/>
    <x v="1"/>
    <n v="42"/>
    <m/>
    <n v="1"/>
    <s v="Shipment or installation appointment delayed beyond ETA"/>
    <n v="1059"/>
    <x v="1"/>
    <n v="0"/>
    <s v="Aug 2024"/>
    <n v="202408"/>
    <x v="18"/>
  </r>
  <r>
    <n v="7220129939"/>
    <n v="573561557"/>
    <s v="Elizabeth Kaufman"/>
    <s v="lwilliams@example.com"/>
    <n v="14308421"/>
    <m/>
    <x v="352"/>
    <m/>
    <x v="3"/>
    <x v="4"/>
    <x v="0"/>
    <x v="1"/>
    <n v="13"/>
    <m/>
    <n v="1"/>
    <s v="Login, OTP, or password reset issue"/>
    <n v="1065"/>
    <x v="1"/>
    <n v="0"/>
    <s v="Mar 2025"/>
    <n v="202503"/>
    <x v="20"/>
  </r>
  <r>
    <n v="7286152640"/>
    <n v="657568201"/>
    <s v="Andrew Carroll"/>
    <s v="derek77@example.com"/>
    <n v="45551614"/>
    <m/>
    <x v="353"/>
    <d v="2024-12-05T05:08:24"/>
    <x v="6"/>
    <x v="1"/>
    <x v="2"/>
    <x v="1"/>
    <n v="31"/>
    <n v="1611"/>
    <n v="1"/>
    <s v="Refund status or reversal timeline inquiry"/>
    <n v="1074"/>
    <x v="1"/>
    <n v="0"/>
    <s v="Dec 2024"/>
    <n v="202412"/>
    <x v="12"/>
  </r>
  <r>
    <n v="7306927664"/>
    <n v="569948247"/>
    <s v="Julian Conner"/>
    <s v="colelisa@example.net"/>
    <n v="30513739"/>
    <m/>
    <x v="354"/>
    <d v="2026-01-23T21:40:45"/>
    <x v="6"/>
    <x v="5"/>
    <x v="0"/>
    <x v="1"/>
    <n v="35"/>
    <n v="1379"/>
    <n v="1"/>
    <s v="App, network, or device troubleshooting requested"/>
    <n v="1076"/>
    <x v="1"/>
    <n v="0"/>
    <s v="Jan 2026"/>
    <n v="202601"/>
    <x v="0"/>
  </r>
  <r>
    <n v="7323256411"/>
    <n v="758276886"/>
    <s v="Russell Phillips"/>
    <s v="shunter@example.org"/>
    <n v="95822412"/>
    <m/>
    <x v="355"/>
    <m/>
    <x v="5"/>
    <x v="5"/>
    <x v="2"/>
    <x v="1"/>
    <n v="38"/>
    <m/>
    <n v="1"/>
    <s v="App, network, or device troubleshooting requested"/>
    <n v="1078"/>
    <x v="1"/>
    <n v="0"/>
    <s v="Jan 2026"/>
    <n v="202601"/>
    <x v="0"/>
  </r>
  <r>
    <n v="7343111435"/>
    <n v="683246764"/>
    <s v="Susan Price"/>
    <s v="wilsontina@example.com"/>
    <n v="39958838"/>
    <m/>
    <x v="356"/>
    <m/>
    <x v="2"/>
    <x v="0"/>
    <x v="2"/>
    <x v="1"/>
    <n v="45"/>
    <m/>
    <n v="1"/>
    <s v="Customer reported intermittent service and repeat disruptions"/>
    <n v="1082"/>
    <x v="1"/>
    <n v="0"/>
    <s v="May 2024"/>
    <n v="202405"/>
    <x v="24"/>
  </r>
  <r>
    <n v="7466752669"/>
    <n v="393622794"/>
    <s v="Gary Garcia"/>
    <s v="bartonpaige@example.net"/>
    <n v="38317637"/>
    <m/>
    <x v="357"/>
    <m/>
    <x v="2"/>
    <x v="0"/>
    <x v="2"/>
    <x v="1"/>
    <n v="28"/>
    <m/>
    <n v="1"/>
    <s v="Customer reported intermittent service and repeat disruptions"/>
    <n v="1099"/>
    <x v="1"/>
    <n v="0"/>
    <s v="Feb 2025"/>
    <n v="202502"/>
    <x v="14"/>
  </r>
  <r>
    <n v="7486516832"/>
    <n v="146914391"/>
    <s v="Jeffrey Gonzales"/>
    <s v="michaelhardin@example.com"/>
    <n v="42857966"/>
    <m/>
    <x v="358"/>
    <m/>
    <x v="2"/>
    <x v="5"/>
    <x v="2"/>
    <x v="1"/>
    <n v="33"/>
    <m/>
    <n v="1"/>
    <s v="App, network, or device troubleshooting requested"/>
    <n v="1105"/>
    <x v="1"/>
    <n v="0"/>
    <s v="Dec 2024"/>
    <n v="202412"/>
    <x v="12"/>
  </r>
  <r>
    <n v="7625981516"/>
    <n v="810741110"/>
    <s v="Misty Whitney"/>
    <s v="christopher60@example.com"/>
    <n v="31831063"/>
    <m/>
    <x v="359"/>
    <d v="2024-12-04T14:38:26"/>
    <x v="6"/>
    <x v="5"/>
    <x v="2"/>
    <x v="1"/>
    <n v="44"/>
    <n v="1399"/>
    <n v="1"/>
    <s v="App, network, or device troubleshooting requested"/>
    <n v="1130"/>
    <x v="1"/>
    <n v="0"/>
    <s v="Dec 2024"/>
    <n v="202412"/>
    <x v="12"/>
  </r>
  <r>
    <n v="7848569391"/>
    <n v="471539452"/>
    <s v="Matthew Parker"/>
    <s v="anunez@example.com"/>
    <n v="22201654"/>
    <n v="4057767497"/>
    <x v="360"/>
    <m/>
    <x v="4"/>
    <x v="4"/>
    <x v="0"/>
    <x v="1"/>
    <n v="5"/>
    <m/>
    <n v="1"/>
    <s v="Login, OTP, or password reset issue"/>
    <n v="1165"/>
    <x v="1"/>
    <n v="0"/>
    <s v="Feb 2024"/>
    <n v="202402"/>
    <x v="7"/>
  </r>
  <r>
    <n v="7875307494"/>
    <n v="893838119"/>
    <s v="Tony Lara"/>
    <s v="thenry@example.net"/>
    <n v="71586053"/>
    <n v="7272172156"/>
    <x v="361"/>
    <m/>
    <x v="1"/>
    <x v="4"/>
    <x v="2"/>
    <x v="1"/>
    <n v="47"/>
    <m/>
    <n v="1"/>
    <s v="Login, OTP, or password reset issue"/>
    <n v="1170"/>
    <x v="1"/>
    <n v="0"/>
    <s v="Feb 2026"/>
    <n v="202602"/>
    <x v="25"/>
  </r>
  <r>
    <n v="7941206762"/>
    <n v="264481748"/>
    <s v="Amy Hayes"/>
    <s v="dmartin@example.com"/>
    <n v="98753260"/>
    <n v="1567704691"/>
    <x v="362"/>
    <m/>
    <x v="5"/>
    <x v="3"/>
    <x v="3"/>
    <x v="1"/>
    <n v="19"/>
    <m/>
    <n v="1"/>
    <s v="Shipment or installation appointment delayed beyond ETA"/>
    <n v="1177"/>
    <x v="1"/>
    <n v="0"/>
    <s v="Jan 2026"/>
    <n v="202601"/>
    <x v="0"/>
  </r>
  <r>
    <n v="8022662403"/>
    <n v="714478186"/>
    <s v="Christopher Hart"/>
    <s v="millerdavid@example.com"/>
    <n v="58718453"/>
    <m/>
    <x v="363"/>
    <d v="2024-01-26T14:42:25"/>
    <x v="6"/>
    <x v="1"/>
    <x v="2"/>
    <x v="1"/>
    <n v="1"/>
    <n v="278"/>
    <n v="1"/>
    <s v="Refund status or reversal timeline inquiry"/>
    <n v="1187"/>
    <x v="1"/>
    <n v="0"/>
    <s v="Jan 2024"/>
    <n v="202401"/>
    <x v="17"/>
  </r>
  <r>
    <n v="8129244193"/>
    <n v="254905897"/>
    <s v="Deanna Weeks"/>
    <s v="jamie46@example.net"/>
    <n v="42857966"/>
    <m/>
    <x v="364"/>
    <m/>
    <x v="3"/>
    <x v="4"/>
    <x v="2"/>
    <x v="1"/>
    <n v="25"/>
    <m/>
    <n v="1"/>
    <s v="Login, OTP, or password reset issue"/>
    <n v="1200"/>
    <x v="1"/>
    <n v="0"/>
    <s v="Mar 2025"/>
    <n v="202503"/>
    <x v="20"/>
  </r>
  <r>
    <n v="8132828942"/>
    <n v="408840720"/>
    <s v="Teresa Mcdaniel MD"/>
    <s v="jessicamills@example.org"/>
    <n v="63606628"/>
    <m/>
    <x v="365"/>
    <m/>
    <x v="5"/>
    <x v="3"/>
    <x v="0"/>
    <x v="1"/>
    <n v="21"/>
    <m/>
    <n v="1"/>
    <s v="Shipment or installation appointment delayed beyond ETA"/>
    <n v="1201"/>
    <x v="1"/>
    <n v="0"/>
    <s v="Jun 2024"/>
    <n v="202406"/>
    <x v="26"/>
  </r>
  <r>
    <n v="8153320297"/>
    <n v="752376434"/>
    <s v="Nicole Carson"/>
    <s v="brandybonilla@example.net"/>
    <n v="63843426"/>
    <n v="9985032096"/>
    <x v="366"/>
    <m/>
    <x v="0"/>
    <x v="1"/>
    <x v="0"/>
    <x v="1"/>
    <n v="38"/>
    <m/>
    <n v="1"/>
    <s v="Refund status or reversal timeline inquiry"/>
    <n v="1203"/>
    <x v="1"/>
    <n v="0"/>
    <s v="Dec 2024"/>
    <n v="202412"/>
    <x v="12"/>
  </r>
  <r>
    <n v="8209567608"/>
    <n v="838781242"/>
    <s v="Victor Blake"/>
    <s v="wellsamy@example.org"/>
    <n v="95758349"/>
    <m/>
    <x v="367"/>
    <m/>
    <x v="1"/>
    <x v="5"/>
    <x v="2"/>
    <x v="1"/>
    <n v="47"/>
    <m/>
    <n v="1"/>
    <s v="App, network, or device troubleshooting requested"/>
    <n v="1213"/>
    <x v="1"/>
    <n v="0"/>
    <s v="Jul 2025"/>
    <n v="202507"/>
    <x v="13"/>
  </r>
  <r>
    <n v="8318854626"/>
    <n v="889924866"/>
    <s v="Robert Garrett"/>
    <s v="jimsnyder@example.com"/>
    <n v="43101783"/>
    <m/>
    <x v="368"/>
    <m/>
    <x v="6"/>
    <x v="5"/>
    <x v="2"/>
    <x v="1"/>
    <n v="54"/>
    <m/>
    <n v="1"/>
    <s v="App, network, or device troubleshooting requested"/>
    <n v="1231"/>
    <x v="1"/>
    <n v="0"/>
    <s v="Mar 2025"/>
    <n v="202503"/>
    <x v="20"/>
  </r>
  <r>
    <n v="8339541797"/>
    <n v="927720428"/>
    <s v="Shelly Alexander"/>
    <s v="jsmith@example.com"/>
    <n v="77187530"/>
    <n v="5754738881"/>
    <x v="369"/>
    <m/>
    <x v="1"/>
    <x v="2"/>
    <x v="2"/>
    <x v="1"/>
    <n v="39"/>
    <m/>
    <n v="1"/>
    <s v="Customer questioned invoice amount and prorated charges"/>
    <n v="1232"/>
    <x v="1"/>
    <n v="0"/>
    <s v="Mar 2024"/>
    <n v="202403"/>
    <x v="15"/>
  </r>
  <r>
    <n v="8505081222"/>
    <n v="953514394"/>
    <s v="Mr. Zachary Mora DVM"/>
    <s v="hbowers@example.net"/>
    <n v="47308985"/>
    <m/>
    <x v="370"/>
    <d v="2026-02-26T05:27:07"/>
    <x v="4"/>
    <x v="3"/>
    <x v="1"/>
    <x v="1"/>
    <n v="31"/>
    <n v="887"/>
    <n v="1"/>
    <s v="Shipment or installation appointment delayed beyond ETA"/>
    <n v="1255"/>
    <x v="1"/>
    <n v="0"/>
    <s v="Feb 2026"/>
    <n v="202602"/>
    <x v="25"/>
  </r>
  <r>
    <n v="8523092435"/>
    <n v="105638424"/>
    <s v="Edward Stanley"/>
    <s v="bgonzalez@example.org"/>
    <n v="31682744"/>
    <m/>
    <x v="371"/>
    <m/>
    <x v="6"/>
    <x v="0"/>
    <x v="2"/>
    <x v="1"/>
    <n v="6"/>
    <m/>
    <n v="1"/>
    <s v="Customer reported intermittent service and repeat disruptions"/>
    <n v="1262"/>
    <x v="1"/>
    <n v="0"/>
    <s v="Aug 2024"/>
    <n v="202408"/>
    <x v="18"/>
  </r>
  <r>
    <n v="8589455936"/>
    <n v="909340042"/>
    <s v="Keith Mills"/>
    <s v="charlessimmons@example.com"/>
    <n v="36697396"/>
    <m/>
    <x v="372"/>
    <m/>
    <x v="6"/>
    <x v="0"/>
    <x v="2"/>
    <x v="1"/>
    <n v="50"/>
    <m/>
    <n v="1"/>
    <s v="Customer reported intermittent service and repeat disruptions"/>
    <n v="1278"/>
    <x v="1"/>
    <n v="0"/>
    <s v="May 2024"/>
    <n v="202405"/>
    <x v="24"/>
  </r>
  <r>
    <n v="8593345998"/>
    <n v="407209235"/>
    <s v="Jeff Wilkins"/>
    <s v="lkelly@example.com"/>
    <n v="70291817"/>
    <m/>
    <x v="373"/>
    <d v="2024-04-07T23:56:25"/>
    <x v="1"/>
    <x v="5"/>
    <x v="2"/>
    <x v="1"/>
    <n v="81"/>
    <n v="1774"/>
    <n v="1"/>
    <s v="App, network, or device troubleshooting requested"/>
    <n v="1279"/>
    <x v="1"/>
    <n v="0"/>
    <s v="Apr 2024"/>
    <n v="202404"/>
    <x v="2"/>
  </r>
  <r>
    <n v="8683503318"/>
    <n v="763606238"/>
    <s v="Mrs. Stephanie Newman"/>
    <s v="sandersjames@example.org"/>
    <n v="38427073"/>
    <n v="3623404941"/>
    <x v="374"/>
    <d v="2024-04-15T02:01:35"/>
    <x v="2"/>
    <x v="4"/>
    <x v="1"/>
    <x v="1"/>
    <n v="63"/>
    <n v="663"/>
    <n v="1"/>
    <s v="Login, OTP, or password reset issue"/>
    <n v="1295"/>
    <x v="1"/>
    <n v="0"/>
    <s v="Apr 2024"/>
    <n v="202404"/>
    <x v="2"/>
  </r>
  <r>
    <n v="8734579052"/>
    <n v="765436255"/>
    <s v="Derrick Buck"/>
    <s v="timothy23@example.net"/>
    <n v="55667651"/>
    <m/>
    <x v="375"/>
    <m/>
    <x v="5"/>
    <x v="2"/>
    <x v="3"/>
    <x v="1"/>
    <n v="12"/>
    <m/>
    <n v="1"/>
    <s v="Customer questioned invoice amount and prorated charges"/>
    <n v="1301"/>
    <x v="1"/>
    <n v="0"/>
    <s v="Jul 2025"/>
    <n v="202507"/>
    <x v="13"/>
  </r>
  <r>
    <n v="8754601962"/>
    <n v="431292818"/>
    <s v="Mary Vega"/>
    <s v="reyesdenise@example.com"/>
    <n v="66629388"/>
    <m/>
    <x v="376"/>
    <m/>
    <x v="3"/>
    <x v="0"/>
    <x v="2"/>
    <x v="1"/>
    <n v="6"/>
    <m/>
    <n v="1"/>
    <s v="Customer reported intermittent service and repeat disruptions"/>
    <n v="1305"/>
    <x v="1"/>
    <n v="0"/>
    <s v="Jun 2025"/>
    <n v="202506"/>
    <x v="19"/>
  </r>
  <r>
    <n v="8799938653"/>
    <n v="876189202"/>
    <s v="Courtney Harris"/>
    <s v="brittney02@example.com"/>
    <n v="36998038"/>
    <m/>
    <x v="377"/>
    <m/>
    <x v="1"/>
    <x v="0"/>
    <x v="3"/>
    <x v="1"/>
    <n v="27"/>
    <m/>
    <n v="1"/>
    <s v="Customer reported intermittent service and repeat disruptions"/>
    <n v="1311"/>
    <x v="1"/>
    <n v="0"/>
    <s v="Jan 2025"/>
    <n v="202501"/>
    <x v="16"/>
  </r>
  <r>
    <n v="8843307609"/>
    <n v="471904990"/>
    <s v="Mary Johnson"/>
    <s v="xhill@example.org"/>
    <n v="82340307"/>
    <n v="1043162941"/>
    <x v="378"/>
    <d v="2025-07-02T01:05:09"/>
    <x v="1"/>
    <x v="0"/>
    <x v="3"/>
    <x v="1"/>
    <n v="12"/>
    <n v="537"/>
    <n v="1"/>
    <s v="Customer reported intermittent service and repeat disruptions"/>
    <n v="1318"/>
    <x v="1"/>
    <n v="0"/>
    <s v="Jul 2025"/>
    <n v="202507"/>
    <x v="13"/>
  </r>
  <r>
    <n v="8968364599"/>
    <n v="105638424"/>
    <s v="Edward Stanley"/>
    <s v="bgonzalez@example.org"/>
    <n v="58966946"/>
    <m/>
    <x v="379"/>
    <m/>
    <x v="5"/>
    <x v="4"/>
    <x v="3"/>
    <x v="1"/>
    <n v="46"/>
    <m/>
    <n v="1"/>
    <s v="Login, OTP, or password reset issue"/>
    <n v="1336"/>
    <x v="1"/>
    <n v="0"/>
    <s v="Apr 2025"/>
    <n v="202504"/>
    <x v="6"/>
  </r>
  <r>
    <n v="9028825158"/>
    <n v="430366556"/>
    <s v="Melissa Travis"/>
    <s v="daniellechavez@example.net"/>
    <n v="70855700"/>
    <m/>
    <x v="380"/>
    <m/>
    <x v="5"/>
    <x v="5"/>
    <x v="0"/>
    <x v="1"/>
    <n v="87"/>
    <m/>
    <n v="1"/>
    <s v="App, network, or device troubleshooting requested"/>
    <n v="1349"/>
    <x v="1"/>
    <n v="0"/>
    <s v="Jun 2024"/>
    <n v="202406"/>
    <x v="26"/>
  </r>
  <r>
    <n v="9204079853"/>
    <n v="839393192"/>
    <s v="Nathan Jones"/>
    <s v="stephanie67@example.net"/>
    <n v="78139880"/>
    <m/>
    <x v="381"/>
    <d v="2024-09-16T18:55:30"/>
    <x v="4"/>
    <x v="5"/>
    <x v="2"/>
    <x v="1"/>
    <n v="37"/>
    <n v="228"/>
    <n v="1"/>
    <s v="App, network, or device troubleshooting requested"/>
    <n v="1385"/>
    <x v="1"/>
    <n v="0"/>
    <s v="Sep 2024"/>
    <n v="202409"/>
    <x v="3"/>
  </r>
  <r>
    <n v="9242240289"/>
    <n v="600871106"/>
    <s v="Eric Davis"/>
    <s v="ruth80@example.net"/>
    <n v="98753260"/>
    <n v="6228372352"/>
    <x v="382"/>
    <d v="2024-03-25T21:20:25"/>
    <x v="0"/>
    <x v="3"/>
    <x v="2"/>
    <x v="1"/>
    <n v="57"/>
    <n v="1023"/>
    <n v="1"/>
    <s v="Shipment or installation appointment delayed beyond ETA"/>
    <n v="1393"/>
    <x v="1"/>
    <n v="0"/>
    <s v="Mar 2024"/>
    <n v="202403"/>
    <x v="15"/>
  </r>
  <r>
    <n v="9312125622"/>
    <n v="470838810"/>
    <s v="Justin Day"/>
    <s v="douglas11@example.net"/>
    <n v="82340307"/>
    <n v="7003585379"/>
    <x v="383"/>
    <m/>
    <x v="6"/>
    <x v="4"/>
    <x v="0"/>
    <x v="1"/>
    <n v="41"/>
    <m/>
    <n v="1"/>
    <s v="Login, OTP, or password reset issue"/>
    <n v="1402"/>
    <x v="1"/>
    <n v="0"/>
    <s v="Oct 2025"/>
    <n v="202510"/>
    <x v="8"/>
  </r>
  <r>
    <n v="9333100929"/>
    <n v="971339002"/>
    <s v="Courtney Powers"/>
    <s v="katherinejones@example.com"/>
    <n v="58586340"/>
    <m/>
    <x v="384"/>
    <m/>
    <x v="6"/>
    <x v="3"/>
    <x v="0"/>
    <x v="1"/>
    <n v="25"/>
    <m/>
    <n v="1"/>
    <s v="Shipment or installation appointment delayed beyond ETA"/>
    <n v="1406"/>
    <x v="1"/>
    <n v="0"/>
    <s v="May 2025"/>
    <n v="202505"/>
    <x v="5"/>
  </r>
  <r>
    <n v="9355199361"/>
    <n v="933409017"/>
    <s v="Erin Green"/>
    <s v="steven17@example.org"/>
    <n v="58537831"/>
    <m/>
    <x v="385"/>
    <m/>
    <x v="4"/>
    <x v="5"/>
    <x v="3"/>
    <x v="1"/>
    <n v="36"/>
    <m/>
    <n v="1"/>
    <s v="App, network, or device troubleshooting requested"/>
    <n v="1410"/>
    <x v="1"/>
    <n v="0"/>
    <s v="Nov 2024"/>
    <n v="202411"/>
    <x v="11"/>
  </r>
  <r>
    <n v="9369987994"/>
    <n v="737506993"/>
    <s v="Lisa Li"/>
    <s v="tracyharrison@example.org"/>
    <n v="99949389"/>
    <n v="4859070910"/>
    <x v="386"/>
    <m/>
    <x v="5"/>
    <x v="2"/>
    <x v="0"/>
    <x v="1"/>
    <n v="10"/>
    <m/>
    <n v="1"/>
    <s v="Customer questioned invoice amount and prorated charges"/>
    <n v="1414"/>
    <x v="1"/>
    <n v="0"/>
    <s v="Jan 2025"/>
    <n v="202501"/>
    <x v="16"/>
  </r>
  <r>
    <n v="9441699194"/>
    <n v="739750911"/>
    <s v="Richard Murray"/>
    <s v="beverly97@example.org"/>
    <n v="83197857"/>
    <m/>
    <x v="387"/>
    <m/>
    <x v="3"/>
    <x v="2"/>
    <x v="2"/>
    <x v="1"/>
    <n v="59"/>
    <m/>
    <n v="1"/>
    <s v="Customer questioned invoice amount and prorated charges"/>
    <n v="1424"/>
    <x v="1"/>
    <n v="0"/>
    <s v="Jun 2024"/>
    <n v="202406"/>
    <x v="26"/>
  </r>
  <r>
    <n v="9480639850"/>
    <n v="933409017"/>
    <s v="Erin Green"/>
    <s v="steven17@example.org"/>
    <n v="45551614"/>
    <m/>
    <x v="388"/>
    <m/>
    <x v="6"/>
    <x v="3"/>
    <x v="1"/>
    <x v="1"/>
    <n v="22"/>
    <m/>
    <n v="1"/>
    <s v="Shipment or installation appointment delayed beyond ETA"/>
    <n v="1429"/>
    <x v="1"/>
    <n v="0"/>
    <s v="Sep 2024"/>
    <n v="202409"/>
    <x v="3"/>
  </r>
  <r>
    <n v="9561219277"/>
    <n v="146744734"/>
    <s v="Scott Rubio"/>
    <s v="uwatson@example.com"/>
    <n v="53524491"/>
    <m/>
    <x v="389"/>
    <m/>
    <x v="6"/>
    <x v="5"/>
    <x v="2"/>
    <x v="1"/>
    <n v="3"/>
    <m/>
    <n v="1"/>
    <s v="App, network, or device troubleshooting requested"/>
    <n v="1441"/>
    <x v="1"/>
    <n v="0"/>
    <s v="Mar 2025"/>
    <n v="202503"/>
    <x v="20"/>
  </r>
  <r>
    <n v="9670521286"/>
    <n v="579182105"/>
    <s v="Heather Hester"/>
    <s v="jamesthompson@example.com"/>
    <n v="43101783"/>
    <m/>
    <x v="390"/>
    <m/>
    <x v="2"/>
    <x v="3"/>
    <x v="2"/>
    <x v="1"/>
    <n v="110"/>
    <m/>
    <n v="1"/>
    <s v="Shipment or installation appointment delayed beyond ETA"/>
    <n v="1461"/>
    <x v="1"/>
    <n v="0"/>
    <s v="Nov 2024"/>
    <n v="202411"/>
    <x v="11"/>
  </r>
  <r>
    <n v="9738518055"/>
    <n v="549661921"/>
    <s v="Shawn Vasquez"/>
    <s v="zchapman@example.com"/>
    <n v="61220073"/>
    <n v="6817218959"/>
    <x v="391"/>
    <d v="2025-02-03T14:27:20"/>
    <x v="5"/>
    <x v="2"/>
    <x v="0"/>
    <x v="1"/>
    <n v="50"/>
    <n v="409"/>
    <n v="1"/>
    <s v="Customer questioned invoice amount and prorated charges"/>
    <n v="1472"/>
    <x v="1"/>
    <n v="0"/>
    <s v="Feb 2025"/>
    <n v="202502"/>
    <x v="14"/>
  </r>
  <r>
    <n v="1020741500"/>
    <n v="936597989"/>
    <s v="Christy Payne"/>
    <s v="ana92@example.net"/>
    <n v="22981052"/>
    <m/>
    <x v="392"/>
    <m/>
    <x v="1"/>
    <x v="1"/>
    <x v="0"/>
    <x v="2"/>
    <n v="1"/>
    <m/>
    <n v="0"/>
    <s v="Refund status or reversal timeline inquiry"/>
    <n v="4"/>
    <x v="1"/>
    <n v="0"/>
    <s v="Sep 2025"/>
    <n v="202509"/>
    <x v="9"/>
  </r>
  <r>
    <n v="1041782916"/>
    <n v="749762955"/>
    <s v="Barbara Pope"/>
    <s v="keith07@example.net"/>
    <n v="60806024"/>
    <m/>
    <x v="393"/>
    <m/>
    <x v="6"/>
    <x v="4"/>
    <x v="2"/>
    <x v="2"/>
    <n v="52"/>
    <m/>
    <n v="0"/>
    <s v="Login, OTP, or password reset issue"/>
    <n v="7"/>
    <x v="1"/>
    <n v="0"/>
    <s v="May 2025"/>
    <n v="202505"/>
    <x v="5"/>
  </r>
  <r>
    <n v="1082797040"/>
    <n v="740743666"/>
    <s v="Priscilla Kent"/>
    <s v="jessicaanderson@example.com"/>
    <n v="82340307"/>
    <m/>
    <x v="394"/>
    <m/>
    <x v="6"/>
    <x v="0"/>
    <x v="3"/>
    <x v="2"/>
    <n v="47"/>
    <m/>
    <n v="0"/>
    <s v="Customer reported intermittent service and repeat disruptions"/>
    <n v="16"/>
    <x v="1"/>
    <n v="0"/>
    <s v="Jul 2024"/>
    <n v="202407"/>
    <x v="23"/>
  </r>
  <r>
    <n v="1093202500"/>
    <n v="792738367"/>
    <s v="Kaitlyn Heath"/>
    <s v="jameshudson@example.com"/>
    <n v="20576383"/>
    <n v="7616560434"/>
    <x v="395"/>
    <m/>
    <x v="6"/>
    <x v="0"/>
    <x v="0"/>
    <x v="2"/>
    <n v="68"/>
    <m/>
    <n v="0"/>
    <s v="Customer reported intermittent service and repeat disruptions"/>
    <n v="17"/>
    <x v="1"/>
    <n v="0"/>
    <s v="Feb 2025"/>
    <n v="202502"/>
    <x v="14"/>
  </r>
  <r>
    <n v="1136181174"/>
    <n v="572163615"/>
    <s v="Mark Moss"/>
    <s v="austinjohnson@example.net"/>
    <n v="70291817"/>
    <m/>
    <x v="396"/>
    <m/>
    <x v="6"/>
    <x v="1"/>
    <x v="1"/>
    <x v="2"/>
    <n v="27"/>
    <m/>
    <n v="0"/>
    <s v="Refund status or reversal timeline inquiry"/>
    <n v="26"/>
    <x v="1"/>
    <n v="0"/>
    <s v="Feb 2024"/>
    <n v="202402"/>
    <x v="7"/>
  </r>
  <r>
    <n v="1149977994"/>
    <n v="250980852"/>
    <s v="Patricia Ramos"/>
    <s v="patriciamorrison@example.org"/>
    <n v="93926371"/>
    <m/>
    <x v="397"/>
    <m/>
    <x v="6"/>
    <x v="2"/>
    <x v="2"/>
    <x v="2"/>
    <n v="39"/>
    <m/>
    <n v="0"/>
    <s v="Customer questioned invoice amount and prorated charges"/>
    <n v="27"/>
    <x v="1"/>
    <n v="0"/>
    <s v="Jan 2025"/>
    <n v="202501"/>
    <x v="16"/>
  </r>
  <r>
    <n v="1221696347"/>
    <n v="853703117"/>
    <s v="William Torres"/>
    <s v="zandrews@example.com"/>
    <n v="96028436"/>
    <m/>
    <x v="398"/>
    <d v="2024-06-05T19:40:07"/>
    <x v="4"/>
    <x v="0"/>
    <x v="2"/>
    <x v="2"/>
    <n v="19"/>
    <n v="1046"/>
    <n v="0"/>
    <s v="Customer reported intermittent service and repeat disruptions"/>
    <n v="43"/>
    <x v="1"/>
    <n v="0"/>
    <s v="Jun 2024"/>
    <n v="202406"/>
    <x v="26"/>
  </r>
  <r>
    <n v="1242049785"/>
    <n v="463512350"/>
    <s v="Anna May"/>
    <s v="crossbarbara@example.org"/>
    <n v="38317637"/>
    <m/>
    <x v="399"/>
    <m/>
    <x v="5"/>
    <x v="3"/>
    <x v="1"/>
    <x v="2"/>
    <n v="14"/>
    <m/>
    <n v="0"/>
    <s v="Shipment or installation appointment delayed beyond ETA"/>
    <n v="46"/>
    <x v="1"/>
    <n v="0"/>
    <s v="Jun 2025"/>
    <n v="202506"/>
    <x v="19"/>
  </r>
  <r>
    <n v="1261415673"/>
    <n v="326353775"/>
    <s v="Michael Gray"/>
    <s v="jameshenry@example.net"/>
    <n v="61642594"/>
    <m/>
    <x v="400"/>
    <d v="2024-08-24T05:06:02"/>
    <x v="5"/>
    <x v="3"/>
    <x v="1"/>
    <x v="2"/>
    <n v="81"/>
    <n v="1593"/>
    <n v="0"/>
    <s v="Shipment or installation appointment delayed beyond ETA"/>
    <n v="52"/>
    <x v="1"/>
    <n v="0"/>
    <s v="Aug 2024"/>
    <n v="202408"/>
    <x v="18"/>
  </r>
  <r>
    <n v="1262880146"/>
    <n v="991617660"/>
    <s v="Robert Gonzalez"/>
    <s v="eric11@example.net"/>
    <n v="88461803"/>
    <m/>
    <x v="401"/>
    <d v="2024-11-05T09:08:37"/>
    <x v="0"/>
    <x v="2"/>
    <x v="2"/>
    <x v="2"/>
    <n v="47"/>
    <n v="1165"/>
    <n v="0"/>
    <s v="Customer questioned invoice amount and prorated charges"/>
    <n v="54"/>
    <x v="1"/>
    <n v="0"/>
    <s v="Nov 2024"/>
    <n v="202411"/>
    <x v="11"/>
  </r>
  <r>
    <n v="1384293243"/>
    <n v="271494637"/>
    <s v="Rebecca Pacheco"/>
    <s v="davisjennifer@example.org"/>
    <n v="81691040"/>
    <n v="6687666402"/>
    <x v="402"/>
    <m/>
    <x v="5"/>
    <x v="4"/>
    <x v="0"/>
    <x v="2"/>
    <n v="73"/>
    <m/>
    <n v="0"/>
    <s v="Login, OTP, or password reset issue"/>
    <n v="68"/>
    <x v="1"/>
    <n v="0"/>
    <s v="Dec 2025"/>
    <n v="202512"/>
    <x v="21"/>
  </r>
  <r>
    <n v="1417024330"/>
    <n v="655511084"/>
    <s v="Dustin Dorsey"/>
    <s v="tmcdaniel@example.org"/>
    <n v="20570592"/>
    <n v="5096047004"/>
    <x v="403"/>
    <m/>
    <x v="3"/>
    <x v="5"/>
    <x v="3"/>
    <x v="2"/>
    <n v="36"/>
    <m/>
    <n v="0"/>
    <s v="App, network, or device troubleshooting requested"/>
    <n v="75"/>
    <x v="1"/>
    <n v="0"/>
    <s v="Apr 2025"/>
    <n v="202504"/>
    <x v="6"/>
  </r>
  <r>
    <n v="1438188292"/>
    <n v="682152066"/>
    <s v="Jeremy Smith"/>
    <s v="mjones@example.org"/>
    <n v="35808537"/>
    <n v="9665789482"/>
    <x v="404"/>
    <m/>
    <x v="6"/>
    <x v="0"/>
    <x v="3"/>
    <x v="2"/>
    <n v="42"/>
    <m/>
    <n v="0"/>
    <s v="Customer reported intermittent service and repeat disruptions"/>
    <n v="76"/>
    <x v="1"/>
    <n v="0"/>
    <s v="Feb 2025"/>
    <n v="202502"/>
    <x v="14"/>
  </r>
  <r>
    <n v="1525913802"/>
    <n v="741580895"/>
    <s v="Hector Mcgee"/>
    <s v="kparker@example.com"/>
    <n v="19583482"/>
    <m/>
    <x v="405"/>
    <m/>
    <x v="4"/>
    <x v="4"/>
    <x v="2"/>
    <x v="2"/>
    <n v="31"/>
    <m/>
    <n v="0"/>
    <s v="Login, OTP, or password reset issue"/>
    <n v="89"/>
    <x v="1"/>
    <n v="0"/>
    <s v="Feb 2025"/>
    <n v="202502"/>
    <x v="14"/>
  </r>
  <r>
    <n v="1574757802"/>
    <n v="127824235"/>
    <s v="Stephanie Cabrera"/>
    <s v="wchambers@example.com"/>
    <n v="96028436"/>
    <n v="9301891589"/>
    <x v="406"/>
    <m/>
    <x v="1"/>
    <x v="3"/>
    <x v="1"/>
    <x v="2"/>
    <n v="33"/>
    <m/>
    <n v="0"/>
    <s v="Shipment or installation appointment delayed beyond ETA"/>
    <n v="97"/>
    <x v="1"/>
    <n v="0"/>
    <s v="Aug 2025"/>
    <n v="202508"/>
    <x v="22"/>
  </r>
  <r>
    <n v="1575467238"/>
    <n v="527589822"/>
    <s v="Fernando Thomas"/>
    <s v="audrey21@example.com"/>
    <n v="21668732"/>
    <m/>
    <x v="407"/>
    <m/>
    <x v="5"/>
    <x v="4"/>
    <x v="0"/>
    <x v="2"/>
    <n v="7"/>
    <m/>
    <n v="0"/>
    <s v="Login, OTP, or password reset issue"/>
    <n v="98"/>
    <x v="1"/>
    <n v="0"/>
    <s v="Jul 2024"/>
    <n v="202407"/>
    <x v="23"/>
  </r>
  <r>
    <n v="1579620620"/>
    <n v="778321204"/>
    <s v="Sheryl Gutierrez"/>
    <s v="vturner@example.net"/>
    <n v="32969840"/>
    <m/>
    <x v="408"/>
    <m/>
    <x v="4"/>
    <x v="3"/>
    <x v="2"/>
    <x v="2"/>
    <n v="9"/>
    <m/>
    <n v="0"/>
    <s v="Shipment or installation appointment delayed beyond ETA"/>
    <n v="100"/>
    <x v="1"/>
    <n v="0"/>
    <s v="Oct 2025"/>
    <n v="202510"/>
    <x v="8"/>
  </r>
  <r>
    <n v="1616152681"/>
    <n v="128636900"/>
    <s v="Brian Hampton"/>
    <s v="amber07@example.net"/>
    <n v="91734598"/>
    <m/>
    <x v="409"/>
    <m/>
    <x v="1"/>
    <x v="0"/>
    <x v="2"/>
    <x v="2"/>
    <n v="13"/>
    <m/>
    <n v="0"/>
    <s v="Customer reported intermittent service and repeat disruptions"/>
    <n v="108"/>
    <x v="1"/>
    <n v="0"/>
    <s v="Jun 2024"/>
    <n v="202406"/>
    <x v="26"/>
  </r>
  <r>
    <n v="1687422880"/>
    <n v="300593456"/>
    <s v="Russell Mcguire"/>
    <s v="watkinsmatthew@example.org"/>
    <n v="36697396"/>
    <n v="2213740507"/>
    <x v="410"/>
    <d v="2025-06-19T08:10:02"/>
    <x v="2"/>
    <x v="4"/>
    <x v="0"/>
    <x v="2"/>
    <n v="77"/>
    <n v="1033"/>
    <n v="0"/>
    <s v="Login, OTP, or password reset issue"/>
    <n v="121"/>
    <x v="1"/>
    <n v="0"/>
    <s v="Jun 2025"/>
    <n v="202506"/>
    <x v="19"/>
  </r>
  <r>
    <n v="1713867006"/>
    <n v="874364174"/>
    <s v="Shawn Yu"/>
    <s v="debbiebrown@example.net"/>
    <n v="41227216"/>
    <m/>
    <x v="411"/>
    <m/>
    <x v="3"/>
    <x v="1"/>
    <x v="3"/>
    <x v="2"/>
    <n v="54"/>
    <m/>
    <n v="0"/>
    <s v="Refund status or reversal timeline inquiry"/>
    <n v="127"/>
    <x v="1"/>
    <n v="0"/>
    <s v="Feb 2026"/>
    <n v="202602"/>
    <x v="25"/>
  </r>
  <r>
    <n v="1720578321"/>
    <n v="689274064"/>
    <s v="Richard Warren"/>
    <s v="thompsonnancy@example.org"/>
    <n v="41227216"/>
    <m/>
    <x v="412"/>
    <m/>
    <x v="1"/>
    <x v="2"/>
    <x v="2"/>
    <x v="2"/>
    <n v="72"/>
    <m/>
    <n v="0"/>
    <s v="Customer questioned invoice amount and prorated charges"/>
    <n v="129"/>
    <x v="1"/>
    <n v="0"/>
    <s v="Dec 2025"/>
    <n v="202512"/>
    <x v="21"/>
  </r>
  <r>
    <n v="1734015716"/>
    <n v="946237594"/>
    <s v="Adam Russell"/>
    <s v="victoriadurham@example.com"/>
    <n v="31931511"/>
    <n v="7482301234"/>
    <x v="413"/>
    <m/>
    <x v="0"/>
    <x v="3"/>
    <x v="1"/>
    <x v="2"/>
    <n v="55"/>
    <m/>
    <n v="0"/>
    <s v="Shipment or installation appointment delayed beyond ETA"/>
    <n v="133"/>
    <x v="1"/>
    <n v="0"/>
    <s v="Jul 2024"/>
    <n v="202407"/>
    <x v="23"/>
  </r>
  <r>
    <n v="1734307097"/>
    <n v="154337019"/>
    <s v="Kelly Welch"/>
    <s v="ltaylor@example.com"/>
    <n v="77187530"/>
    <n v="4153232553"/>
    <x v="414"/>
    <m/>
    <x v="6"/>
    <x v="5"/>
    <x v="2"/>
    <x v="2"/>
    <n v="23"/>
    <m/>
    <n v="0"/>
    <s v="App, network, or device troubleshooting requested"/>
    <n v="134"/>
    <x v="1"/>
    <n v="0"/>
    <s v="Jun 2025"/>
    <n v="202506"/>
    <x v="19"/>
  </r>
  <r>
    <n v="1754973803"/>
    <n v="996534803"/>
    <s v="Donald Thomas"/>
    <s v="vwilliams@example.net"/>
    <n v="60806024"/>
    <m/>
    <x v="415"/>
    <d v="2026-03-01T18:11:28"/>
    <x v="2"/>
    <x v="1"/>
    <x v="3"/>
    <x v="2"/>
    <n v="37"/>
    <n v="1469"/>
    <n v="0"/>
    <s v="Refund status or reversal timeline inquiry"/>
    <n v="142"/>
    <x v="1"/>
    <n v="0"/>
    <s v="Feb 2026"/>
    <n v="202602"/>
    <x v="25"/>
  </r>
  <r>
    <n v="1757481506"/>
    <n v="208599066"/>
    <s v="Kyle Francis"/>
    <s v="michellehill@example.com"/>
    <n v="96977837"/>
    <n v="3857274115"/>
    <x v="416"/>
    <m/>
    <x v="6"/>
    <x v="4"/>
    <x v="0"/>
    <x v="2"/>
    <n v="6"/>
    <m/>
    <n v="0"/>
    <s v="Login, OTP, or password reset issue"/>
    <n v="144"/>
    <x v="1"/>
    <n v="0"/>
    <s v="Nov 2024"/>
    <n v="202411"/>
    <x v="11"/>
  </r>
  <r>
    <n v="1769534424"/>
    <n v="366578178"/>
    <s v="Anne Anderson"/>
    <s v="ricardomurphy@example.com"/>
    <n v="38538251"/>
    <m/>
    <x v="417"/>
    <m/>
    <x v="6"/>
    <x v="0"/>
    <x v="2"/>
    <x v="2"/>
    <n v="87"/>
    <m/>
    <n v="0"/>
    <s v="Customer reported intermittent service and repeat disruptions"/>
    <n v="146"/>
    <x v="1"/>
    <n v="0"/>
    <s v="Mar 2024"/>
    <n v="202403"/>
    <x v="15"/>
  </r>
  <r>
    <n v="1834105458"/>
    <n v="778321204"/>
    <s v="Sheryl Gutierrez"/>
    <s v="vturner@example.net"/>
    <n v="85345555"/>
    <m/>
    <x v="418"/>
    <m/>
    <x v="1"/>
    <x v="5"/>
    <x v="3"/>
    <x v="2"/>
    <n v="78"/>
    <m/>
    <n v="0"/>
    <s v="App, network, or device troubleshooting requested"/>
    <n v="163"/>
    <x v="1"/>
    <n v="0"/>
    <s v="Jul 2025"/>
    <n v="202507"/>
    <x v="13"/>
  </r>
  <r>
    <n v="1875514632"/>
    <n v="394689553"/>
    <s v="Keith Brooks"/>
    <s v="colepamela@example.net"/>
    <n v="10872248"/>
    <n v="6717441860"/>
    <x v="419"/>
    <m/>
    <x v="2"/>
    <x v="4"/>
    <x v="3"/>
    <x v="2"/>
    <n v="31"/>
    <m/>
    <n v="0"/>
    <s v="Login, OTP, or password reset issue"/>
    <n v="173"/>
    <x v="1"/>
    <n v="0"/>
    <s v="Oct 2024"/>
    <n v="202410"/>
    <x v="1"/>
  </r>
  <r>
    <n v="1942571752"/>
    <n v="161587757"/>
    <s v="Sharon Lester"/>
    <s v="qmosley@example.net"/>
    <n v="91734598"/>
    <m/>
    <x v="420"/>
    <m/>
    <x v="4"/>
    <x v="4"/>
    <x v="2"/>
    <x v="2"/>
    <n v="36"/>
    <m/>
    <n v="0"/>
    <s v="Login, OTP, or password reset issue"/>
    <n v="189"/>
    <x v="1"/>
    <n v="0"/>
    <s v="Nov 2025"/>
    <n v="202511"/>
    <x v="4"/>
  </r>
  <r>
    <n v="1954537325"/>
    <n v="638824588"/>
    <s v="Jennifer Fletcher"/>
    <s v="shannon56@example.net"/>
    <n v="22448136"/>
    <n v="7363532024"/>
    <x v="421"/>
    <m/>
    <x v="6"/>
    <x v="4"/>
    <x v="0"/>
    <x v="2"/>
    <n v="102"/>
    <m/>
    <n v="0"/>
    <s v="Login, OTP, or password reset issue"/>
    <n v="192"/>
    <x v="1"/>
    <n v="0"/>
    <s v="Mar 2024"/>
    <n v="202403"/>
    <x v="15"/>
  </r>
  <r>
    <n v="2045373626"/>
    <n v="851854702"/>
    <s v="Mary Reyes"/>
    <s v="jessica11@example.net"/>
    <n v="71662963"/>
    <m/>
    <x v="422"/>
    <m/>
    <x v="6"/>
    <x v="0"/>
    <x v="1"/>
    <x v="2"/>
    <n v="6"/>
    <m/>
    <n v="0"/>
    <s v="Customer reported intermittent service and repeat disruptions"/>
    <n v="201"/>
    <x v="1"/>
    <n v="0"/>
    <s v="Jan 2026"/>
    <n v="202601"/>
    <x v="0"/>
  </r>
  <r>
    <n v="2052025838"/>
    <n v="355046107"/>
    <s v="Brittany Kim"/>
    <s v="lisawilkerson@example.org"/>
    <n v="78387461"/>
    <m/>
    <x v="423"/>
    <m/>
    <x v="2"/>
    <x v="2"/>
    <x v="0"/>
    <x v="2"/>
    <n v="24"/>
    <m/>
    <n v="0"/>
    <s v="Customer questioned invoice amount and prorated charges"/>
    <n v="202"/>
    <x v="1"/>
    <n v="0"/>
    <s v="Jan 2026"/>
    <n v="202601"/>
    <x v="0"/>
  </r>
  <r>
    <n v="2093889745"/>
    <n v="146914391"/>
    <s v="Jeffrey Gonzales"/>
    <s v="michaelhardin@example.com"/>
    <n v="55657579"/>
    <n v="1775790050"/>
    <x v="424"/>
    <m/>
    <x v="2"/>
    <x v="1"/>
    <x v="2"/>
    <x v="2"/>
    <n v="55"/>
    <m/>
    <n v="0"/>
    <s v="Refund status or reversal timeline inquiry"/>
    <n v="207"/>
    <x v="1"/>
    <n v="0"/>
    <s v="Nov 2024"/>
    <n v="202411"/>
    <x v="11"/>
  </r>
  <r>
    <n v="2333121938"/>
    <n v="178954113"/>
    <s v="Courtney Garcia"/>
    <s v="john76@example.com"/>
    <n v="63551839"/>
    <m/>
    <x v="425"/>
    <m/>
    <x v="0"/>
    <x v="5"/>
    <x v="1"/>
    <x v="2"/>
    <n v="48"/>
    <m/>
    <n v="0"/>
    <s v="App, network, or device troubleshooting requested"/>
    <n v="243"/>
    <x v="1"/>
    <n v="0"/>
    <s v="Mar 2026"/>
    <n v="202603"/>
    <x v="10"/>
  </r>
  <r>
    <n v="2382352682"/>
    <n v="973498494"/>
    <s v="Karl Murphy"/>
    <s v="ericnunez@example.com"/>
    <n v="22575562"/>
    <m/>
    <x v="426"/>
    <m/>
    <x v="4"/>
    <x v="4"/>
    <x v="1"/>
    <x v="2"/>
    <n v="35"/>
    <m/>
    <n v="0"/>
    <s v="Login, OTP, or password reset issue"/>
    <n v="252"/>
    <x v="1"/>
    <n v="0"/>
    <s v="Apr 2024"/>
    <n v="202404"/>
    <x v="2"/>
  </r>
  <r>
    <n v="2400804845"/>
    <n v="107333788"/>
    <s v="Clayton Beasley"/>
    <s v="jason06@example.org"/>
    <n v="63551839"/>
    <m/>
    <x v="427"/>
    <m/>
    <x v="5"/>
    <x v="2"/>
    <x v="2"/>
    <x v="2"/>
    <n v="1"/>
    <m/>
    <n v="0"/>
    <s v="Customer questioned invoice amount and prorated charges"/>
    <n v="255"/>
    <x v="1"/>
    <n v="0"/>
    <s v="Jun 2024"/>
    <n v="202406"/>
    <x v="26"/>
  </r>
  <r>
    <n v="2425006676"/>
    <n v="274476883"/>
    <s v="Victor Hudson"/>
    <s v="schneiderraymond@example.com"/>
    <n v="87490893"/>
    <n v="2275197185"/>
    <x v="428"/>
    <m/>
    <x v="5"/>
    <x v="4"/>
    <x v="0"/>
    <x v="2"/>
    <n v="47"/>
    <m/>
    <n v="0"/>
    <s v="Login, OTP, or password reset issue"/>
    <n v="259"/>
    <x v="1"/>
    <n v="0"/>
    <s v="Mar 2024"/>
    <n v="202403"/>
    <x v="15"/>
  </r>
  <r>
    <n v="2425995983"/>
    <n v="437568796"/>
    <s v="Anthony Price"/>
    <s v="douglas54@example.com"/>
    <n v="15831819"/>
    <m/>
    <x v="429"/>
    <m/>
    <x v="0"/>
    <x v="4"/>
    <x v="3"/>
    <x v="2"/>
    <n v="44"/>
    <m/>
    <n v="0"/>
    <s v="Login, OTP, or password reset issue"/>
    <n v="260"/>
    <x v="1"/>
    <n v="0"/>
    <s v="Apr 2024"/>
    <n v="202404"/>
    <x v="2"/>
  </r>
  <r>
    <n v="2466538300"/>
    <n v="843854609"/>
    <s v="Lori Franco"/>
    <s v="petersrussell@example.org"/>
    <n v="30868105"/>
    <m/>
    <x v="430"/>
    <m/>
    <x v="6"/>
    <x v="3"/>
    <x v="0"/>
    <x v="2"/>
    <n v="34"/>
    <m/>
    <n v="0"/>
    <s v="Shipment or installation appointment delayed beyond ETA"/>
    <n v="267"/>
    <x v="1"/>
    <n v="0"/>
    <s v="Dec 2025"/>
    <n v="202512"/>
    <x v="21"/>
  </r>
  <r>
    <n v="2538040889"/>
    <n v="522950895"/>
    <s v="Anna Smith"/>
    <s v="smithpaul@example.org"/>
    <n v="72043515"/>
    <m/>
    <x v="431"/>
    <m/>
    <x v="2"/>
    <x v="5"/>
    <x v="0"/>
    <x v="2"/>
    <n v="50"/>
    <m/>
    <n v="0"/>
    <s v="App, network, or device troubleshooting requested"/>
    <n v="281"/>
    <x v="1"/>
    <n v="0"/>
    <s v="Jan 2026"/>
    <n v="202601"/>
    <x v="0"/>
  </r>
  <r>
    <n v="2597508443"/>
    <n v="634211672"/>
    <s v="Mary Hill"/>
    <s v="danielhernandez@example.com"/>
    <n v="49349722"/>
    <m/>
    <x v="432"/>
    <d v="2025-09-16T06:25:18"/>
    <x v="3"/>
    <x v="4"/>
    <x v="2"/>
    <x v="2"/>
    <n v="30"/>
    <n v="1059"/>
    <n v="0"/>
    <s v="Login, OTP, or password reset issue"/>
    <n v="286"/>
    <x v="1"/>
    <n v="0"/>
    <s v="Sep 2025"/>
    <n v="202509"/>
    <x v="9"/>
  </r>
  <r>
    <n v="2653779563"/>
    <n v="245737277"/>
    <s v="Shane Torres"/>
    <s v="porterdonna@example.com"/>
    <n v="81182864"/>
    <m/>
    <x v="433"/>
    <d v="2024-08-24T16:24:38"/>
    <x v="6"/>
    <x v="3"/>
    <x v="2"/>
    <x v="2"/>
    <n v="19"/>
    <n v="1073"/>
    <n v="0"/>
    <s v="Shipment or installation appointment delayed beyond ETA"/>
    <n v="293"/>
    <x v="1"/>
    <n v="0"/>
    <s v="Aug 2024"/>
    <n v="202408"/>
    <x v="18"/>
  </r>
  <r>
    <n v="2667326002"/>
    <n v="356805216"/>
    <s v="Elijah Moore"/>
    <s v="laurahicks@example.org"/>
    <n v="31931511"/>
    <n v="5551462938"/>
    <x v="434"/>
    <d v="2026-03-22T17:19:05"/>
    <x v="5"/>
    <x v="5"/>
    <x v="1"/>
    <x v="2"/>
    <n v="65"/>
    <n v="998"/>
    <n v="0"/>
    <s v="App, network, or device troubleshooting requested"/>
    <n v="297"/>
    <x v="1"/>
    <n v="0"/>
    <s v="Mar 2026"/>
    <n v="202603"/>
    <x v="10"/>
  </r>
  <r>
    <n v="2742618570"/>
    <n v="690554938"/>
    <s v="Evan Buchanan"/>
    <s v="meyertiffany@example.net"/>
    <n v="32969840"/>
    <n v="9949069966"/>
    <x v="435"/>
    <m/>
    <x v="2"/>
    <x v="5"/>
    <x v="0"/>
    <x v="2"/>
    <n v="99"/>
    <m/>
    <n v="0"/>
    <s v="App, network, or device troubleshooting requested"/>
    <n v="313"/>
    <x v="1"/>
    <n v="0"/>
    <s v="Jan 2024"/>
    <n v="202401"/>
    <x v="17"/>
  </r>
  <r>
    <n v="2828468280"/>
    <n v="868847524"/>
    <s v="Kevin Marquez"/>
    <s v="nicoledavis@example.com"/>
    <n v="20576383"/>
    <m/>
    <x v="436"/>
    <m/>
    <x v="4"/>
    <x v="0"/>
    <x v="0"/>
    <x v="2"/>
    <n v="50"/>
    <m/>
    <n v="0"/>
    <s v="Customer reported intermittent service and repeat disruptions"/>
    <n v="327"/>
    <x v="1"/>
    <n v="0"/>
    <s v="Jan 2026"/>
    <n v="202601"/>
    <x v="0"/>
  </r>
  <r>
    <n v="2843563009"/>
    <n v="425155441"/>
    <s v="Gabriel Reyes"/>
    <s v="mitchelldawn@example.net"/>
    <n v="35808537"/>
    <m/>
    <x v="437"/>
    <m/>
    <x v="5"/>
    <x v="5"/>
    <x v="2"/>
    <x v="2"/>
    <n v="46"/>
    <m/>
    <n v="0"/>
    <s v="App, network, or device troubleshooting requested"/>
    <n v="331"/>
    <x v="1"/>
    <n v="0"/>
    <s v="Nov 2024"/>
    <n v="202411"/>
    <x v="11"/>
  </r>
  <r>
    <n v="2904319901"/>
    <n v="603703167"/>
    <s v="Hayley Buchanan"/>
    <s v="williamssamuel@example.com"/>
    <n v="31931511"/>
    <m/>
    <x v="438"/>
    <m/>
    <x v="4"/>
    <x v="0"/>
    <x v="2"/>
    <x v="2"/>
    <n v="67"/>
    <m/>
    <n v="0"/>
    <s v="Customer reported intermittent service and repeat disruptions"/>
    <n v="341"/>
    <x v="1"/>
    <n v="0"/>
    <s v="Jul 2025"/>
    <n v="202507"/>
    <x v="13"/>
  </r>
  <r>
    <n v="2953676676"/>
    <n v="253308283"/>
    <s v="Christopher Mcdonald"/>
    <s v="carneysara@example.org"/>
    <n v="66722344"/>
    <m/>
    <x v="439"/>
    <d v="2025-04-29T09:41:43"/>
    <x v="1"/>
    <x v="0"/>
    <x v="3"/>
    <x v="2"/>
    <n v="19"/>
    <n v="135"/>
    <n v="0"/>
    <s v="Customer reported intermittent service and repeat disruptions"/>
    <n v="348"/>
    <x v="1"/>
    <n v="0"/>
    <s v="Apr 2025"/>
    <n v="202504"/>
    <x v="6"/>
  </r>
  <r>
    <n v="3007269420"/>
    <n v="590822013"/>
    <s v="Matthew Wright"/>
    <s v="elizabeth62@example.net"/>
    <n v="12614124"/>
    <m/>
    <x v="440"/>
    <m/>
    <x v="6"/>
    <x v="5"/>
    <x v="2"/>
    <x v="2"/>
    <n v="63"/>
    <m/>
    <n v="0"/>
    <s v="App, network, or device troubleshooting requested"/>
    <n v="364"/>
    <x v="1"/>
    <n v="0"/>
    <s v="Jul 2024"/>
    <n v="202407"/>
    <x v="23"/>
  </r>
  <r>
    <n v="3039641939"/>
    <n v="778321204"/>
    <s v="Sheryl Gutierrez"/>
    <s v="vturner@example.net"/>
    <n v="81182864"/>
    <n v="7770680211"/>
    <x v="441"/>
    <d v="2026-01-20T20:19:18"/>
    <x v="6"/>
    <x v="2"/>
    <x v="0"/>
    <x v="2"/>
    <n v="65"/>
    <n v="778"/>
    <n v="0"/>
    <s v="Customer questioned invoice amount and prorated charges"/>
    <n v="371"/>
    <x v="1"/>
    <n v="0"/>
    <s v="Jan 2026"/>
    <n v="202601"/>
    <x v="0"/>
  </r>
  <r>
    <n v="3085068274"/>
    <n v="755064741"/>
    <s v="Angela Warren"/>
    <s v="greenmartin@example.org"/>
    <n v="19583482"/>
    <m/>
    <x v="442"/>
    <m/>
    <x v="4"/>
    <x v="1"/>
    <x v="2"/>
    <x v="2"/>
    <n v="41"/>
    <m/>
    <n v="0"/>
    <s v="Refund status or reversal timeline inquiry"/>
    <n v="379"/>
    <x v="1"/>
    <n v="0"/>
    <s v="Jun 2025"/>
    <n v="202506"/>
    <x v="19"/>
  </r>
  <r>
    <n v="3162040254"/>
    <n v="613443905"/>
    <s v="Cheryl Foster"/>
    <s v="smithcrystal@example.com"/>
    <n v="10076758"/>
    <n v="1576951818"/>
    <x v="443"/>
    <m/>
    <x v="1"/>
    <x v="1"/>
    <x v="0"/>
    <x v="2"/>
    <n v="32"/>
    <m/>
    <n v="0"/>
    <s v="Refund status or reversal timeline inquiry"/>
    <n v="393"/>
    <x v="1"/>
    <n v="0"/>
    <s v="May 2024"/>
    <n v="202405"/>
    <x v="24"/>
  </r>
  <r>
    <n v="3177529650"/>
    <n v="264299106"/>
    <s v="Veronica Lewis"/>
    <s v="mirandacisneros@example.net"/>
    <n v="28566572"/>
    <m/>
    <x v="444"/>
    <m/>
    <x v="5"/>
    <x v="4"/>
    <x v="0"/>
    <x v="2"/>
    <n v="68"/>
    <m/>
    <n v="0"/>
    <s v="Login, OTP, or password reset issue"/>
    <n v="394"/>
    <x v="1"/>
    <n v="0"/>
    <s v="Aug 2025"/>
    <n v="202508"/>
    <x v="22"/>
  </r>
  <r>
    <n v="3276801413"/>
    <n v="455665802"/>
    <s v="Nicholas Hernandez"/>
    <s v="sandersnicholas@example.org"/>
    <n v="70291817"/>
    <m/>
    <x v="445"/>
    <m/>
    <x v="1"/>
    <x v="0"/>
    <x v="1"/>
    <x v="2"/>
    <n v="51"/>
    <m/>
    <n v="0"/>
    <s v="Customer reported intermittent service and repeat disruptions"/>
    <n v="404"/>
    <x v="1"/>
    <n v="0"/>
    <s v="Jan 2025"/>
    <n v="202501"/>
    <x v="16"/>
  </r>
  <r>
    <n v="3318581854"/>
    <n v="240712839"/>
    <s v="Robin Hall"/>
    <s v="kristinacarlson@example.com"/>
    <n v="31931511"/>
    <n v="2178508211"/>
    <x v="446"/>
    <m/>
    <x v="5"/>
    <x v="5"/>
    <x v="2"/>
    <x v="2"/>
    <n v="14"/>
    <m/>
    <n v="0"/>
    <s v="App, network, or device troubleshooting requested"/>
    <n v="418"/>
    <x v="1"/>
    <n v="0"/>
    <s v="Jan 2026"/>
    <n v="202601"/>
    <x v="0"/>
  </r>
  <r>
    <n v="3321206093"/>
    <n v="674615376"/>
    <s v="Renee Johnson"/>
    <s v="johncasey@example.com"/>
    <n v="30868105"/>
    <n v="2349891418"/>
    <x v="447"/>
    <m/>
    <x v="1"/>
    <x v="1"/>
    <x v="2"/>
    <x v="2"/>
    <n v="15"/>
    <m/>
    <n v="0"/>
    <s v="Refund status or reversal timeline inquiry"/>
    <n v="419"/>
    <x v="1"/>
    <n v="0"/>
    <s v="Mar 2026"/>
    <n v="202603"/>
    <x v="10"/>
  </r>
  <r>
    <n v="3357731126"/>
    <n v="691461470"/>
    <s v="Travis Nielsen"/>
    <s v="gerald46@example.org"/>
    <n v="99949389"/>
    <m/>
    <x v="448"/>
    <m/>
    <x v="1"/>
    <x v="5"/>
    <x v="2"/>
    <x v="2"/>
    <n v="25"/>
    <m/>
    <n v="0"/>
    <s v="App, network, or device troubleshooting requested"/>
    <n v="426"/>
    <x v="1"/>
    <n v="0"/>
    <s v="Nov 2025"/>
    <n v="202511"/>
    <x v="4"/>
  </r>
  <r>
    <n v="3360311082"/>
    <n v="422076028"/>
    <s v="Sally Leon"/>
    <s v="gillronald@example.org"/>
    <n v="83140807"/>
    <n v="8850124241"/>
    <x v="449"/>
    <d v="2024-01-31T05:27:30"/>
    <x v="1"/>
    <x v="0"/>
    <x v="1"/>
    <x v="2"/>
    <n v="47"/>
    <n v="843"/>
    <n v="0"/>
    <s v="Customer reported intermittent service and repeat disruptions"/>
    <n v="427"/>
    <x v="1"/>
    <n v="0"/>
    <s v="Jan 2024"/>
    <n v="202401"/>
    <x v="17"/>
  </r>
  <r>
    <n v="3377088151"/>
    <n v="504499880"/>
    <s v="Katherine Browning"/>
    <s v="lammarc@example.org"/>
    <n v="24942603"/>
    <m/>
    <x v="450"/>
    <m/>
    <x v="3"/>
    <x v="0"/>
    <x v="0"/>
    <x v="2"/>
    <n v="50"/>
    <m/>
    <n v="0"/>
    <s v="Customer reported intermittent service and repeat disruptions"/>
    <n v="432"/>
    <x v="1"/>
    <n v="0"/>
    <s v="Apr 2025"/>
    <n v="202504"/>
    <x v="6"/>
  </r>
  <r>
    <n v="3441044403"/>
    <n v="992649957"/>
    <s v="Christopher Thomas"/>
    <s v="vjones@example.net"/>
    <n v="42138745"/>
    <m/>
    <x v="451"/>
    <d v="2026-02-20T11:07:58"/>
    <x v="3"/>
    <x v="0"/>
    <x v="0"/>
    <x v="2"/>
    <n v="51"/>
    <n v="899"/>
    <n v="0"/>
    <s v="Customer reported intermittent service and repeat disruptions"/>
    <n v="440"/>
    <x v="1"/>
    <n v="0"/>
    <s v="Feb 2026"/>
    <n v="202602"/>
    <x v="25"/>
  </r>
  <r>
    <n v="3475781259"/>
    <n v="989368954"/>
    <s v="Allen Schneider"/>
    <s v="dmiller@example.org"/>
    <n v="95822412"/>
    <n v="1514972684"/>
    <x v="452"/>
    <m/>
    <x v="0"/>
    <x v="5"/>
    <x v="0"/>
    <x v="2"/>
    <n v="10"/>
    <m/>
    <n v="0"/>
    <s v="App, network, or device troubleshooting requested"/>
    <n v="443"/>
    <x v="1"/>
    <n v="0"/>
    <s v="Mar 2024"/>
    <n v="202403"/>
    <x v="15"/>
  </r>
  <r>
    <n v="3480083546"/>
    <n v="715766024"/>
    <s v="Bridget Guerrero"/>
    <s v="bowerspatrick@example.com"/>
    <n v="31931511"/>
    <m/>
    <x v="453"/>
    <d v="2025-04-21T18:43:17"/>
    <x v="1"/>
    <x v="5"/>
    <x v="2"/>
    <x v="2"/>
    <n v="59"/>
    <n v="999"/>
    <n v="0"/>
    <s v="App, network, or device troubleshooting requested"/>
    <n v="445"/>
    <x v="1"/>
    <n v="0"/>
    <s v="Apr 2025"/>
    <n v="202504"/>
    <x v="6"/>
  </r>
  <r>
    <n v="3671638169"/>
    <n v="157184151"/>
    <s v="Kayla Mccullough"/>
    <s v="taylorkaren@example.com"/>
    <n v="47295260"/>
    <n v="3051815663"/>
    <x v="454"/>
    <m/>
    <x v="3"/>
    <x v="4"/>
    <x v="2"/>
    <x v="2"/>
    <n v="39"/>
    <m/>
    <n v="0"/>
    <s v="Login, OTP, or password reset issue"/>
    <n v="479"/>
    <x v="1"/>
    <n v="0"/>
    <s v="Sep 2025"/>
    <n v="202509"/>
    <x v="9"/>
  </r>
  <r>
    <n v="3713596008"/>
    <n v="408840720"/>
    <s v="Teresa Mcdaniel MD"/>
    <s v="jessicamills@example.org"/>
    <n v="63551839"/>
    <m/>
    <x v="455"/>
    <m/>
    <x v="0"/>
    <x v="4"/>
    <x v="2"/>
    <x v="2"/>
    <n v="52"/>
    <m/>
    <n v="0"/>
    <s v="Login, OTP, or password reset issue"/>
    <n v="485"/>
    <x v="1"/>
    <n v="0"/>
    <s v="Nov 2025"/>
    <n v="202511"/>
    <x v="4"/>
  </r>
  <r>
    <n v="3749176389"/>
    <n v="856975382"/>
    <s v="Alexis Barker"/>
    <s v="thomas74@example.net"/>
    <n v="22575562"/>
    <n v="6499884316"/>
    <x v="456"/>
    <m/>
    <x v="3"/>
    <x v="1"/>
    <x v="2"/>
    <x v="2"/>
    <n v="36"/>
    <m/>
    <n v="0"/>
    <s v="Refund status or reversal timeline inquiry"/>
    <n v="491"/>
    <x v="1"/>
    <n v="0"/>
    <s v="Aug 2024"/>
    <n v="202408"/>
    <x v="18"/>
  </r>
  <r>
    <n v="3762722902"/>
    <n v="593559955"/>
    <s v="Shannon Bates"/>
    <s v="rburns@example.com"/>
    <n v="81498611"/>
    <n v="1112729226"/>
    <x v="457"/>
    <m/>
    <x v="6"/>
    <x v="0"/>
    <x v="3"/>
    <x v="2"/>
    <n v="33"/>
    <m/>
    <n v="0"/>
    <s v="Customer reported intermittent service and repeat disruptions"/>
    <n v="493"/>
    <x v="1"/>
    <n v="0"/>
    <s v="Nov 2025"/>
    <n v="202511"/>
    <x v="4"/>
  </r>
  <r>
    <n v="3770465710"/>
    <n v="130465806"/>
    <s v="Jenna Powell"/>
    <s v="fordkathryn@example.net"/>
    <n v="70897765"/>
    <m/>
    <x v="458"/>
    <m/>
    <x v="1"/>
    <x v="1"/>
    <x v="2"/>
    <x v="2"/>
    <n v="92"/>
    <m/>
    <n v="0"/>
    <s v="Refund status or reversal timeline inquiry"/>
    <n v="495"/>
    <x v="1"/>
    <n v="0"/>
    <s v="Dec 2024"/>
    <n v="202412"/>
    <x v="12"/>
  </r>
  <r>
    <n v="3838517397"/>
    <n v="830945329"/>
    <s v="Taylor Mullins"/>
    <s v="anthonydavis@example.net"/>
    <n v="89089901"/>
    <m/>
    <x v="459"/>
    <m/>
    <x v="3"/>
    <x v="2"/>
    <x v="3"/>
    <x v="2"/>
    <n v="10"/>
    <m/>
    <n v="0"/>
    <s v="Customer questioned invoice amount and prorated charges"/>
    <n v="505"/>
    <x v="1"/>
    <n v="0"/>
    <s v="Dec 2024"/>
    <n v="202412"/>
    <x v="12"/>
  </r>
  <r>
    <n v="3859898073"/>
    <n v="147036629"/>
    <s v="Kathleen Morton"/>
    <s v="jeanettekrause@example.org"/>
    <n v="52235350"/>
    <m/>
    <x v="460"/>
    <m/>
    <x v="0"/>
    <x v="3"/>
    <x v="0"/>
    <x v="2"/>
    <n v="3"/>
    <m/>
    <n v="0"/>
    <s v="Shipment or installation appointment delayed beyond ETA"/>
    <n v="508"/>
    <x v="1"/>
    <n v="0"/>
    <s v="Jan 2026"/>
    <n v="202601"/>
    <x v="0"/>
  </r>
  <r>
    <n v="3918101563"/>
    <n v="756998124"/>
    <s v="Pamela Matthews"/>
    <s v="kristine53@example.org"/>
    <n v="97971488"/>
    <n v="2117124041"/>
    <x v="461"/>
    <m/>
    <x v="1"/>
    <x v="1"/>
    <x v="0"/>
    <x v="2"/>
    <n v="1"/>
    <m/>
    <n v="0"/>
    <s v="Refund status or reversal timeline inquiry"/>
    <n v="511"/>
    <x v="1"/>
    <n v="0"/>
    <s v="Jan 2026"/>
    <n v="202601"/>
    <x v="0"/>
  </r>
  <r>
    <n v="4028598526"/>
    <n v="273910700"/>
    <s v="Margaret Lane"/>
    <s v="robinsontiffany@example.com"/>
    <n v="19289546"/>
    <m/>
    <x v="462"/>
    <d v="2024-07-31T15:22:00"/>
    <x v="2"/>
    <x v="3"/>
    <x v="2"/>
    <x v="2"/>
    <n v="17"/>
    <n v="980"/>
    <n v="0"/>
    <s v="Shipment or installation appointment delayed beyond ETA"/>
    <n v="528"/>
    <x v="1"/>
    <n v="0"/>
    <s v="Jul 2024"/>
    <n v="202407"/>
    <x v="23"/>
  </r>
  <r>
    <n v="4160236431"/>
    <n v="141127742"/>
    <s v="Krista Davis"/>
    <s v="laradonald@example.org"/>
    <n v="95320121"/>
    <m/>
    <x v="463"/>
    <m/>
    <x v="2"/>
    <x v="3"/>
    <x v="1"/>
    <x v="2"/>
    <n v="49"/>
    <m/>
    <n v="0"/>
    <s v="Shipment or installation appointment delayed beyond ETA"/>
    <n v="543"/>
    <x v="1"/>
    <n v="0"/>
    <s v="Apr 2025"/>
    <n v="202504"/>
    <x v="6"/>
  </r>
  <r>
    <n v="4165559286"/>
    <n v="473045064"/>
    <s v="Daniel Barrett"/>
    <s v="debra50@example.org"/>
    <n v="58966946"/>
    <n v="4990891827"/>
    <x v="464"/>
    <m/>
    <x v="5"/>
    <x v="2"/>
    <x v="1"/>
    <x v="2"/>
    <n v="54"/>
    <m/>
    <n v="0"/>
    <s v="Customer questioned invoice amount and prorated charges"/>
    <n v="544"/>
    <x v="1"/>
    <n v="0"/>
    <s v="Feb 2025"/>
    <n v="202502"/>
    <x v="14"/>
  </r>
  <r>
    <n v="4182666653"/>
    <n v="133436988"/>
    <s v="Dr. Douglas Ward MD"/>
    <s v="chloe48@example.com"/>
    <n v="88320463"/>
    <n v="1244313440"/>
    <x v="465"/>
    <m/>
    <x v="2"/>
    <x v="0"/>
    <x v="1"/>
    <x v="2"/>
    <n v="28"/>
    <m/>
    <n v="0"/>
    <s v="Customer reported intermittent service and repeat disruptions"/>
    <n v="546"/>
    <x v="1"/>
    <n v="0"/>
    <s v="Mar 2024"/>
    <n v="202403"/>
    <x v="15"/>
  </r>
  <r>
    <n v="4221741859"/>
    <n v="352889019"/>
    <s v="Timothy Davis"/>
    <s v="nvargas@example.net"/>
    <n v="23718431"/>
    <n v="5421658597"/>
    <x v="466"/>
    <m/>
    <x v="5"/>
    <x v="3"/>
    <x v="1"/>
    <x v="2"/>
    <n v="60"/>
    <m/>
    <n v="0"/>
    <s v="Shipment or installation appointment delayed beyond ETA"/>
    <n v="555"/>
    <x v="1"/>
    <n v="0"/>
    <s v="Apr 2024"/>
    <n v="202404"/>
    <x v="2"/>
  </r>
  <r>
    <n v="4244112571"/>
    <n v="304853117"/>
    <s v="Sonya Simmons"/>
    <s v="veronica30@example.org"/>
    <n v="46913810"/>
    <n v="1267698902"/>
    <x v="467"/>
    <d v="2026-02-14T05:45:06"/>
    <x v="4"/>
    <x v="4"/>
    <x v="3"/>
    <x v="2"/>
    <n v="35"/>
    <n v="1211"/>
    <n v="0"/>
    <s v="Login, OTP, or password reset issue"/>
    <n v="559"/>
    <x v="1"/>
    <n v="0"/>
    <s v="Feb 2026"/>
    <n v="202602"/>
    <x v="25"/>
  </r>
  <r>
    <n v="4307865456"/>
    <n v="664226794"/>
    <s v="Alice Robinson"/>
    <s v="garybernard@example.net"/>
    <n v="42329237"/>
    <m/>
    <x v="468"/>
    <m/>
    <x v="1"/>
    <x v="0"/>
    <x v="3"/>
    <x v="2"/>
    <n v="50"/>
    <m/>
    <n v="0"/>
    <s v="Customer reported intermittent service and repeat disruptions"/>
    <n v="570"/>
    <x v="1"/>
    <n v="0"/>
    <s v="Aug 2025"/>
    <n v="202508"/>
    <x v="22"/>
  </r>
  <r>
    <n v="4338996827"/>
    <n v="545492166"/>
    <s v="Leah Bell"/>
    <s v="imartin@example.org"/>
    <n v="45503389"/>
    <m/>
    <x v="469"/>
    <m/>
    <x v="3"/>
    <x v="2"/>
    <x v="0"/>
    <x v="2"/>
    <n v="38"/>
    <m/>
    <n v="0"/>
    <s v="Customer questioned invoice amount and prorated charges"/>
    <n v="578"/>
    <x v="1"/>
    <n v="0"/>
    <s v="Dec 2024"/>
    <n v="202412"/>
    <x v="12"/>
  </r>
  <r>
    <n v="4377346239"/>
    <n v="359779090"/>
    <s v="Michael Fox"/>
    <s v="abigailhartman@example.org"/>
    <n v="46913810"/>
    <m/>
    <x v="470"/>
    <m/>
    <x v="0"/>
    <x v="5"/>
    <x v="2"/>
    <x v="2"/>
    <n v="3"/>
    <m/>
    <n v="0"/>
    <s v="App, network, or device troubleshooting requested"/>
    <n v="583"/>
    <x v="1"/>
    <n v="0"/>
    <s v="Mar 2026"/>
    <n v="202603"/>
    <x v="10"/>
  </r>
  <r>
    <n v="4419354759"/>
    <n v="101679695"/>
    <s v="James Salinas"/>
    <s v="susan24@example.net"/>
    <n v="84252722"/>
    <m/>
    <x v="471"/>
    <m/>
    <x v="2"/>
    <x v="4"/>
    <x v="3"/>
    <x v="2"/>
    <n v="12"/>
    <m/>
    <n v="0"/>
    <s v="Login, OTP, or password reset issue"/>
    <n v="597"/>
    <x v="1"/>
    <n v="0"/>
    <s v="Nov 2024"/>
    <n v="202411"/>
    <x v="11"/>
  </r>
  <r>
    <n v="4486203607"/>
    <n v="187623171"/>
    <s v="Charles Hill"/>
    <s v="wrightcarolyn@example.net"/>
    <n v="58181396"/>
    <n v="7825337991"/>
    <x v="472"/>
    <m/>
    <x v="6"/>
    <x v="1"/>
    <x v="2"/>
    <x v="2"/>
    <n v="39"/>
    <m/>
    <n v="0"/>
    <s v="Refund status or reversal timeline inquiry"/>
    <n v="608"/>
    <x v="1"/>
    <n v="0"/>
    <s v="Nov 2024"/>
    <n v="202411"/>
    <x v="11"/>
  </r>
  <r>
    <n v="4514830868"/>
    <n v="511859868"/>
    <s v="Erik Hill"/>
    <s v="uwilliams@example.com"/>
    <n v="49392920"/>
    <m/>
    <x v="473"/>
    <d v="2026-01-12T21:15:26"/>
    <x v="5"/>
    <x v="2"/>
    <x v="0"/>
    <x v="2"/>
    <n v="23"/>
    <n v="882"/>
    <n v="0"/>
    <s v="Customer questioned invoice amount and prorated charges"/>
    <n v="613"/>
    <x v="1"/>
    <n v="0"/>
    <s v="Jan 2026"/>
    <n v="202601"/>
    <x v="0"/>
  </r>
  <r>
    <n v="4579402178"/>
    <n v="656307931"/>
    <s v="Grant Munoz"/>
    <s v="jacquelinealvarez@example.com"/>
    <n v="60929647"/>
    <n v="7834027827"/>
    <x v="474"/>
    <m/>
    <x v="0"/>
    <x v="2"/>
    <x v="2"/>
    <x v="2"/>
    <n v="20"/>
    <m/>
    <n v="0"/>
    <s v="Customer questioned invoice amount and prorated charges"/>
    <n v="626"/>
    <x v="1"/>
    <n v="0"/>
    <s v="Jan 2026"/>
    <n v="202601"/>
    <x v="0"/>
  </r>
  <r>
    <n v="4586437898"/>
    <n v="893112954"/>
    <s v="Tony Huerta"/>
    <s v="danielle64@example.com"/>
    <n v="12614124"/>
    <m/>
    <x v="475"/>
    <d v="2024-07-08T22:08:24"/>
    <x v="3"/>
    <x v="0"/>
    <x v="0"/>
    <x v="2"/>
    <n v="7"/>
    <n v="1169"/>
    <n v="0"/>
    <s v="Customer reported intermittent service and repeat disruptions"/>
    <n v="627"/>
    <x v="1"/>
    <n v="0"/>
    <s v="Jul 2024"/>
    <n v="202407"/>
    <x v="23"/>
  </r>
  <r>
    <n v="4684199646"/>
    <n v="835503313"/>
    <s v="Chris Garza"/>
    <s v="lynchlindsey@example.net"/>
    <n v="75579548"/>
    <n v="4688346804"/>
    <x v="476"/>
    <m/>
    <x v="4"/>
    <x v="0"/>
    <x v="0"/>
    <x v="2"/>
    <n v="6"/>
    <m/>
    <n v="0"/>
    <s v="Customer reported intermittent service and repeat disruptions"/>
    <n v="644"/>
    <x v="1"/>
    <n v="0"/>
    <s v="May 2025"/>
    <n v="202505"/>
    <x v="5"/>
  </r>
  <r>
    <n v="4930747947"/>
    <n v="903734960"/>
    <s v="Robert Kennedy"/>
    <s v="mullinsjames@example.com"/>
    <n v="41244663"/>
    <m/>
    <x v="477"/>
    <m/>
    <x v="6"/>
    <x v="0"/>
    <x v="0"/>
    <x v="2"/>
    <n v="35"/>
    <m/>
    <n v="0"/>
    <s v="Customer reported intermittent service and repeat disruptions"/>
    <n v="684"/>
    <x v="1"/>
    <n v="0"/>
    <s v="Oct 2025"/>
    <n v="202510"/>
    <x v="8"/>
  </r>
  <r>
    <n v="5021146805"/>
    <n v="278933456"/>
    <s v="Johnny Cruz"/>
    <s v="tburke@example.net"/>
    <n v="20570592"/>
    <m/>
    <x v="478"/>
    <m/>
    <x v="4"/>
    <x v="5"/>
    <x v="0"/>
    <x v="2"/>
    <n v="35"/>
    <m/>
    <n v="0"/>
    <s v="App, network, or device troubleshooting requested"/>
    <n v="699"/>
    <x v="1"/>
    <n v="0"/>
    <s v="Apr 2025"/>
    <n v="202504"/>
    <x v="6"/>
  </r>
  <r>
    <n v="5030218650"/>
    <n v="341096660"/>
    <s v="Antonio Mccormick"/>
    <s v="courtney86@example.com"/>
    <n v="31931511"/>
    <n v="4910446704"/>
    <x v="479"/>
    <m/>
    <x v="2"/>
    <x v="0"/>
    <x v="1"/>
    <x v="2"/>
    <n v="80"/>
    <m/>
    <n v="0"/>
    <s v="Customer reported intermittent service and repeat disruptions"/>
    <n v="701"/>
    <x v="1"/>
    <n v="0"/>
    <s v="Feb 2025"/>
    <n v="202502"/>
    <x v="14"/>
  </r>
  <r>
    <n v="5067996808"/>
    <n v="609587361"/>
    <s v="Michael Jones"/>
    <s v="bakerstacy@example.com"/>
    <n v="16150444"/>
    <m/>
    <x v="480"/>
    <d v="2025-03-14T15:10:22"/>
    <x v="6"/>
    <x v="3"/>
    <x v="2"/>
    <x v="2"/>
    <n v="71"/>
    <n v="1410"/>
    <n v="0"/>
    <s v="Shipment or installation appointment delayed beyond ETA"/>
    <n v="707"/>
    <x v="1"/>
    <n v="0"/>
    <s v="Mar 2025"/>
    <n v="202503"/>
    <x v="20"/>
  </r>
  <r>
    <n v="5140386115"/>
    <n v="447464644"/>
    <s v="Brett Newman"/>
    <s v="patriciagrant@example.net"/>
    <n v="45935572"/>
    <m/>
    <x v="481"/>
    <m/>
    <x v="4"/>
    <x v="2"/>
    <x v="3"/>
    <x v="2"/>
    <n v="14"/>
    <m/>
    <n v="0"/>
    <s v="Customer questioned invoice amount and prorated charges"/>
    <n v="717"/>
    <x v="1"/>
    <n v="0"/>
    <s v="Oct 2024"/>
    <n v="202410"/>
    <x v="1"/>
  </r>
  <r>
    <n v="5163217597"/>
    <n v="474524558"/>
    <s v="Todd Lewis"/>
    <s v="katrinaking@example.com"/>
    <n v="49349722"/>
    <n v="5830513583"/>
    <x v="482"/>
    <m/>
    <x v="6"/>
    <x v="0"/>
    <x v="2"/>
    <x v="2"/>
    <n v="81"/>
    <m/>
    <n v="0"/>
    <s v="Customer reported intermittent service and repeat disruptions"/>
    <n v="723"/>
    <x v="1"/>
    <n v="0"/>
    <s v="Apr 2025"/>
    <n v="202504"/>
    <x v="6"/>
  </r>
  <r>
    <n v="5231055228"/>
    <n v="391126537"/>
    <s v="Diana Huffman"/>
    <s v="trevormorgan@example.com"/>
    <n v="31227574"/>
    <m/>
    <x v="483"/>
    <m/>
    <x v="5"/>
    <x v="3"/>
    <x v="3"/>
    <x v="2"/>
    <n v="24"/>
    <m/>
    <n v="0"/>
    <s v="Shipment or installation appointment delayed beyond ETA"/>
    <n v="738"/>
    <x v="1"/>
    <n v="0"/>
    <s v="Apr 2024"/>
    <n v="202404"/>
    <x v="2"/>
  </r>
  <r>
    <n v="5267587298"/>
    <n v="366200875"/>
    <s v="Brandon Stewart"/>
    <s v="wangkristina@example.org"/>
    <n v="14265799"/>
    <n v="1818503364"/>
    <x v="484"/>
    <m/>
    <x v="2"/>
    <x v="4"/>
    <x v="2"/>
    <x v="2"/>
    <n v="45"/>
    <m/>
    <n v="0"/>
    <s v="Login, OTP, or password reset issue"/>
    <n v="745"/>
    <x v="1"/>
    <n v="0"/>
    <s v="Jun 2024"/>
    <n v="202406"/>
    <x v="26"/>
  </r>
  <r>
    <n v="5321195124"/>
    <n v="178954113"/>
    <s v="Courtney Garcia"/>
    <s v="john76@example.com"/>
    <n v="66792612"/>
    <n v="1851049558"/>
    <x v="485"/>
    <m/>
    <x v="0"/>
    <x v="3"/>
    <x v="1"/>
    <x v="2"/>
    <n v="86"/>
    <m/>
    <n v="0"/>
    <s v="Shipment or installation appointment delayed beyond ETA"/>
    <n v="759"/>
    <x v="1"/>
    <n v="0"/>
    <s v="Feb 2026"/>
    <n v="202602"/>
    <x v="25"/>
  </r>
  <r>
    <n v="5380536374"/>
    <n v="154337019"/>
    <s v="Kelly Welch"/>
    <s v="ltaylor@example.com"/>
    <n v="58537831"/>
    <n v="4153232553"/>
    <x v="486"/>
    <m/>
    <x v="6"/>
    <x v="3"/>
    <x v="2"/>
    <x v="2"/>
    <n v="6"/>
    <m/>
    <n v="0"/>
    <s v="Shipment or installation appointment delayed beyond ETA"/>
    <n v="777"/>
    <x v="1"/>
    <n v="0"/>
    <s v="Nov 2025"/>
    <n v="202511"/>
    <x v="4"/>
  </r>
  <r>
    <n v="5455048748"/>
    <n v="835172306"/>
    <s v="Alejandra Price"/>
    <s v="elizabeth51@example.org"/>
    <n v="71662963"/>
    <n v="7519795910"/>
    <x v="487"/>
    <m/>
    <x v="4"/>
    <x v="0"/>
    <x v="2"/>
    <x v="2"/>
    <n v="1"/>
    <m/>
    <n v="0"/>
    <s v="Customer reported intermittent service and repeat disruptions"/>
    <n v="792"/>
    <x v="1"/>
    <n v="0"/>
    <s v="Oct 2025"/>
    <n v="202510"/>
    <x v="8"/>
  </r>
  <r>
    <n v="5480792737"/>
    <n v="928917719"/>
    <s v="Chad Rojas"/>
    <s v="nathanjohnson@example.org"/>
    <n v="58966946"/>
    <n v="5747218802"/>
    <x v="488"/>
    <m/>
    <x v="0"/>
    <x v="2"/>
    <x v="2"/>
    <x v="2"/>
    <n v="8"/>
    <m/>
    <n v="0"/>
    <s v="Customer questioned invoice amount and prorated charges"/>
    <n v="799"/>
    <x v="1"/>
    <n v="0"/>
    <s v="Mar 2024"/>
    <n v="202403"/>
    <x v="15"/>
  </r>
  <r>
    <n v="5487826809"/>
    <n v="410315830"/>
    <s v="Toni Moreno"/>
    <s v="ingramjessica@example.com"/>
    <n v="40742311"/>
    <m/>
    <x v="489"/>
    <m/>
    <x v="5"/>
    <x v="5"/>
    <x v="3"/>
    <x v="2"/>
    <n v="74"/>
    <m/>
    <n v="0"/>
    <s v="App, network, or device troubleshooting requested"/>
    <n v="800"/>
    <x v="1"/>
    <n v="0"/>
    <s v="Mar 2025"/>
    <n v="202503"/>
    <x v="20"/>
  </r>
  <r>
    <n v="5497533469"/>
    <n v="605288784"/>
    <s v="Chad Brady"/>
    <s v="tiffany62@example.org"/>
    <n v="81182864"/>
    <m/>
    <x v="490"/>
    <m/>
    <x v="5"/>
    <x v="2"/>
    <x v="3"/>
    <x v="2"/>
    <n v="29"/>
    <m/>
    <n v="0"/>
    <s v="Customer questioned invoice amount and prorated charges"/>
    <n v="804"/>
    <x v="1"/>
    <n v="0"/>
    <s v="Feb 2026"/>
    <n v="202602"/>
    <x v="25"/>
  </r>
  <r>
    <n v="5682080072"/>
    <n v="797460535"/>
    <s v="Juan Jones"/>
    <s v="russelljesus@example.org"/>
    <n v="81971316"/>
    <m/>
    <x v="491"/>
    <d v="2024-03-19T10:14:35"/>
    <x v="2"/>
    <x v="1"/>
    <x v="1"/>
    <x v="2"/>
    <n v="27"/>
    <n v="240"/>
    <n v="0"/>
    <s v="Refund status or reversal timeline inquiry"/>
    <n v="833"/>
    <x v="1"/>
    <n v="0"/>
    <s v="Mar 2024"/>
    <n v="202403"/>
    <x v="15"/>
  </r>
  <r>
    <n v="5693308941"/>
    <n v="788460744"/>
    <s v="Cheryl Adams"/>
    <s v="russojacob@example.net"/>
    <n v="61220073"/>
    <m/>
    <x v="492"/>
    <m/>
    <x v="0"/>
    <x v="5"/>
    <x v="1"/>
    <x v="2"/>
    <n v="46"/>
    <m/>
    <n v="0"/>
    <s v="App, network, or device troubleshooting requested"/>
    <n v="835"/>
    <x v="1"/>
    <n v="0"/>
    <s v="Aug 2025"/>
    <n v="202508"/>
    <x v="22"/>
  </r>
  <r>
    <n v="5843504590"/>
    <n v="634047267"/>
    <s v="David Hudson"/>
    <s v="xcohen@example.org"/>
    <n v="19335534"/>
    <m/>
    <x v="493"/>
    <m/>
    <x v="2"/>
    <x v="5"/>
    <x v="2"/>
    <x v="2"/>
    <n v="69"/>
    <m/>
    <n v="0"/>
    <s v="App, network, or device troubleshooting requested"/>
    <n v="861"/>
    <x v="1"/>
    <n v="0"/>
    <s v="Jun 2025"/>
    <n v="202506"/>
    <x v="19"/>
  </r>
  <r>
    <n v="5870220303"/>
    <n v="647301347"/>
    <s v="Kevin Morris"/>
    <s v="martinezmindy@example.net"/>
    <n v="17507864"/>
    <m/>
    <x v="494"/>
    <m/>
    <x v="0"/>
    <x v="5"/>
    <x v="0"/>
    <x v="2"/>
    <n v="30"/>
    <m/>
    <n v="0"/>
    <s v="App, network, or device troubleshooting requested"/>
    <n v="864"/>
    <x v="1"/>
    <n v="0"/>
    <s v="Apr 2025"/>
    <n v="202504"/>
    <x v="6"/>
  </r>
  <r>
    <n v="5874683426"/>
    <n v="559242868"/>
    <s v="Elizabeth Miller"/>
    <s v="jacob69@example.org"/>
    <n v="66306997"/>
    <m/>
    <x v="495"/>
    <m/>
    <x v="4"/>
    <x v="4"/>
    <x v="0"/>
    <x v="2"/>
    <n v="19"/>
    <m/>
    <n v="0"/>
    <s v="Login, OTP, or password reset issue"/>
    <n v="867"/>
    <x v="1"/>
    <n v="0"/>
    <s v="Nov 2025"/>
    <n v="202511"/>
    <x v="4"/>
  </r>
  <r>
    <n v="5876372381"/>
    <n v="797889971"/>
    <s v="Sharon Ayala"/>
    <s v="mark87@example.org"/>
    <n v="75579548"/>
    <m/>
    <x v="496"/>
    <m/>
    <x v="2"/>
    <x v="0"/>
    <x v="0"/>
    <x v="2"/>
    <n v="41"/>
    <m/>
    <n v="0"/>
    <s v="Customer reported intermittent service and repeat disruptions"/>
    <n v="868"/>
    <x v="1"/>
    <n v="0"/>
    <s v="Mar 2026"/>
    <n v="202603"/>
    <x v="10"/>
  </r>
  <r>
    <n v="5878838809"/>
    <n v="644725317"/>
    <s v="Christina Cochran"/>
    <s v="susanharper@example.org"/>
    <n v="73791320"/>
    <n v="7664019331"/>
    <x v="497"/>
    <m/>
    <x v="1"/>
    <x v="4"/>
    <x v="1"/>
    <x v="2"/>
    <n v="61"/>
    <m/>
    <n v="0"/>
    <s v="Login, OTP, or password reset issue"/>
    <n v="869"/>
    <x v="1"/>
    <n v="0"/>
    <s v="Jul 2024"/>
    <n v="202407"/>
    <x v="23"/>
  </r>
  <r>
    <n v="5887450229"/>
    <n v="383975609"/>
    <s v="Craig Wise"/>
    <s v="davisgregory@example.net"/>
    <n v="30514014"/>
    <n v="9446034734"/>
    <x v="498"/>
    <m/>
    <x v="2"/>
    <x v="0"/>
    <x v="3"/>
    <x v="2"/>
    <n v="35"/>
    <m/>
    <n v="0"/>
    <s v="Customer reported intermittent service and repeat disruptions"/>
    <n v="871"/>
    <x v="1"/>
    <n v="0"/>
    <s v="Mar 2025"/>
    <n v="202503"/>
    <x v="20"/>
  </r>
  <r>
    <n v="5901185070"/>
    <n v="179189225"/>
    <s v="Betty Williams"/>
    <s v="bauerheather@example.net"/>
    <n v="45575298"/>
    <n v="8806099647"/>
    <x v="499"/>
    <m/>
    <x v="3"/>
    <x v="3"/>
    <x v="0"/>
    <x v="2"/>
    <n v="5"/>
    <m/>
    <n v="0"/>
    <s v="Shipment or installation appointment delayed beyond ETA"/>
    <n v="874"/>
    <x v="1"/>
    <n v="0"/>
    <s v="Dec 2024"/>
    <n v="202412"/>
    <x v="12"/>
  </r>
  <r>
    <n v="5954280353"/>
    <n v="583564328"/>
    <s v="Jason Johnson"/>
    <s v="qatkinson@example.com"/>
    <n v="45812670"/>
    <m/>
    <x v="500"/>
    <m/>
    <x v="6"/>
    <x v="5"/>
    <x v="2"/>
    <x v="2"/>
    <n v="3"/>
    <m/>
    <n v="0"/>
    <s v="App, network, or device troubleshooting requested"/>
    <n v="879"/>
    <x v="1"/>
    <n v="0"/>
    <s v="Apr 2024"/>
    <n v="202404"/>
    <x v="2"/>
  </r>
  <r>
    <n v="5967304697"/>
    <n v="796091085"/>
    <s v="Stephanie Combs"/>
    <s v="kellyadam@example.net"/>
    <n v="35808537"/>
    <m/>
    <x v="501"/>
    <d v="2024-09-15T00:49:45"/>
    <x v="4"/>
    <x v="4"/>
    <x v="0"/>
    <x v="2"/>
    <n v="52"/>
    <n v="1042"/>
    <n v="0"/>
    <s v="Login, OTP, or password reset issue"/>
    <n v="884"/>
    <x v="1"/>
    <n v="0"/>
    <s v="Sep 2024"/>
    <n v="202409"/>
    <x v="3"/>
  </r>
  <r>
    <n v="6299302677"/>
    <n v="202418976"/>
    <s v="Matthew Dougherty"/>
    <s v="colemancassandra@example.org"/>
    <n v="90388981"/>
    <m/>
    <x v="502"/>
    <m/>
    <x v="3"/>
    <x v="5"/>
    <x v="2"/>
    <x v="2"/>
    <n v="51"/>
    <m/>
    <n v="0"/>
    <s v="App, network, or device troubleshooting requested"/>
    <n v="942"/>
    <x v="1"/>
    <n v="0"/>
    <s v="Feb 2026"/>
    <n v="202602"/>
    <x v="25"/>
  </r>
  <r>
    <n v="6309386587"/>
    <n v="366338529"/>
    <s v="William Brandt"/>
    <s v="donaldmartin@example.net"/>
    <n v="47338124"/>
    <m/>
    <x v="503"/>
    <m/>
    <x v="3"/>
    <x v="4"/>
    <x v="2"/>
    <x v="2"/>
    <n v="28"/>
    <m/>
    <n v="0"/>
    <s v="Login, OTP, or password reset issue"/>
    <n v="945"/>
    <x v="1"/>
    <n v="0"/>
    <s v="Mar 2026"/>
    <n v="202603"/>
    <x v="10"/>
  </r>
  <r>
    <n v="6310493848"/>
    <n v="930071496"/>
    <s v="Kenneth Cooper Jr."/>
    <s v="sethvance@example.net"/>
    <n v="96282117"/>
    <m/>
    <x v="504"/>
    <m/>
    <x v="6"/>
    <x v="1"/>
    <x v="2"/>
    <x v="2"/>
    <n v="44"/>
    <m/>
    <n v="0"/>
    <s v="Refund status or reversal timeline inquiry"/>
    <n v="946"/>
    <x v="1"/>
    <n v="0"/>
    <s v="Jun 2024"/>
    <n v="202406"/>
    <x v="26"/>
  </r>
  <r>
    <n v="6403125657"/>
    <n v="374796224"/>
    <s v="Rhonda Martinez"/>
    <s v="rmiller@example.com"/>
    <n v="51273847"/>
    <m/>
    <x v="505"/>
    <m/>
    <x v="3"/>
    <x v="2"/>
    <x v="0"/>
    <x v="2"/>
    <n v="13"/>
    <m/>
    <n v="0"/>
    <s v="Customer questioned invoice amount and prorated charges"/>
    <n v="961"/>
    <x v="1"/>
    <n v="0"/>
    <s v="Mar 2024"/>
    <n v="202403"/>
    <x v="15"/>
  </r>
  <r>
    <n v="6551405716"/>
    <n v="188703430"/>
    <s v="Allison Gibson"/>
    <s v="morgansullivan@example.com"/>
    <n v="22201654"/>
    <m/>
    <x v="506"/>
    <d v="2024-09-01T09:25:57"/>
    <x v="5"/>
    <x v="1"/>
    <x v="2"/>
    <x v="2"/>
    <n v="33"/>
    <n v="728"/>
    <n v="0"/>
    <s v="Refund status or reversal timeline inquiry"/>
    <n v="979"/>
    <x v="1"/>
    <n v="0"/>
    <s v="Aug 2024"/>
    <n v="202408"/>
    <x v="18"/>
  </r>
  <r>
    <n v="6788039585"/>
    <n v="817490291"/>
    <s v="Heather Parrish"/>
    <s v="msparks@example.org"/>
    <n v="91756179"/>
    <m/>
    <x v="507"/>
    <m/>
    <x v="4"/>
    <x v="3"/>
    <x v="3"/>
    <x v="2"/>
    <n v="80"/>
    <m/>
    <n v="0"/>
    <s v="Shipment or installation appointment delayed beyond ETA"/>
    <n v="1007"/>
    <x v="1"/>
    <n v="0"/>
    <s v="Jul 2025"/>
    <n v="202507"/>
    <x v="13"/>
  </r>
  <r>
    <n v="6930579497"/>
    <n v="271092615"/>
    <s v="Mary Hill"/>
    <s v="ogeorge@example.com"/>
    <n v="24716857"/>
    <m/>
    <x v="508"/>
    <m/>
    <x v="2"/>
    <x v="2"/>
    <x v="1"/>
    <x v="2"/>
    <n v="27"/>
    <m/>
    <n v="0"/>
    <s v="Customer questioned invoice amount and prorated charges"/>
    <n v="1020"/>
    <x v="1"/>
    <n v="0"/>
    <s v="May 2024"/>
    <n v="202405"/>
    <x v="24"/>
  </r>
  <r>
    <n v="6973394281"/>
    <n v="341449138"/>
    <s v="Danielle Lee"/>
    <s v="allisonbrown@example.com"/>
    <n v="30513739"/>
    <m/>
    <x v="509"/>
    <m/>
    <x v="6"/>
    <x v="4"/>
    <x v="2"/>
    <x v="2"/>
    <n v="31"/>
    <m/>
    <n v="0"/>
    <s v="Login, OTP, or password reset issue"/>
    <n v="1023"/>
    <x v="1"/>
    <n v="0"/>
    <s v="Jul 2024"/>
    <n v="202407"/>
    <x v="23"/>
  </r>
  <r>
    <n v="7012843640"/>
    <n v="960345542"/>
    <s v="Steven West"/>
    <s v="rbennett@example.net"/>
    <n v="38317637"/>
    <m/>
    <x v="510"/>
    <m/>
    <x v="4"/>
    <x v="3"/>
    <x v="3"/>
    <x v="2"/>
    <n v="25"/>
    <m/>
    <n v="0"/>
    <s v="Shipment or installation appointment delayed beyond ETA"/>
    <n v="1034"/>
    <x v="1"/>
    <n v="0"/>
    <s v="Dec 2025"/>
    <n v="202512"/>
    <x v="21"/>
  </r>
  <r>
    <n v="7037126743"/>
    <n v="874305759"/>
    <s v="Kyle Wood"/>
    <s v="srogers@example.org"/>
    <n v="82394227"/>
    <m/>
    <x v="511"/>
    <m/>
    <x v="3"/>
    <x v="3"/>
    <x v="2"/>
    <x v="2"/>
    <n v="39"/>
    <m/>
    <n v="0"/>
    <s v="Shipment or installation appointment delayed beyond ETA"/>
    <n v="1040"/>
    <x v="1"/>
    <n v="0"/>
    <s v="Jun 2025"/>
    <n v="202506"/>
    <x v="19"/>
  </r>
  <r>
    <n v="7139154182"/>
    <n v="442863363"/>
    <s v="Kimberly Ellison"/>
    <s v="fitzgeraldlaura@example.org"/>
    <n v="91030736"/>
    <n v="3484110392"/>
    <x v="512"/>
    <d v="2024-05-22T20:33:05"/>
    <x v="0"/>
    <x v="2"/>
    <x v="1"/>
    <x v="2"/>
    <n v="42"/>
    <n v="832"/>
    <n v="0"/>
    <s v="Customer questioned invoice amount and prorated charges"/>
    <n v="1051"/>
    <x v="1"/>
    <n v="0"/>
    <s v="May 2024"/>
    <n v="202405"/>
    <x v="24"/>
  </r>
  <r>
    <n v="7232435041"/>
    <n v="839393192"/>
    <s v="Nathan Jones"/>
    <s v="stephanie67@example.net"/>
    <n v="39436733"/>
    <n v="5924562641"/>
    <x v="513"/>
    <m/>
    <x v="0"/>
    <x v="1"/>
    <x v="0"/>
    <x v="2"/>
    <n v="61"/>
    <m/>
    <n v="0"/>
    <s v="Refund status or reversal timeline inquiry"/>
    <n v="1067"/>
    <x v="1"/>
    <n v="0"/>
    <s v="Jan 2025"/>
    <n v="202501"/>
    <x v="16"/>
  </r>
  <r>
    <n v="7399912515"/>
    <n v="112279027"/>
    <s v="Lindsey Sanchez"/>
    <s v="marthaduffy@example.com"/>
    <n v="36697396"/>
    <m/>
    <x v="514"/>
    <m/>
    <x v="0"/>
    <x v="3"/>
    <x v="2"/>
    <x v="2"/>
    <n v="28"/>
    <m/>
    <n v="0"/>
    <s v="Shipment or installation appointment delayed beyond ETA"/>
    <n v="1090"/>
    <x v="1"/>
    <n v="0"/>
    <s v="Sep 2025"/>
    <n v="202509"/>
    <x v="9"/>
  </r>
  <r>
    <n v="7411008763"/>
    <n v="689274064"/>
    <s v="Richard Warren"/>
    <s v="thompsonnancy@example.org"/>
    <n v="28740864"/>
    <m/>
    <x v="515"/>
    <d v="2025-07-05T02:53:03"/>
    <x v="2"/>
    <x v="5"/>
    <x v="1"/>
    <x v="2"/>
    <n v="84"/>
    <n v="863"/>
    <n v="0"/>
    <s v="App, network, or device troubleshooting requested"/>
    <n v="1091"/>
    <x v="1"/>
    <n v="0"/>
    <s v="Jul 2025"/>
    <n v="202507"/>
    <x v="13"/>
  </r>
  <r>
    <n v="7537228950"/>
    <n v="768737754"/>
    <s v="Peggy Carr"/>
    <s v="timothyfreeman@example.com"/>
    <n v="33978249"/>
    <m/>
    <x v="516"/>
    <m/>
    <x v="2"/>
    <x v="5"/>
    <x v="2"/>
    <x v="2"/>
    <n v="56"/>
    <m/>
    <n v="0"/>
    <s v="App, network, or device troubleshooting requested"/>
    <n v="1113"/>
    <x v="1"/>
    <n v="0"/>
    <s v="Jun 2024"/>
    <n v="202406"/>
    <x v="26"/>
  </r>
  <r>
    <n v="7575072878"/>
    <n v="514642708"/>
    <s v="Megan Jones"/>
    <s v="bishopfrank@example.com"/>
    <n v="22575562"/>
    <m/>
    <x v="517"/>
    <m/>
    <x v="4"/>
    <x v="4"/>
    <x v="0"/>
    <x v="2"/>
    <n v="8"/>
    <m/>
    <n v="0"/>
    <s v="Login, OTP, or password reset issue"/>
    <n v="1120"/>
    <x v="1"/>
    <n v="0"/>
    <s v="Apr 2025"/>
    <n v="202504"/>
    <x v="6"/>
  </r>
  <r>
    <n v="7575233522"/>
    <n v="490102359"/>
    <s v="Curtis Torres"/>
    <s v="melaniejennings@example.com"/>
    <n v="95320121"/>
    <n v="7671347646"/>
    <x v="518"/>
    <m/>
    <x v="6"/>
    <x v="4"/>
    <x v="3"/>
    <x v="2"/>
    <n v="27"/>
    <m/>
    <n v="0"/>
    <s v="Login, OTP, or password reset issue"/>
    <n v="1121"/>
    <x v="1"/>
    <n v="0"/>
    <s v="Dec 2024"/>
    <n v="202412"/>
    <x v="12"/>
  </r>
  <r>
    <n v="7610991332"/>
    <n v="249117905"/>
    <s v="Paul Sweeney"/>
    <s v="georgekyle@example.net"/>
    <n v="35808537"/>
    <n v="1848411797"/>
    <x v="519"/>
    <d v="2026-01-06T11:27:06"/>
    <x v="4"/>
    <x v="0"/>
    <x v="2"/>
    <x v="2"/>
    <n v="6"/>
    <n v="726"/>
    <n v="0"/>
    <s v="Customer reported intermittent service and repeat disruptions"/>
    <n v="1125"/>
    <x v="1"/>
    <n v="0"/>
    <s v="Jan 2026"/>
    <n v="202601"/>
    <x v="0"/>
  </r>
  <r>
    <n v="7669220569"/>
    <n v="198476695"/>
    <s v="Tina Hall"/>
    <s v="lsoto@example.net"/>
    <n v="97971488"/>
    <n v="7367038689"/>
    <x v="520"/>
    <m/>
    <x v="3"/>
    <x v="5"/>
    <x v="0"/>
    <x v="2"/>
    <n v="21"/>
    <m/>
    <n v="0"/>
    <s v="App, network, or device troubleshooting requested"/>
    <n v="1140"/>
    <x v="1"/>
    <n v="0"/>
    <s v="May 2025"/>
    <n v="202505"/>
    <x v="5"/>
  </r>
  <r>
    <n v="7747720341"/>
    <n v="756102581"/>
    <s v="Zachary Johnson"/>
    <s v="dhansen@example.com"/>
    <n v="96977837"/>
    <m/>
    <x v="521"/>
    <m/>
    <x v="3"/>
    <x v="4"/>
    <x v="2"/>
    <x v="2"/>
    <n v="64"/>
    <m/>
    <n v="0"/>
    <s v="Login, OTP, or password reset issue"/>
    <n v="1149"/>
    <x v="1"/>
    <n v="0"/>
    <s v="Dec 2024"/>
    <n v="202412"/>
    <x v="12"/>
  </r>
  <r>
    <n v="7813467952"/>
    <n v="245737277"/>
    <s v="Shane Torres"/>
    <s v="porterdonna@example.com"/>
    <n v="47295260"/>
    <n v="1241941984"/>
    <x v="522"/>
    <m/>
    <x v="1"/>
    <x v="4"/>
    <x v="2"/>
    <x v="2"/>
    <n v="84"/>
    <m/>
    <n v="0"/>
    <s v="Login, OTP, or password reset issue"/>
    <n v="1160"/>
    <x v="1"/>
    <n v="0"/>
    <s v="Oct 2025"/>
    <n v="202510"/>
    <x v="8"/>
  </r>
  <r>
    <n v="7838770471"/>
    <n v="438868427"/>
    <s v="Elizabeth Warren"/>
    <s v="danielglover@example.org"/>
    <n v="42329237"/>
    <m/>
    <x v="523"/>
    <m/>
    <x v="1"/>
    <x v="2"/>
    <x v="3"/>
    <x v="2"/>
    <n v="54"/>
    <m/>
    <n v="0"/>
    <s v="Customer questioned invoice amount and prorated charges"/>
    <n v="1164"/>
    <x v="1"/>
    <n v="0"/>
    <s v="Jul 2025"/>
    <n v="202507"/>
    <x v="13"/>
  </r>
  <r>
    <n v="7851714074"/>
    <n v="609912042"/>
    <s v="Shelly Gonzalez"/>
    <s v="marissa39@example.com"/>
    <n v="67503414"/>
    <m/>
    <x v="524"/>
    <m/>
    <x v="2"/>
    <x v="3"/>
    <x v="1"/>
    <x v="2"/>
    <n v="65"/>
    <m/>
    <n v="0"/>
    <s v="Shipment or installation appointment delayed beyond ETA"/>
    <n v="1166"/>
    <x v="1"/>
    <n v="0"/>
    <s v="Dec 2025"/>
    <n v="202512"/>
    <x v="21"/>
  </r>
  <r>
    <n v="8125872890"/>
    <n v="843102880"/>
    <s v="Michelle Salazar"/>
    <s v="burtonkimberly@example.com"/>
    <n v="13356886"/>
    <n v="6583130018"/>
    <x v="525"/>
    <m/>
    <x v="6"/>
    <x v="4"/>
    <x v="0"/>
    <x v="2"/>
    <n v="65"/>
    <m/>
    <n v="0"/>
    <s v="Login, OTP, or password reset issue"/>
    <n v="1199"/>
    <x v="1"/>
    <n v="0"/>
    <s v="Dec 2024"/>
    <n v="202412"/>
    <x v="12"/>
  </r>
  <r>
    <n v="8168025371"/>
    <n v="206389694"/>
    <s v="Scott Jackson"/>
    <s v="jonathangarcia@example.net"/>
    <n v="31682744"/>
    <m/>
    <x v="526"/>
    <m/>
    <x v="5"/>
    <x v="2"/>
    <x v="0"/>
    <x v="2"/>
    <n v="35"/>
    <m/>
    <n v="0"/>
    <s v="Customer questioned invoice amount and prorated charges"/>
    <n v="1206"/>
    <x v="1"/>
    <n v="0"/>
    <s v="Oct 2024"/>
    <n v="202410"/>
    <x v="1"/>
  </r>
  <r>
    <n v="8250825687"/>
    <n v="627422192"/>
    <s v="Jacob Jimenez"/>
    <s v="patrick27@example.org"/>
    <n v="60929647"/>
    <m/>
    <x v="527"/>
    <m/>
    <x v="1"/>
    <x v="0"/>
    <x v="2"/>
    <x v="2"/>
    <n v="35"/>
    <m/>
    <n v="0"/>
    <s v="Customer reported intermittent service and repeat disruptions"/>
    <n v="1221"/>
    <x v="1"/>
    <n v="0"/>
    <s v="Oct 2024"/>
    <n v="202410"/>
    <x v="1"/>
  </r>
  <r>
    <n v="8388219280"/>
    <n v="946237594"/>
    <s v="Adam Russell"/>
    <s v="victoriadurham@example.com"/>
    <n v="56164955"/>
    <n v="7482301234"/>
    <x v="528"/>
    <d v="2025-03-29T20:47:05"/>
    <x v="3"/>
    <x v="2"/>
    <x v="2"/>
    <x v="2"/>
    <n v="42"/>
    <n v="1445"/>
    <n v="0"/>
    <s v="Customer questioned invoice amount and prorated charges"/>
    <n v="1235"/>
    <x v="1"/>
    <n v="0"/>
    <s v="Mar 2025"/>
    <n v="202503"/>
    <x v="20"/>
  </r>
  <r>
    <n v="8460847069"/>
    <n v="240409084"/>
    <s v="Nancy Quinn"/>
    <s v="simmonschris@example.org"/>
    <n v="49349722"/>
    <n v="2075819942"/>
    <x v="529"/>
    <d v="2024-05-16T12:13:01"/>
    <x v="2"/>
    <x v="0"/>
    <x v="3"/>
    <x v="2"/>
    <n v="17"/>
    <n v="156"/>
    <n v="0"/>
    <s v="Customer reported intermittent service and repeat disruptions"/>
    <n v="1249"/>
    <x v="1"/>
    <n v="0"/>
    <s v="May 2024"/>
    <n v="202405"/>
    <x v="24"/>
  </r>
  <r>
    <n v="8478607503"/>
    <n v="541156077"/>
    <s v="Kevin Thomas"/>
    <s v="kyle62@example.net"/>
    <n v="13999315"/>
    <m/>
    <x v="530"/>
    <m/>
    <x v="4"/>
    <x v="5"/>
    <x v="2"/>
    <x v="2"/>
    <n v="28"/>
    <m/>
    <n v="0"/>
    <s v="App, network, or device troubleshooting requested"/>
    <n v="1251"/>
    <x v="1"/>
    <n v="0"/>
    <s v="Jan 2026"/>
    <n v="202601"/>
    <x v="0"/>
  </r>
  <r>
    <n v="8492178772"/>
    <n v="144232045"/>
    <s v="Christina Taylor"/>
    <s v="kevinmiller@example.net"/>
    <n v="42868828"/>
    <m/>
    <x v="531"/>
    <m/>
    <x v="6"/>
    <x v="0"/>
    <x v="0"/>
    <x v="2"/>
    <n v="26"/>
    <m/>
    <n v="0"/>
    <s v="Customer reported intermittent service and repeat disruptions"/>
    <n v="1254"/>
    <x v="1"/>
    <n v="0"/>
    <s v="Dec 2025"/>
    <n v="202512"/>
    <x v="21"/>
  </r>
  <r>
    <n v="8548658258"/>
    <n v="683246764"/>
    <s v="Susan Price"/>
    <s v="wilsontina@example.com"/>
    <n v="25374874"/>
    <m/>
    <x v="532"/>
    <m/>
    <x v="1"/>
    <x v="3"/>
    <x v="0"/>
    <x v="2"/>
    <n v="42"/>
    <m/>
    <n v="0"/>
    <s v="Shipment or installation appointment delayed beyond ETA"/>
    <n v="1268"/>
    <x v="1"/>
    <n v="0"/>
    <s v="Feb 2025"/>
    <n v="202502"/>
    <x v="14"/>
  </r>
  <r>
    <n v="8608515791"/>
    <n v="933397627"/>
    <s v="Tara Myers"/>
    <s v="kaitlynanderson@example.net"/>
    <n v="66792612"/>
    <n v="6975857369"/>
    <x v="533"/>
    <d v="2025-03-01T04:23:13"/>
    <x v="1"/>
    <x v="1"/>
    <x v="1"/>
    <x v="2"/>
    <n v="53"/>
    <n v="845"/>
    <n v="0"/>
    <s v="Refund status or reversal timeline inquiry"/>
    <n v="1283"/>
    <x v="1"/>
    <n v="0"/>
    <s v="Feb 2025"/>
    <n v="202502"/>
    <x v="14"/>
  </r>
  <r>
    <n v="8609401630"/>
    <n v="515156661"/>
    <s v="Amanda Wilson"/>
    <s v="ibentley@example.org"/>
    <n v="66722344"/>
    <n v="8636756590"/>
    <x v="534"/>
    <m/>
    <x v="3"/>
    <x v="3"/>
    <x v="2"/>
    <x v="2"/>
    <n v="40"/>
    <m/>
    <n v="0"/>
    <s v="Shipment or installation appointment delayed beyond ETA"/>
    <n v="1284"/>
    <x v="1"/>
    <n v="0"/>
    <s v="Mar 2025"/>
    <n v="202503"/>
    <x v="20"/>
  </r>
  <r>
    <n v="8872346835"/>
    <n v="910637681"/>
    <s v="Lisa Williams"/>
    <s v="sharris@example.org"/>
    <n v="14308421"/>
    <n v="4591989418"/>
    <x v="535"/>
    <m/>
    <x v="5"/>
    <x v="4"/>
    <x v="2"/>
    <x v="2"/>
    <n v="62"/>
    <m/>
    <n v="0"/>
    <s v="Login, OTP, or password reset issue"/>
    <n v="1322"/>
    <x v="1"/>
    <n v="0"/>
    <s v="Nov 2024"/>
    <n v="202411"/>
    <x v="11"/>
  </r>
  <r>
    <n v="8885361853"/>
    <n v="830261466"/>
    <s v="John Sanchez"/>
    <s v="courtney10@example.org"/>
    <n v="28740864"/>
    <n v="4898595925"/>
    <x v="536"/>
    <m/>
    <x v="0"/>
    <x v="2"/>
    <x v="2"/>
    <x v="2"/>
    <n v="61"/>
    <m/>
    <n v="0"/>
    <s v="Customer questioned invoice amount and prorated charges"/>
    <n v="1327"/>
    <x v="1"/>
    <n v="0"/>
    <s v="Jan 2025"/>
    <n v="202501"/>
    <x v="16"/>
  </r>
  <r>
    <n v="8934110333"/>
    <n v="148644109"/>
    <s v="Heather Thomas"/>
    <s v="sylviaprice@example.com"/>
    <n v="84752529"/>
    <m/>
    <x v="537"/>
    <m/>
    <x v="6"/>
    <x v="2"/>
    <x v="1"/>
    <x v="2"/>
    <n v="24"/>
    <m/>
    <n v="0"/>
    <s v="Customer questioned invoice amount and prorated charges"/>
    <n v="1334"/>
    <x v="1"/>
    <n v="0"/>
    <s v="Nov 2025"/>
    <n v="202511"/>
    <x v="4"/>
  </r>
  <r>
    <n v="8988896196"/>
    <n v="699240979"/>
    <s v="Frank Stanley"/>
    <s v="kyle29@example.com"/>
    <n v="30514014"/>
    <n v="1857462274"/>
    <x v="538"/>
    <m/>
    <x v="6"/>
    <x v="5"/>
    <x v="2"/>
    <x v="2"/>
    <n v="54"/>
    <m/>
    <n v="0"/>
    <s v="App, network, or device troubleshooting requested"/>
    <n v="1341"/>
    <x v="1"/>
    <n v="0"/>
    <s v="Dec 2025"/>
    <n v="202512"/>
    <x v="21"/>
  </r>
  <r>
    <n v="8994837086"/>
    <n v="461971444"/>
    <s v="Mary Cowan"/>
    <s v="garywebster@example.org"/>
    <n v="39587039"/>
    <n v="2634106492"/>
    <x v="539"/>
    <m/>
    <x v="1"/>
    <x v="0"/>
    <x v="0"/>
    <x v="2"/>
    <n v="12"/>
    <m/>
    <n v="0"/>
    <s v="Customer reported intermittent service and repeat disruptions"/>
    <n v="1344"/>
    <x v="1"/>
    <n v="0"/>
    <s v="Sep 2024"/>
    <n v="202409"/>
    <x v="3"/>
  </r>
  <r>
    <n v="8999384161"/>
    <n v="719303396"/>
    <s v="Kathy Bailey"/>
    <s v="lpalmer@example.net"/>
    <n v="16150444"/>
    <n v="1417984375"/>
    <x v="540"/>
    <m/>
    <x v="6"/>
    <x v="1"/>
    <x v="3"/>
    <x v="2"/>
    <n v="34"/>
    <m/>
    <n v="0"/>
    <s v="Refund status or reversal timeline inquiry"/>
    <n v="1345"/>
    <x v="1"/>
    <n v="0"/>
    <s v="Aug 2024"/>
    <n v="202408"/>
    <x v="18"/>
  </r>
  <r>
    <n v="9030430078"/>
    <n v="670201461"/>
    <s v="Carla Clark"/>
    <s v="johnsonedward@example.net"/>
    <n v="18883684"/>
    <m/>
    <x v="541"/>
    <m/>
    <x v="5"/>
    <x v="0"/>
    <x v="1"/>
    <x v="2"/>
    <n v="21"/>
    <m/>
    <n v="0"/>
    <s v="Customer reported intermittent service and repeat disruptions"/>
    <n v="1350"/>
    <x v="1"/>
    <n v="0"/>
    <s v="Aug 2024"/>
    <n v="202408"/>
    <x v="18"/>
  </r>
  <r>
    <n v="9045966937"/>
    <n v="196057712"/>
    <s v="Luke Alexander"/>
    <s v="sbradley@example.org"/>
    <n v="13999315"/>
    <n v="9330590753"/>
    <x v="542"/>
    <m/>
    <x v="4"/>
    <x v="2"/>
    <x v="2"/>
    <x v="2"/>
    <n v="1"/>
    <m/>
    <n v="0"/>
    <s v="Customer questioned invoice amount and prorated charges"/>
    <n v="1353"/>
    <x v="1"/>
    <n v="0"/>
    <s v="Jun 2024"/>
    <n v="202406"/>
    <x v="26"/>
  </r>
  <r>
    <n v="9067968378"/>
    <n v="618558050"/>
    <s v="Eric Guerrero"/>
    <s v="melanie77@example.org"/>
    <n v="16323852"/>
    <m/>
    <x v="543"/>
    <m/>
    <x v="0"/>
    <x v="1"/>
    <x v="3"/>
    <x v="2"/>
    <n v="43"/>
    <m/>
    <n v="0"/>
    <s v="Refund status or reversal timeline inquiry"/>
    <n v="1361"/>
    <x v="1"/>
    <n v="0"/>
    <s v="Jul 2024"/>
    <n v="202407"/>
    <x v="23"/>
  </r>
  <r>
    <n v="9084427417"/>
    <n v="818608005"/>
    <s v="Lori Howard"/>
    <s v="lisarandolph@example.org"/>
    <n v="82383095"/>
    <n v="8478761088"/>
    <x v="544"/>
    <d v="2024-09-14T06:47:36"/>
    <x v="0"/>
    <x v="4"/>
    <x v="1"/>
    <x v="2"/>
    <n v="11"/>
    <n v="1485"/>
    <n v="0"/>
    <s v="Login, OTP, or password reset issue"/>
    <n v="1365"/>
    <x v="1"/>
    <n v="0"/>
    <s v="Sep 2024"/>
    <n v="202409"/>
    <x v="3"/>
  </r>
  <r>
    <n v="9098746608"/>
    <n v="639633807"/>
    <s v="Nicholas Perez"/>
    <s v="katie15@example.net"/>
    <n v="38538251"/>
    <m/>
    <x v="545"/>
    <m/>
    <x v="4"/>
    <x v="3"/>
    <x v="2"/>
    <x v="2"/>
    <n v="27"/>
    <m/>
    <n v="0"/>
    <s v="Shipment or installation appointment delayed beyond ETA"/>
    <n v="1367"/>
    <x v="1"/>
    <n v="0"/>
    <s v="May 2025"/>
    <n v="202505"/>
    <x v="5"/>
  </r>
  <r>
    <n v="9111727831"/>
    <n v="394801573"/>
    <s v="Emily Perry"/>
    <s v="colleen78@example.org"/>
    <n v="42329237"/>
    <m/>
    <x v="546"/>
    <m/>
    <x v="2"/>
    <x v="2"/>
    <x v="1"/>
    <x v="2"/>
    <n v="66"/>
    <m/>
    <n v="0"/>
    <s v="Customer questioned invoice amount and prorated charges"/>
    <n v="1370"/>
    <x v="1"/>
    <n v="0"/>
    <s v="Apr 2025"/>
    <n v="202504"/>
    <x v="6"/>
  </r>
  <r>
    <n v="9120421307"/>
    <n v="356805216"/>
    <s v="Elijah Moore"/>
    <s v="laurahicks@example.org"/>
    <n v="31931511"/>
    <m/>
    <x v="547"/>
    <m/>
    <x v="6"/>
    <x v="2"/>
    <x v="3"/>
    <x v="2"/>
    <n v="21"/>
    <m/>
    <n v="0"/>
    <s v="Customer questioned invoice amount and prorated charges"/>
    <n v="1372"/>
    <x v="1"/>
    <n v="0"/>
    <s v="Dec 2025"/>
    <n v="202512"/>
    <x v="21"/>
  </r>
  <r>
    <n v="9132533231"/>
    <n v="464090064"/>
    <s v="Joseph Alvarado"/>
    <s v="rhonda99@example.net"/>
    <n v="18883684"/>
    <m/>
    <x v="548"/>
    <m/>
    <x v="2"/>
    <x v="3"/>
    <x v="2"/>
    <x v="2"/>
    <n v="82"/>
    <m/>
    <n v="0"/>
    <s v="Shipment or installation appointment delayed beyond ETA"/>
    <n v="1376"/>
    <x v="1"/>
    <n v="0"/>
    <s v="Aug 2025"/>
    <n v="202508"/>
    <x v="22"/>
  </r>
  <r>
    <n v="9136155213"/>
    <n v="362935648"/>
    <s v="Tiffany Alexander"/>
    <s v="katie44@example.com"/>
    <n v="66661351"/>
    <m/>
    <x v="549"/>
    <m/>
    <x v="1"/>
    <x v="3"/>
    <x v="0"/>
    <x v="2"/>
    <n v="20"/>
    <m/>
    <n v="0"/>
    <s v="Shipment or installation appointment delayed beyond ETA"/>
    <n v="1377"/>
    <x v="1"/>
    <n v="0"/>
    <s v="Feb 2026"/>
    <n v="202602"/>
    <x v="25"/>
  </r>
  <r>
    <n v="9180203758"/>
    <n v="703462253"/>
    <s v="Tracy Burnett"/>
    <s v="bduke@example.org"/>
    <n v="22448136"/>
    <n v="7890723343"/>
    <x v="550"/>
    <m/>
    <x v="5"/>
    <x v="4"/>
    <x v="2"/>
    <x v="2"/>
    <n v="38"/>
    <m/>
    <n v="0"/>
    <s v="Login, OTP, or password reset issue"/>
    <n v="1383"/>
    <x v="1"/>
    <n v="0"/>
    <s v="Jun 2024"/>
    <n v="202406"/>
    <x v="26"/>
  </r>
  <r>
    <n v="9285531461"/>
    <n v="768737754"/>
    <s v="Peggy Carr"/>
    <s v="timothyfreeman@example.com"/>
    <n v="36687537"/>
    <m/>
    <x v="551"/>
    <m/>
    <x v="4"/>
    <x v="0"/>
    <x v="1"/>
    <x v="2"/>
    <n v="38"/>
    <m/>
    <n v="0"/>
    <s v="Customer reported intermittent service and repeat disruptions"/>
    <n v="1400"/>
    <x v="1"/>
    <n v="0"/>
    <s v="Jan 2026"/>
    <n v="202601"/>
    <x v="0"/>
  </r>
  <r>
    <n v="9418286260"/>
    <n v="856881618"/>
    <s v="Amy Farrell"/>
    <s v="jamesrobinson@example.com"/>
    <n v="88320463"/>
    <m/>
    <x v="552"/>
    <m/>
    <x v="3"/>
    <x v="2"/>
    <x v="3"/>
    <x v="2"/>
    <n v="81"/>
    <m/>
    <n v="0"/>
    <s v="Customer questioned invoice amount and prorated charges"/>
    <n v="1421"/>
    <x v="1"/>
    <n v="0"/>
    <s v="Oct 2024"/>
    <n v="202410"/>
    <x v="1"/>
  </r>
  <r>
    <n v="9487551059"/>
    <n v="634211672"/>
    <s v="Mary Hill"/>
    <s v="danielhernandez@example.com"/>
    <n v="82340307"/>
    <n v="6505350387"/>
    <x v="553"/>
    <m/>
    <x v="1"/>
    <x v="2"/>
    <x v="0"/>
    <x v="2"/>
    <n v="24"/>
    <m/>
    <n v="0"/>
    <s v="Customer questioned invoice amount and prorated charges"/>
    <n v="1432"/>
    <x v="1"/>
    <n v="0"/>
    <s v="Feb 2026"/>
    <n v="202602"/>
    <x v="25"/>
  </r>
  <r>
    <n v="9549250209"/>
    <n v="240409084"/>
    <s v="Nancy Quinn"/>
    <s v="simmonschris@example.org"/>
    <n v="67503414"/>
    <m/>
    <x v="554"/>
    <m/>
    <x v="6"/>
    <x v="3"/>
    <x v="0"/>
    <x v="2"/>
    <n v="38"/>
    <m/>
    <n v="0"/>
    <s v="Shipment or installation appointment delayed beyond ETA"/>
    <n v="1437"/>
    <x v="1"/>
    <n v="0"/>
    <s v="Jun 2025"/>
    <n v="202506"/>
    <x v="19"/>
  </r>
  <r>
    <n v="9550314643"/>
    <n v="495521185"/>
    <s v="Jesus Randolph"/>
    <s v="davidfields@example.net"/>
    <n v="61220073"/>
    <m/>
    <x v="555"/>
    <d v="2026-01-26T14:42:14"/>
    <x v="1"/>
    <x v="4"/>
    <x v="3"/>
    <x v="2"/>
    <n v="54"/>
    <n v="954"/>
    <n v="0"/>
    <s v="Login, OTP, or password reset issue"/>
    <n v="1438"/>
    <x v="1"/>
    <n v="0"/>
    <s v="Jan 2026"/>
    <n v="202601"/>
    <x v="0"/>
  </r>
  <r>
    <n v="9560180877"/>
    <n v="358303887"/>
    <s v="Holly Stewart"/>
    <s v="ujackson@example.org"/>
    <n v="39476249"/>
    <n v="9130517572"/>
    <x v="556"/>
    <d v="2025-03-21T06:56:02"/>
    <x v="1"/>
    <x v="3"/>
    <x v="2"/>
    <x v="2"/>
    <n v="12"/>
    <n v="804"/>
    <n v="0"/>
    <s v="Shipment or installation appointment delayed beyond ETA"/>
    <n v="1440"/>
    <x v="1"/>
    <n v="0"/>
    <s v="Mar 2025"/>
    <n v="202503"/>
    <x v="20"/>
  </r>
  <r>
    <n v="9612824095"/>
    <n v="187907572"/>
    <s v="Adam Wilcox"/>
    <s v="rwhite@example.org"/>
    <n v="89978790"/>
    <m/>
    <x v="557"/>
    <d v="2025-05-27T21:45:32"/>
    <x v="1"/>
    <x v="1"/>
    <x v="2"/>
    <x v="2"/>
    <n v="35"/>
    <n v="1279"/>
    <n v="0"/>
    <s v="Refund status or reversal timeline inquiry"/>
    <n v="1452"/>
    <x v="1"/>
    <n v="0"/>
    <s v="May 2025"/>
    <n v="202505"/>
    <x v="5"/>
  </r>
  <r>
    <n v="9667198721"/>
    <n v="409346714"/>
    <s v="Keith Knox"/>
    <s v="tthomas@example.org"/>
    <n v="87490893"/>
    <m/>
    <x v="558"/>
    <m/>
    <x v="5"/>
    <x v="5"/>
    <x v="0"/>
    <x v="2"/>
    <n v="1"/>
    <m/>
    <n v="0"/>
    <s v="App, network, or device troubleshooting requested"/>
    <n v="1459"/>
    <x v="1"/>
    <n v="0"/>
    <s v="Sep 2025"/>
    <n v="202509"/>
    <x v="9"/>
  </r>
  <r>
    <n v="9687275388"/>
    <n v="823494111"/>
    <s v="Dillon Wiggins"/>
    <s v="hannahpatrick@example.net"/>
    <n v="84252722"/>
    <m/>
    <x v="559"/>
    <m/>
    <x v="4"/>
    <x v="5"/>
    <x v="2"/>
    <x v="2"/>
    <n v="70"/>
    <m/>
    <n v="0"/>
    <s v="App, network, or device troubleshooting requested"/>
    <n v="1466"/>
    <x v="1"/>
    <n v="0"/>
    <s v="Sep 2024"/>
    <n v="202409"/>
    <x v="3"/>
  </r>
  <r>
    <n v="9804668445"/>
    <n v="930071496"/>
    <s v="Kenneth Cooper Jr."/>
    <s v="sethvance@example.net"/>
    <n v="45351479"/>
    <m/>
    <x v="560"/>
    <m/>
    <x v="5"/>
    <x v="1"/>
    <x v="2"/>
    <x v="2"/>
    <n v="80"/>
    <m/>
    <n v="0"/>
    <s v="Refund status or reversal timeline inquiry"/>
    <n v="1480"/>
    <x v="1"/>
    <n v="0"/>
    <s v="Mar 2026"/>
    <n v="202603"/>
    <x v="10"/>
  </r>
  <r>
    <n v="9845473273"/>
    <n v="442648079"/>
    <s v="Raymond Mccarthy"/>
    <s v="larry85@example.net"/>
    <n v="73791320"/>
    <n v="1402153307"/>
    <x v="561"/>
    <m/>
    <x v="3"/>
    <x v="1"/>
    <x v="2"/>
    <x v="2"/>
    <n v="48"/>
    <m/>
    <n v="0"/>
    <s v="Refund status or reversal timeline inquiry"/>
    <n v="1486"/>
    <x v="1"/>
    <n v="0"/>
    <s v="Jan 2025"/>
    <n v="202501"/>
    <x v="16"/>
  </r>
  <r>
    <n v="9928819570"/>
    <n v="417440983"/>
    <s v="Eugene Kirk"/>
    <s v="joseph51@example.net"/>
    <n v="77187530"/>
    <m/>
    <x v="562"/>
    <m/>
    <x v="6"/>
    <x v="2"/>
    <x v="3"/>
    <x v="2"/>
    <n v="55"/>
    <m/>
    <n v="0"/>
    <s v="Customer questioned invoice amount and prorated charges"/>
    <n v="1493"/>
    <x v="1"/>
    <n v="0"/>
    <s v="Apr 2025"/>
    <n v="202504"/>
    <x v="6"/>
  </r>
  <r>
    <n v="9974034663"/>
    <n v="548700579"/>
    <s v="Melissa Hall"/>
    <s v="natalie54@example.org"/>
    <n v="86125617"/>
    <n v="3602111250"/>
    <x v="563"/>
    <m/>
    <x v="5"/>
    <x v="2"/>
    <x v="1"/>
    <x v="2"/>
    <n v="31"/>
    <m/>
    <n v="0"/>
    <s v="Customer questioned invoice amount and prorated charges"/>
    <n v="1498"/>
    <x v="1"/>
    <n v="0"/>
    <s v="Apr 2024"/>
    <n v="202404"/>
    <x v="2"/>
  </r>
  <r>
    <n v="1044818985"/>
    <n v="535391971"/>
    <s v="Mr. William Adams PhD"/>
    <s v="khendricks@example.net"/>
    <n v="84752529"/>
    <m/>
    <x v="564"/>
    <m/>
    <x v="2"/>
    <x v="3"/>
    <x v="0"/>
    <x v="3"/>
    <n v="27"/>
    <m/>
    <n v="1"/>
    <s v="Shipment or installation appointment delayed beyond ETA"/>
    <n v="9"/>
    <x v="1"/>
    <n v="0"/>
    <s v="Mar 2026"/>
    <n v="202603"/>
    <x v="10"/>
  </r>
  <r>
    <n v="1113600611"/>
    <n v="475364113"/>
    <s v="John Mckinney"/>
    <s v="fburns@example.net"/>
    <n v="80823176"/>
    <m/>
    <x v="565"/>
    <m/>
    <x v="6"/>
    <x v="0"/>
    <x v="2"/>
    <x v="3"/>
    <n v="31"/>
    <m/>
    <n v="1"/>
    <s v="Customer reported intermittent service and repeat disruptions"/>
    <n v="20"/>
    <x v="1"/>
    <n v="0"/>
    <s v="Oct 2024"/>
    <n v="202410"/>
    <x v="1"/>
  </r>
  <r>
    <n v="1150816869"/>
    <n v="416794215"/>
    <s v="Michael Morgan"/>
    <s v="jamierodriguez@example.net"/>
    <n v="82383095"/>
    <n v="9312541476"/>
    <x v="566"/>
    <m/>
    <x v="3"/>
    <x v="0"/>
    <x v="1"/>
    <x v="3"/>
    <n v="40"/>
    <m/>
    <n v="1"/>
    <s v="Customer reported intermittent service and repeat disruptions"/>
    <n v="28"/>
    <x v="1"/>
    <n v="0"/>
    <s v="Jun 2025"/>
    <n v="202506"/>
    <x v="19"/>
  </r>
  <r>
    <n v="1159151675"/>
    <n v="926178355"/>
    <s v="Christopher Barr"/>
    <s v="amy49@example.com"/>
    <n v="91415657"/>
    <m/>
    <x v="567"/>
    <m/>
    <x v="0"/>
    <x v="0"/>
    <x v="2"/>
    <x v="3"/>
    <n v="12"/>
    <m/>
    <n v="1"/>
    <s v="Customer reported intermittent service and repeat disruptions"/>
    <n v="30"/>
    <x v="1"/>
    <n v="0"/>
    <s v="Mar 2024"/>
    <n v="202403"/>
    <x v="15"/>
  </r>
  <r>
    <n v="1173720701"/>
    <n v="329766590"/>
    <s v="Michael Hunt"/>
    <s v="housedaniel@example.com"/>
    <n v="51273847"/>
    <m/>
    <x v="568"/>
    <m/>
    <x v="0"/>
    <x v="4"/>
    <x v="3"/>
    <x v="3"/>
    <n v="55"/>
    <m/>
    <n v="1"/>
    <s v="Login, OTP, or password reset issue"/>
    <n v="32"/>
    <x v="1"/>
    <n v="0"/>
    <s v="Jun 2024"/>
    <n v="202406"/>
    <x v="26"/>
  </r>
  <r>
    <n v="1220512797"/>
    <n v="919395339"/>
    <s v="Kimberly Leon"/>
    <s v="brooksthomas@example.com"/>
    <n v="13561597"/>
    <m/>
    <x v="569"/>
    <m/>
    <x v="3"/>
    <x v="1"/>
    <x v="3"/>
    <x v="3"/>
    <n v="11"/>
    <m/>
    <n v="1"/>
    <s v="Refund status or reversal timeline inquiry"/>
    <n v="42"/>
    <x v="1"/>
    <n v="0"/>
    <s v="May 2024"/>
    <n v="202405"/>
    <x v="24"/>
  </r>
  <r>
    <n v="1284690860"/>
    <n v="163525343"/>
    <s v="Jennifer Bruce"/>
    <s v="ecampos@example.net"/>
    <n v="26879290"/>
    <m/>
    <x v="570"/>
    <m/>
    <x v="1"/>
    <x v="1"/>
    <x v="0"/>
    <x v="3"/>
    <n v="59"/>
    <m/>
    <n v="1"/>
    <s v="Refund status or reversal timeline inquiry"/>
    <n v="58"/>
    <x v="1"/>
    <n v="0"/>
    <s v="Aug 2024"/>
    <n v="202408"/>
    <x v="18"/>
  </r>
  <r>
    <n v="1322568010"/>
    <n v="804086195"/>
    <s v="Jacqueline Thompson"/>
    <s v="toddlloyd@example.org"/>
    <n v="59684848"/>
    <m/>
    <x v="571"/>
    <m/>
    <x v="4"/>
    <x v="3"/>
    <x v="2"/>
    <x v="3"/>
    <n v="35"/>
    <m/>
    <n v="1"/>
    <s v="Shipment or installation appointment delayed beyond ETA"/>
    <n v="61"/>
    <x v="1"/>
    <n v="0"/>
    <s v="Oct 2024"/>
    <n v="202410"/>
    <x v="1"/>
  </r>
  <r>
    <n v="1356483054"/>
    <n v="861639583"/>
    <s v="Ryan Barker"/>
    <s v="swalters@example.net"/>
    <n v="61220073"/>
    <m/>
    <x v="572"/>
    <m/>
    <x v="6"/>
    <x v="2"/>
    <x v="2"/>
    <x v="3"/>
    <n v="47"/>
    <m/>
    <n v="1"/>
    <s v="Customer questioned invoice amount and prorated charges"/>
    <n v="63"/>
    <x v="1"/>
    <n v="0"/>
    <s v="Feb 2024"/>
    <n v="202402"/>
    <x v="7"/>
  </r>
  <r>
    <n v="1366159068"/>
    <n v="120333847"/>
    <s v="Jacqueline Harrison"/>
    <s v="barbara85@example.net"/>
    <n v="96028436"/>
    <m/>
    <x v="573"/>
    <m/>
    <x v="3"/>
    <x v="1"/>
    <x v="1"/>
    <x v="3"/>
    <n v="20"/>
    <m/>
    <n v="1"/>
    <s v="Refund status or reversal timeline inquiry"/>
    <n v="66"/>
    <x v="1"/>
    <n v="0"/>
    <s v="Dec 2024"/>
    <n v="202412"/>
    <x v="12"/>
  </r>
  <r>
    <n v="1404985744"/>
    <n v="301126777"/>
    <s v="Christopher Knight"/>
    <s v="jillwebb@example.com"/>
    <n v="66306997"/>
    <m/>
    <x v="574"/>
    <m/>
    <x v="4"/>
    <x v="3"/>
    <x v="0"/>
    <x v="3"/>
    <n v="87"/>
    <m/>
    <n v="1"/>
    <s v="Shipment or installation appointment delayed beyond ETA"/>
    <n v="73"/>
    <x v="1"/>
    <n v="0"/>
    <s v="Aug 2024"/>
    <n v="202408"/>
    <x v="18"/>
  </r>
  <r>
    <n v="1506395539"/>
    <n v="936597989"/>
    <s v="Christy Payne"/>
    <s v="ana92@example.net"/>
    <n v="32969840"/>
    <n v="6768680689"/>
    <x v="575"/>
    <m/>
    <x v="1"/>
    <x v="4"/>
    <x v="3"/>
    <x v="3"/>
    <n v="9"/>
    <m/>
    <n v="1"/>
    <s v="Login, OTP, or password reset issue"/>
    <n v="86"/>
    <x v="1"/>
    <n v="0"/>
    <s v="Aug 2024"/>
    <n v="202408"/>
    <x v="18"/>
  </r>
  <r>
    <n v="1555344321"/>
    <n v="530986098"/>
    <s v="Travis Wagner"/>
    <s v="jacklee@example.net"/>
    <n v="60185867"/>
    <m/>
    <x v="576"/>
    <m/>
    <x v="5"/>
    <x v="2"/>
    <x v="2"/>
    <x v="3"/>
    <n v="25"/>
    <m/>
    <n v="1"/>
    <s v="Customer questioned invoice amount and prorated charges"/>
    <n v="93"/>
    <x v="1"/>
    <n v="0"/>
    <s v="Aug 2025"/>
    <n v="202508"/>
    <x v="22"/>
  </r>
  <r>
    <n v="1599465828"/>
    <n v="672440825"/>
    <s v="Brenda Ramirez"/>
    <s v="ehammond@example.net"/>
    <n v="55176955"/>
    <n v="4396825966"/>
    <x v="577"/>
    <m/>
    <x v="5"/>
    <x v="4"/>
    <x v="0"/>
    <x v="3"/>
    <n v="50"/>
    <m/>
    <n v="1"/>
    <s v="Login, OTP, or password reset issue"/>
    <n v="104"/>
    <x v="1"/>
    <n v="0"/>
    <s v="Jun 2025"/>
    <n v="202506"/>
    <x v="19"/>
  </r>
  <r>
    <n v="1619132743"/>
    <n v="968704078"/>
    <s v="Travis Stevens"/>
    <s v="christopher13@example.com"/>
    <n v="75579548"/>
    <m/>
    <x v="578"/>
    <m/>
    <x v="2"/>
    <x v="3"/>
    <x v="2"/>
    <x v="3"/>
    <n v="40"/>
    <m/>
    <n v="1"/>
    <s v="Shipment or installation appointment delayed beyond ETA"/>
    <n v="109"/>
    <x v="1"/>
    <n v="0"/>
    <s v="Jun 2025"/>
    <n v="202506"/>
    <x v="19"/>
  </r>
  <r>
    <n v="1688258685"/>
    <n v="582750043"/>
    <s v="Lee Barker"/>
    <s v="vthompson@example.org"/>
    <n v="67503414"/>
    <n v="8376160226"/>
    <x v="579"/>
    <m/>
    <x v="2"/>
    <x v="0"/>
    <x v="0"/>
    <x v="3"/>
    <n v="56"/>
    <m/>
    <n v="1"/>
    <s v="Customer reported intermittent service and repeat disruptions"/>
    <n v="122"/>
    <x v="1"/>
    <n v="0"/>
    <s v="Nov 2025"/>
    <n v="202511"/>
    <x v="4"/>
  </r>
  <r>
    <n v="1712552060"/>
    <n v="376236056"/>
    <s v="Diane Gregory"/>
    <s v="kcook@example.net"/>
    <n v="84252722"/>
    <m/>
    <x v="580"/>
    <m/>
    <x v="1"/>
    <x v="3"/>
    <x v="0"/>
    <x v="3"/>
    <n v="49"/>
    <m/>
    <n v="1"/>
    <s v="Shipment or installation appointment delayed beyond ETA"/>
    <n v="126"/>
    <x v="1"/>
    <n v="0"/>
    <s v="Dec 2024"/>
    <n v="202412"/>
    <x v="12"/>
  </r>
  <r>
    <n v="1742569971"/>
    <n v="233654018"/>
    <s v="Megan Kaiser"/>
    <s v="amy01@example.org"/>
    <n v="45264581"/>
    <m/>
    <x v="581"/>
    <m/>
    <x v="6"/>
    <x v="5"/>
    <x v="0"/>
    <x v="3"/>
    <n v="38"/>
    <m/>
    <n v="1"/>
    <s v="App, network, or device troubleshooting requested"/>
    <n v="136"/>
    <x v="1"/>
    <n v="0"/>
    <s v="Mar 2024"/>
    <n v="202403"/>
    <x v="15"/>
  </r>
  <r>
    <n v="1774350839"/>
    <n v="480412754"/>
    <s v="Nicholas Le"/>
    <s v="zking@example.com"/>
    <n v="61220073"/>
    <m/>
    <x v="582"/>
    <m/>
    <x v="0"/>
    <x v="4"/>
    <x v="2"/>
    <x v="3"/>
    <n v="38"/>
    <m/>
    <n v="1"/>
    <s v="Login, OTP, or password reset issue"/>
    <n v="148"/>
    <x v="1"/>
    <n v="0"/>
    <s v="Jul 2025"/>
    <n v="202507"/>
    <x v="13"/>
  </r>
  <r>
    <n v="1800960335"/>
    <n v="244796859"/>
    <s v="Margaret Padilla"/>
    <s v="meyershannon@example.org"/>
    <n v="12614124"/>
    <n v="7248352168"/>
    <x v="583"/>
    <m/>
    <x v="0"/>
    <x v="2"/>
    <x v="0"/>
    <x v="3"/>
    <n v="21"/>
    <m/>
    <n v="1"/>
    <s v="Customer questioned invoice amount and prorated charges"/>
    <n v="157"/>
    <x v="1"/>
    <n v="0"/>
    <s v="Jan 2024"/>
    <n v="202401"/>
    <x v="17"/>
  </r>
  <r>
    <n v="1815493684"/>
    <n v="362935648"/>
    <s v="Tiffany Alexander"/>
    <s v="katie44@example.com"/>
    <n v="63843426"/>
    <m/>
    <x v="584"/>
    <m/>
    <x v="3"/>
    <x v="2"/>
    <x v="0"/>
    <x v="3"/>
    <n v="27"/>
    <m/>
    <n v="1"/>
    <s v="Customer questioned invoice amount and prorated charges"/>
    <n v="160"/>
    <x v="1"/>
    <n v="0"/>
    <s v="Jul 2024"/>
    <n v="202407"/>
    <x v="23"/>
  </r>
  <r>
    <n v="1914201261"/>
    <n v="256819248"/>
    <s v="Dillon Jones"/>
    <s v="derekcarrillo@example.org"/>
    <n v="84752529"/>
    <m/>
    <x v="585"/>
    <m/>
    <x v="3"/>
    <x v="3"/>
    <x v="3"/>
    <x v="3"/>
    <n v="46"/>
    <m/>
    <n v="1"/>
    <s v="Shipment or installation appointment delayed beyond ETA"/>
    <n v="180"/>
    <x v="1"/>
    <n v="0"/>
    <s v="Aug 2024"/>
    <n v="202408"/>
    <x v="18"/>
  </r>
  <r>
    <n v="1923900025"/>
    <n v="408427014"/>
    <s v="Austin Smith"/>
    <s v="curtis22@example.com"/>
    <n v="14265799"/>
    <n v="6526012592"/>
    <x v="586"/>
    <m/>
    <x v="2"/>
    <x v="5"/>
    <x v="1"/>
    <x v="3"/>
    <n v="39"/>
    <m/>
    <n v="1"/>
    <s v="App, network, or device troubleshooting requested"/>
    <n v="182"/>
    <x v="1"/>
    <n v="0"/>
    <s v="Jan 2025"/>
    <n v="202501"/>
    <x v="16"/>
  </r>
  <r>
    <n v="1934523126"/>
    <n v="183862154"/>
    <s v="Christine Crawford"/>
    <s v="alexandramyers@example.net"/>
    <n v="46913810"/>
    <m/>
    <x v="587"/>
    <m/>
    <x v="0"/>
    <x v="4"/>
    <x v="3"/>
    <x v="3"/>
    <n v="31"/>
    <m/>
    <n v="1"/>
    <s v="Login, OTP, or password reset issue"/>
    <n v="185"/>
    <x v="1"/>
    <n v="0"/>
    <s v="Apr 2025"/>
    <n v="202504"/>
    <x v="6"/>
  </r>
  <r>
    <n v="1943200696"/>
    <n v="699240979"/>
    <s v="Frank Stanley"/>
    <s v="kyle29@example.com"/>
    <n v="31931511"/>
    <m/>
    <x v="588"/>
    <m/>
    <x v="1"/>
    <x v="2"/>
    <x v="1"/>
    <x v="3"/>
    <n v="9"/>
    <m/>
    <n v="1"/>
    <s v="Customer questioned invoice amount and prorated charges"/>
    <n v="190"/>
    <x v="1"/>
    <n v="0"/>
    <s v="Aug 2025"/>
    <n v="202508"/>
    <x v="22"/>
  </r>
  <r>
    <n v="1946570644"/>
    <n v="960170255"/>
    <s v="Carolyn Bradley"/>
    <s v="higginsryan@example.com"/>
    <n v="91030736"/>
    <m/>
    <x v="589"/>
    <m/>
    <x v="2"/>
    <x v="2"/>
    <x v="0"/>
    <x v="3"/>
    <n v="31"/>
    <m/>
    <n v="1"/>
    <s v="Customer questioned invoice amount and prorated charges"/>
    <n v="191"/>
    <x v="1"/>
    <n v="0"/>
    <s v="Nov 2024"/>
    <n v="202411"/>
    <x v="11"/>
  </r>
  <r>
    <n v="1983891158"/>
    <n v="731130400"/>
    <s v="James Henderson"/>
    <s v="qspencer@example.net"/>
    <n v="55657579"/>
    <n v="5767649713"/>
    <x v="590"/>
    <m/>
    <x v="2"/>
    <x v="5"/>
    <x v="0"/>
    <x v="3"/>
    <n v="82"/>
    <m/>
    <n v="1"/>
    <s v="App, network, or device troubleshooting requested"/>
    <n v="196"/>
    <x v="1"/>
    <n v="0"/>
    <s v="Jan 2025"/>
    <n v="202501"/>
    <x v="16"/>
  </r>
  <r>
    <n v="2057894517"/>
    <n v="873773537"/>
    <s v="Troy Fowler"/>
    <s v="natalie87@example.net"/>
    <n v="66306997"/>
    <n v="8307190146"/>
    <x v="591"/>
    <m/>
    <x v="3"/>
    <x v="1"/>
    <x v="3"/>
    <x v="3"/>
    <n v="21"/>
    <m/>
    <n v="1"/>
    <s v="Refund status or reversal timeline inquiry"/>
    <n v="204"/>
    <x v="1"/>
    <n v="0"/>
    <s v="Jan 2025"/>
    <n v="202501"/>
    <x v="16"/>
  </r>
  <r>
    <n v="2143067209"/>
    <n v="583156434"/>
    <s v="Alisha Martin"/>
    <s v="lisamcdaniel@example.org"/>
    <n v="66306997"/>
    <m/>
    <x v="592"/>
    <m/>
    <x v="6"/>
    <x v="4"/>
    <x v="2"/>
    <x v="3"/>
    <n v="39"/>
    <m/>
    <n v="1"/>
    <s v="Login, OTP, or password reset issue"/>
    <n v="212"/>
    <x v="1"/>
    <n v="0"/>
    <s v="Jul 2024"/>
    <n v="202407"/>
    <x v="23"/>
  </r>
  <r>
    <n v="2168709536"/>
    <n v="355164255"/>
    <s v="Penny Anderson"/>
    <s v="zschultz@example.com"/>
    <n v="96282117"/>
    <n v="9130280665"/>
    <x v="593"/>
    <m/>
    <x v="1"/>
    <x v="4"/>
    <x v="2"/>
    <x v="3"/>
    <n v="53"/>
    <m/>
    <n v="1"/>
    <s v="Login, OTP, or password reset issue"/>
    <n v="217"/>
    <x v="1"/>
    <n v="0"/>
    <s v="Jan 2026"/>
    <n v="202601"/>
    <x v="0"/>
  </r>
  <r>
    <n v="2257497047"/>
    <n v="928917719"/>
    <s v="Chad Rojas"/>
    <s v="nathanjohnson@example.org"/>
    <n v="30513739"/>
    <m/>
    <x v="594"/>
    <m/>
    <x v="2"/>
    <x v="1"/>
    <x v="2"/>
    <x v="3"/>
    <n v="48"/>
    <m/>
    <n v="1"/>
    <s v="Refund status or reversal timeline inquiry"/>
    <n v="233"/>
    <x v="1"/>
    <n v="0"/>
    <s v="Aug 2025"/>
    <n v="202508"/>
    <x v="22"/>
  </r>
  <r>
    <n v="2327342139"/>
    <n v="905196831"/>
    <s v="Diane Byrd MD"/>
    <s v="bsparks@example.com"/>
    <n v="76238574"/>
    <m/>
    <x v="595"/>
    <m/>
    <x v="0"/>
    <x v="5"/>
    <x v="2"/>
    <x v="3"/>
    <n v="46"/>
    <m/>
    <n v="1"/>
    <s v="App, network, or device troubleshooting requested"/>
    <n v="242"/>
    <x v="1"/>
    <n v="0"/>
    <s v="Mar 2025"/>
    <n v="202503"/>
    <x v="20"/>
  </r>
  <r>
    <n v="2396079090"/>
    <n v="287974375"/>
    <s v="David Moss"/>
    <s v="bpeterson@example.com"/>
    <n v="20709497"/>
    <n v="3803069611"/>
    <x v="596"/>
    <m/>
    <x v="4"/>
    <x v="1"/>
    <x v="2"/>
    <x v="3"/>
    <n v="1"/>
    <m/>
    <n v="1"/>
    <s v="Refund status or reversal timeline inquiry"/>
    <n v="253"/>
    <x v="1"/>
    <n v="0"/>
    <s v="Mar 2024"/>
    <n v="202403"/>
    <x v="15"/>
  </r>
  <r>
    <n v="2461065744"/>
    <n v="683364453"/>
    <s v="Andrew Ford"/>
    <s v="rwheeler@example.org"/>
    <n v="85329037"/>
    <m/>
    <x v="597"/>
    <m/>
    <x v="0"/>
    <x v="1"/>
    <x v="1"/>
    <x v="3"/>
    <n v="48"/>
    <m/>
    <n v="1"/>
    <s v="Refund status or reversal timeline inquiry"/>
    <n v="266"/>
    <x v="1"/>
    <n v="0"/>
    <s v="Aug 2025"/>
    <n v="202508"/>
    <x v="22"/>
  </r>
  <r>
    <n v="2500493518"/>
    <n v="604803700"/>
    <s v="Debra Valentine"/>
    <s v="victorgonzalez@example.net"/>
    <n v="58586340"/>
    <n v="2112658672"/>
    <x v="598"/>
    <m/>
    <x v="1"/>
    <x v="0"/>
    <x v="2"/>
    <x v="3"/>
    <n v="22"/>
    <m/>
    <n v="1"/>
    <s v="Customer reported intermittent service and repeat disruptions"/>
    <n v="271"/>
    <x v="1"/>
    <n v="0"/>
    <s v="Oct 2025"/>
    <n v="202510"/>
    <x v="8"/>
  </r>
  <r>
    <n v="2530212365"/>
    <n v="612656440"/>
    <s v="Jacqueline Randolph"/>
    <s v="bryanjohnson@example.net"/>
    <n v="82070937"/>
    <m/>
    <x v="599"/>
    <m/>
    <x v="4"/>
    <x v="3"/>
    <x v="3"/>
    <x v="3"/>
    <n v="38"/>
    <m/>
    <n v="1"/>
    <s v="Shipment or installation appointment delayed beyond ETA"/>
    <n v="278"/>
    <x v="1"/>
    <n v="0"/>
    <s v="Oct 2025"/>
    <n v="202510"/>
    <x v="8"/>
  </r>
  <r>
    <n v="2559154043"/>
    <n v="182855381"/>
    <s v="Jason Morris"/>
    <s v="hodgemark@example.net"/>
    <n v="45264581"/>
    <m/>
    <x v="600"/>
    <m/>
    <x v="4"/>
    <x v="2"/>
    <x v="2"/>
    <x v="3"/>
    <n v="64"/>
    <m/>
    <n v="1"/>
    <s v="Customer questioned invoice amount and prorated charges"/>
    <n v="283"/>
    <x v="1"/>
    <n v="0"/>
    <s v="Dec 2025"/>
    <n v="202512"/>
    <x v="21"/>
  </r>
  <r>
    <n v="2607439886"/>
    <n v="778556450"/>
    <s v="Joshua Howard"/>
    <s v="rgarcia@example.net"/>
    <n v="98753260"/>
    <n v="9615236685"/>
    <x v="601"/>
    <m/>
    <x v="4"/>
    <x v="0"/>
    <x v="0"/>
    <x v="3"/>
    <n v="53"/>
    <m/>
    <n v="1"/>
    <s v="Customer reported intermittent service and repeat disruptions"/>
    <n v="288"/>
    <x v="1"/>
    <n v="0"/>
    <s v="Oct 2025"/>
    <n v="202510"/>
    <x v="8"/>
  </r>
  <r>
    <n v="2619130590"/>
    <n v="973498494"/>
    <s v="Karl Murphy"/>
    <s v="ericnunez@example.com"/>
    <n v="95225343"/>
    <m/>
    <x v="602"/>
    <m/>
    <x v="0"/>
    <x v="2"/>
    <x v="0"/>
    <x v="3"/>
    <n v="62"/>
    <m/>
    <n v="1"/>
    <s v="Customer questioned invoice amount and prorated charges"/>
    <n v="290"/>
    <x v="1"/>
    <n v="0"/>
    <s v="Mar 2026"/>
    <n v="202603"/>
    <x v="10"/>
  </r>
  <r>
    <n v="2726821602"/>
    <n v="756007396"/>
    <s v="Jose Palmer"/>
    <s v="fergusontrevor@example.net"/>
    <n v="49392920"/>
    <n v="8972930896"/>
    <x v="603"/>
    <m/>
    <x v="4"/>
    <x v="4"/>
    <x v="2"/>
    <x v="3"/>
    <n v="3"/>
    <m/>
    <n v="1"/>
    <s v="Login, OTP, or password reset issue"/>
    <n v="310"/>
    <x v="1"/>
    <n v="0"/>
    <s v="Aug 2025"/>
    <n v="202508"/>
    <x v="22"/>
  </r>
  <r>
    <n v="2762511121"/>
    <n v="668503222"/>
    <s v="Stacy Fitzgerald"/>
    <s v="clinejasmine@example.net"/>
    <n v="10872248"/>
    <m/>
    <x v="604"/>
    <m/>
    <x v="6"/>
    <x v="1"/>
    <x v="2"/>
    <x v="3"/>
    <n v="31"/>
    <m/>
    <n v="1"/>
    <s v="Refund status or reversal timeline inquiry"/>
    <n v="317"/>
    <x v="1"/>
    <n v="0"/>
    <s v="Mar 2026"/>
    <n v="202603"/>
    <x v="10"/>
  </r>
  <r>
    <n v="2811856663"/>
    <n v="298407302"/>
    <s v="Christian Rowe"/>
    <s v="rebeccajohnson@example.net"/>
    <n v="61019678"/>
    <n v="8572011492"/>
    <x v="605"/>
    <m/>
    <x v="1"/>
    <x v="1"/>
    <x v="3"/>
    <x v="3"/>
    <n v="69"/>
    <m/>
    <n v="1"/>
    <s v="Refund status or reversal timeline inquiry"/>
    <n v="325"/>
    <x v="1"/>
    <n v="0"/>
    <s v="Jul 2025"/>
    <n v="202507"/>
    <x v="13"/>
  </r>
  <r>
    <n v="2832897650"/>
    <n v="916757816"/>
    <s v="Shane Barnes"/>
    <s v="phillipsryan@example.com"/>
    <n v="53507489"/>
    <m/>
    <x v="606"/>
    <m/>
    <x v="4"/>
    <x v="4"/>
    <x v="2"/>
    <x v="3"/>
    <n v="24"/>
    <m/>
    <n v="1"/>
    <s v="Login, OTP, or password reset issue"/>
    <n v="328"/>
    <x v="1"/>
    <n v="0"/>
    <s v="Feb 2025"/>
    <n v="202502"/>
    <x v="14"/>
  </r>
  <r>
    <n v="2834877455"/>
    <n v="749762955"/>
    <s v="Barbara Pope"/>
    <s v="keith07@example.net"/>
    <n v="70897765"/>
    <n v="3360277484"/>
    <x v="607"/>
    <m/>
    <x v="5"/>
    <x v="2"/>
    <x v="3"/>
    <x v="3"/>
    <n v="31"/>
    <m/>
    <n v="1"/>
    <s v="Customer questioned invoice amount and prorated charges"/>
    <n v="329"/>
    <x v="1"/>
    <n v="0"/>
    <s v="Sep 2024"/>
    <n v="202409"/>
    <x v="3"/>
  </r>
  <r>
    <n v="2881369290"/>
    <n v="644738967"/>
    <s v="Eric Cooper"/>
    <s v="qfitzgerald@example.org"/>
    <n v="86125617"/>
    <n v="6717968085"/>
    <x v="608"/>
    <m/>
    <x v="1"/>
    <x v="5"/>
    <x v="1"/>
    <x v="3"/>
    <n v="20"/>
    <m/>
    <n v="1"/>
    <s v="App, network, or device troubleshooting requested"/>
    <n v="337"/>
    <x v="1"/>
    <n v="0"/>
    <s v="Apr 2025"/>
    <n v="202504"/>
    <x v="6"/>
  </r>
  <r>
    <n v="2886303290"/>
    <n v="852178601"/>
    <s v="Jamie Lindsey"/>
    <s v="ureed@example.com"/>
    <n v="19289546"/>
    <n v="4078487866"/>
    <x v="609"/>
    <m/>
    <x v="5"/>
    <x v="3"/>
    <x v="1"/>
    <x v="3"/>
    <n v="41"/>
    <m/>
    <n v="1"/>
    <s v="Shipment or installation appointment delayed beyond ETA"/>
    <n v="338"/>
    <x v="1"/>
    <n v="0"/>
    <s v="Mar 2026"/>
    <n v="202603"/>
    <x v="10"/>
  </r>
  <r>
    <n v="2895713954"/>
    <n v="105563528"/>
    <s v="Barry Wilson"/>
    <s v="qchapman@example.com"/>
    <n v="70291817"/>
    <n v="6943960966"/>
    <x v="610"/>
    <m/>
    <x v="0"/>
    <x v="3"/>
    <x v="0"/>
    <x v="3"/>
    <n v="65"/>
    <m/>
    <n v="1"/>
    <s v="Shipment or installation appointment delayed beyond ETA"/>
    <n v="339"/>
    <x v="1"/>
    <n v="0"/>
    <s v="Oct 2024"/>
    <n v="202410"/>
    <x v="1"/>
  </r>
  <r>
    <n v="2920804426"/>
    <n v="572022811"/>
    <s v="Nicole Middleton DDS"/>
    <s v="codyarnold@example.net"/>
    <n v="47308985"/>
    <m/>
    <x v="611"/>
    <m/>
    <x v="5"/>
    <x v="0"/>
    <x v="0"/>
    <x v="3"/>
    <n v="32"/>
    <m/>
    <n v="1"/>
    <s v="Customer reported intermittent service and repeat disruptions"/>
    <n v="343"/>
    <x v="1"/>
    <n v="0"/>
    <s v="Jun 2025"/>
    <n v="202506"/>
    <x v="19"/>
  </r>
  <r>
    <n v="2930618401"/>
    <n v="151270577"/>
    <s v="Amber Rodriguez"/>
    <s v="williamsdarrell@example.com"/>
    <n v="70291817"/>
    <m/>
    <x v="612"/>
    <m/>
    <x v="6"/>
    <x v="5"/>
    <x v="3"/>
    <x v="3"/>
    <n v="35"/>
    <m/>
    <n v="1"/>
    <s v="App, network, or device troubleshooting requested"/>
    <n v="344"/>
    <x v="1"/>
    <n v="0"/>
    <s v="Jun 2025"/>
    <n v="202506"/>
    <x v="19"/>
  </r>
  <r>
    <n v="2962524048"/>
    <n v="154508960"/>
    <s v="Jackson Daniel"/>
    <s v="kelleyglen@example.org"/>
    <n v="71586053"/>
    <m/>
    <x v="613"/>
    <m/>
    <x v="4"/>
    <x v="5"/>
    <x v="0"/>
    <x v="3"/>
    <n v="43"/>
    <m/>
    <n v="1"/>
    <s v="App, network, or device troubleshooting requested"/>
    <n v="350"/>
    <x v="1"/>
    <n v="0"/>
    <s v="Dec 2024"/>
    <n v="202412"/>
    <x v="12"/>
  </r>
  <r>
    <n v="2984461015"/>
    <n v="756007396"/>
    <s v="Jose Palmer"/>
    <s v="fergusontrevor@example.net"/>
    <n v="28566572"/>
    <m/>
    <x v="614"/>
    <m/>
    <x v="6"/>
    <x v="2"/>
    <x v="3"/>
    <x v="3"/>
    <n v="56"/>
    <m/>
    <n v="1"/>
    <s v="Customer questioned invoice amount and prorated charges"/>
    <n v="359"/>
    <x v="1"/>
    <n v="0"/>
    <s v="Jul 2024"/>
    <n v="202407"/>
    <x v="23"/>
  </r>
  <r>
    <n v="3108657073"/>
    <n v="141127742"/>
    <s v="Krista Davis"/>
    <s v="laradonald@example.org"/>
    <n v="28566572"/>
    <m/>
    <x v="615"/>
    <m/>
    <x v="2"/>
    <x v="2"/>
    <x v="2"/>
    <x v="3"/>
    <n v="38"/>
    <m/>
    <n v="1"/>
    <s v="Customer questioned invoice amount and prorated charges"/>
    <n v="381"/>
    <x v="1"/>
    <n v="0"/>
    <s v="Jan 2024"/>
    <n v="202401"/>
    <x v="17"/>
  </r>
  <r>
    <n v="3149636709"/>
    <n v="768737754"/>
    <s v="Peggy Carr"/>
    <s v="timothyfreeman@example.com"/>
    <n v="61220073"/>
    <m/>
    <x v="616"/>
    <m/>
    <x v="4"/>
    <x v="0"/>
    <x v="0"/>
    <x v="3"/>
    <n v="44"/>
    <m/>
    <n v="1"/>
    <s v="Customer reported intermittent service and repeat disruptions"/>
    <n v="391"/>
    <x v="1"/>
    <n v="0"/>
    <s v="Jul 2024"/>
    <n v="202407"/>
    <x v="23"/>
  </r>
  <r>
    <n v="3238708828"/>
    <n v="975535611"/>
    <s v="Kyle Watkins"/>
    <s v="tjensen@example.com"/>
    <n v="45503389"/>
    <m/>
    <x v="617"/>
    <m/>
    <x v="1"/>
    <x v="0"/>
    <x v="2"/>
    <x v="3"/>
    <n v="60"/>
    <m/>
    <n v="1"/>
    <s v="Customer reported intermittent service and repeat disruptions"/>
    <n v="401"/>
    <x v="1"/>
    <n v="0"/>
    <s v="Jun 2025"/>
    <n v="202506"/>
    <x v="19"/>
  </r>
  <r>
    <n v="3247857318"/>
    <n v="785826598"/>
    <s v="David Anderson"/>
    <s v="stacey25@example.net"/>
    <n v="99949389"/>
    <m/>
    <x v="618"/>
    <m/>
    <x v="4"/>
    <x v="0"/>
    <x v="1"/>
    <x v="3"/>
    <n v="65"/>
    <m/>
    <n v="1"/>
    <s v="Customer reported intermittent service and repeat disruptions"/>
    <n v="403"/>
    <x v="1"/>
    <n v="0"/>
    <s v="Jul 2024"/>
    <n v="202407"/>
    <x v="23"/>
  </r>
  <r>
    <n v="3314002068"/>
    <n v="737506993"/>
    <s v="Lisa Li"/>
    <s v="tracyharrison@example.org"/>
    <n v="13561597"/>
    <m/>
    <x v="619"/>
    <m/>
    <x v="6"/>
    <x v="1"/>
    <x v="2"/>
    <x v="3"/>
    <n v="57"/>
    <m/>
    <n v="1"/>
    <s v="Refund status or reversal timeline inquiry"/>
    <n v="416"/>
    <x v="1"/>
    <n v="0"/>
    <s v="Nov 2024"/>
    <n v="202411"/>
    <x v="11"/>
  </r>
  <r>
    <n v="3326257337"/>
    <n v="406084084"/>
    <s v="Haley Davis"/>
    <s v="marypeterson@example.net"/>
    <n v="36687537"/>
    <m/>
    <x v="620"/>
    <m/>
    <x v="2"/>
    <x v="1"/>
    <x v="2"/>
    <x v="3"/>
    <n v="49"/>
    <m/>
    <n v="1"/>
    <s v="Refund status or reversal timeline inquiry"/>
    <n v="421"/>
    <x v="1"/>
    <n v="0"/>
    <s v="Jun 2025"/>
    <n v="202506"/>
    <x v="19"/>
  </r>
  <r>
    <n v="3416445192"/>
    <n v="702247585"/>
    <s v="Jessica Williams"/>
    <s v="brownkevin@example.org"/>
    <n v="35808537"/>
    <n v="7467381113"/>
    <x v="621"/>
    <m/>
    <x v="2"/>
    <x v="4"/>
    <x v="3"/>
    <x v="3"/>
    <n v="57"/>
    <m/>
    <n v="1"/>
    <s v="Login, OTP, or password reset issue"/>
    <n v="435"/>
    <x v="1"/>
    <n v="0"/>
    <s v="Jan 2026"/>
    <n v="202601"/>
    <x v="0"/>
  </r>
  <r>
    <n v="3432485696"/>
    <n v="832215964"/>
    <s v="Cassandra Martinez"/>
    <s v="qjackson@example.org"/>
    <n v="85329037"/>
    <m/>
    <x v="622"/>
    <m/>
    <x v="4"/>
    <x v="4"/>
    <x v="0"/>
    <x v="3"/>
    <n v="23"/>
    <m/>
    <n v="1"/>
    <s v="Login, OTP, or password reset issue"/>
    <n v="439"/>
    <x v="1"/>
    <n v="0"/>
    <s v="Apr 2024"/>
    <n v="202404"/>
    <x v="2"/>
  </r>
  <r>
    <n v="3496897808"/>
    <n v="702247585"/>
    <s v="Jessica Williams"/>
    <s v="brownkevin@example.org"/>
    <n v="78387461"/>
    <n v="7467381113"/>
    <x v="623"/>
    <m/>
    <x v="4"/>
    <x v="4"/>
    <x v="0"/>
    <x v="3"/>
    <n v="38"/>
    <m/>
    <n v="1"/>
    <s v="Login, OTP, or password reset issue"/>
    <n v="450"/>
    <x v="1"/>
    <n v="0"/>
    <s v="Dec 2024"/>
    <n v="202412"/>
    <x v="12"/>
  </r>
  <r>
    <n v="3569525340"/>
    <n v="128222260"/>
    <s v="Bryan Sanders"/>
    <s v="hailey26@example.net"/>
    <n v="24942603"/>
    <m/>
    <x v="624"/>
    <m/>
    <x v="2"/>
    <x v="5"/>
    <x v="3"/>
    <x v="3"/>
    <n v="66"/>
    <m/>
    <n v="1"/>
    <s v="App, network, or device troubleshooting requested"/>
    <n v="460"/>
    <x v="1"/>
    <n v="0"/>
    <s v="Jan 2025"/>
    <n v="202501"/>
    <x v="16"/>
  </r>
  <r>
    <n v="3597215154"/>
    <n v="786111573"/>
    <s v="Danny Bell MD"/>
    <s v="andrewbrown@example.org"/>
    <n v="96028436"/>
    <n v="4307630024"/>
    <x v="625"/>
    <m/>
    <x v="3"/>
    <x v="5"/>
    <x v="0"/>
    <x v="3"/>
    <n v="23"/>
    <m/>
    <n v="1"/>
    <s v="App, network, or device troubleshooting requested"/>
    <n v="463"/>
    <x v="1"/>
    <n v="0"/>
    <s v="Mar 2026"/>
    <n v="202603"/>
    <x v="10"/>
  </r>
  <r>
    <n v="3605959759"/>
    <n v="709844411"/>
    <s v="Laura Mosley"/>
    <s v="steelejoel@example.org"/>
    <n v="43101783"/>
    <m/>
    <x v="626"/>
    <m/>
    <x v="5"/>
    <x v="3"/>
    <x v="1"/>
    <x v="3"/>
    <n v="1"/>
    <m/>
    <n v="1"/>
    <s v="Shipment or installation appointment delayed beyond ETA"/>
    <n v="465"/>
    <x v="1"/>
    <n v="0"/>
    <s v="Mar 2024"/>
    <n v="202403"/>
    <x v="15"/>
  </r>
  <r>
    <n v="3650098209"/>
    <n v="410315830"/>
    <s v="Toni Moreno"/>
    <s v="ingramjessica@example.com"/>
    <n v="28566572"/>
    <n v="6730698191"/>
    <x v="627"/>
    <m/>
    <x v="1"/>
    <x v="1"/>
    <x v="2"/>
    <x v="3"/>
    <n v="65"/>
    <m/>
    <n v="1"/>
    <s v="Refund status or reversal timeline inquiry"/>
    <n v="474"/>
    <x v="1"/>
    <n v="0"/>
    <s v="Feb 2025"/>
    <n v="202502"/>
    <x v="14"/>
  </r>
  <r>
    <n v="3683926974"/>
    <n v="599714064"/>
    <s v="Adam Johnson"/>
    <s v="jonmcdonald@example.org"/>
    <n v="85329037"/>
    <n v="6805631767"/>
    <x v="628"/>
    <m/>
    <x v="6"/>
    <x v="1"/>
    <x v="2"/>
    <x v="3"/>
    <n v="23"/>
    <m/>
    <n v="1"/>
    <s v="Refund status or reversal timeline inquiry"/>
    <n v="480"/>
    <x v="1"/>
    <n v="0"/>
    <s v="Jun 2024"/>
    <n v="202406"/>
    <x v="26"/>
  </r>
  <r>
    <n v="3827858163"/>
    <n v="262598077"/>
    <s v="Omar Hernandez"/>
    <s v="fvasquez@example.net"/>
    <n v="40587988"/>
    <m/>
    <x v="629"/>
    <m/>
    <x v="0"/>
    <x v="2"/>
    <x v="3"/>
    <x v="3"/>
    <n v="15"/>
    <m/>
    <n v="1"/>
    <s v="Customer questioned invoice amount and prorated charges"/>
    <n v="503"/>
    <x v="1"/>
    <n v="0"/>
    <s v="Feb 2025"/>
    <n v="202502"/>
    <x v="14"/>
  </r>
  <r>
    <n v="4109623562"/>
    <n v="888340979"/>
    <s v="Brandon Rasmussen"/>
    <s v="timothy88@example.org"/>
    <n v="86149359"/>
    <m/>
    <x v="630"/>
    <m/>
    <x v="6"/>
    <x v="0"/>
    <x v="2"/>
    <x v="3"/>
    <n v="8"/>
    <m/>
    <n v="1"/>
    <s v="Customer reported intermittent service and repeat disruptions"/>
    <n v="538"/>
    <x v="1"/>
    <n v="0"/>
    <s v="Apr 2024"/>
    <n v="202404"/>
    <x v="2"/>
  </r>
  <r>
    <n v="4137153076"/>
    <n v="932120169"/>
    <s v="Kathleen Ramirez"/>
    <s v="jenniferbutler@example.org"/>
    <n v="95822412"/>
    <m/>
    <x v="631"/>
    <m/>
    <x v="2"/>
    <x v="3"/>
    <x v="1"/>
    <x v="3"/>
    <n v="22"/>
    <m/>
    <n v="1"/>
    <s v="Shipment or installation appointment delayed beyond ETA"/>
    <n v="542"/>
    <x v="1"/>
    <n v="0"/>
    <s v="Jan 2024"/>
    <n v="202401"/>
    <x v="17"/>
  </r>
  <r>
    <n v="4197230378"/>
    <n v="905196831"/>
    <s v="Diane Byrd MD"/>
    <s v="bsparks@example.com"/>
    <n v="96028436"/>
    <m/>
    <x v="632"/>
    <m/>
    <x v="4"/>
    <x v="0"/>
    <x v="2"/>
    <x v="3"/>
    <n v="66"/>
    <m/>
    <n v="1"/>
    <s v="Customer reported intermittent service and repeat disruptions"/>
    <n v="549"/>
    <x v="1"/>
    <n v="0"/>
    <s v="Jan 2025"/>
    <n v="202501"/>
    <x v="16"/>
  </r>
  <r>
    <n v="4210653582"/>
    <n v="721132087"/>
    <s v="Steven Thomas"/>
    <s v="woodphillip@example.com"/>
    <n v="23718431"/>
    <n v="4917221541"/>
    <x v="633"/>
    <m/>
    <x v="6"/>
    <x v="5"/>
    <x v="2"/>
    <x v="3"/>
    <n v="59"/>
    <m/>
    <n v="1"/>
    <s v="App, network, or device troubleshooting requested"/>
    <n v="551"/>
    <x v="1"/>
    <n v="0"/>
    <s v="Feb 2026"/>
    <n v="202602"/>
    <x v="25"/>
  </r>
  <r>
    <n v="4212617255"/>
    <n v="861003571"/>
    <s v="Ryan Perez"/>
    <s v="williamskatherine@example.org"/>
    <n v="36687537"/>
    <n v="5916093622"/>
    <x v="634"/>
    <m/>
    <x v="0"/>
    <x v="1"/>
    <x v="3"/>
    <x v="3"/>
    <n v="66"/>
    <m/>
    <n v="1"/>
    <s v="Refund status or reversal timeline inquiry"/>
    <n v="552"/>
    <x v="1"/>
    <n v="0"/>
    <s v="Mar 2024"/>
    <n v="202403"/>
    <x v="15"/>
  </r>
  <r>
    <n v="4216940195"/>
    <n v="953514394"/>
    <s v="Mr. Zachary Mora DVM"/>
    <s v="hbowers@example.net"/>
    <n v="96282117"/>
    <n v="5663076330"/>
    <x v="635"/>
    <m/>
    <x v="0"/>
    <x v="1"/>
    <x v="2"/>
    <x v="3"/>
    <n v="27"/>
    <m/>
    <n v="1"/>
    <s v="Refund status or reversal timeline inquiry"/>
    <n v="553"/>
    <x v="1"/>
    <n v="0"/>
    <s v="Sep 2024"/>
    <n v="202409"/>
    <x v="3"/>
  </r>
  <r>
    <n v="4217795669"/>
    <n v="831424323"/>
    <s v="Andrew Chavez"/>
    <s v="brianmarquez@example.com"/>
    <n v="75579548"/>
    <n v="5571870428"/>
    <x v="636"/>
    <m/>
    <x v="3"/>
    <x v="4"/>
    <x v="1"/>
    <x v="3"/>
    <n v="30"/>
    <m/>
    <n v="1"/>
    <s v="Login, OTP, or password reset issue"/>
    <n v="554"/>
    <x v="1"/>
    <n v="0"/>
    <s v="Aug 2024"/>
    <n v="202408"/>
    <x v="18"/>
  </r>
  <r>
    <n v="4314199633"/>
    <n v="130465806"/>
    <s v="Jenna Powell"/>
    <s v="fordkathryn@example.net"/>
    <n v="26753883"/>
    <m/>
    <x v="637"/>
    <m/>
    <x v="0"/>
    <x v="1"/>
    <x v="2"/>
    <x v="3"/>
    <n v="34"/>
    <m/>
    <n v="1"/>
    <s v="Refund status or reversal timeline inquiry"/>
    <n v="573"/>
    <x v="1"/>
    <n v="0"/>
    <s v="Sep 2025"/>
    <n v="202509"/>
    <x v="9"/>
  </r>
  <r>
    <n v="4384696270"/>
    <n v="416779880"/>
    <s v="Miguel Hernandez"/>
    <s v="davidgonzales@example.com"/>
    <n v="84252722"/>
    <m/>
    <x v="638"/>
    <m/>
    <x v="1"/>
    <x v="1"/>
    <x v="1"/>
    <x v="3"/>
    <n v="77"/>
    <m/>
    <n v="1"/>
    <s v="Refund status or reversal timeline inquiry"/>
    <n v="585"/>
    <x v="1"/>
    <n v="0"/>
    <s v="May 2025"/>
    <n v="202505"/>
    <x v="5"/>
  </r>
  <r>
    <n v="4559822204"/>
    <n v="262598077"/>
    <s v="Omar Hernandez"/>
    <s v="fvasquez@example.net"/>
    <n v="97971488"/>
    <m/>
    <x v="639"/>
    <m/>
    <x v="3"/>
    <x v="1"/>
    <x v="0"/>
    <x v="3"/>
    <n v="73"/>
    <m/>
    <n v="1"/>
    <s v="Refund status or reversal timeline inquiry"/>
    <n v="623"/>
    <x v="1"/>
    <n v="0"/>
    <s v="Apr 2024"/>
    <n v="202404"/>
    <x v="2"/>
  </r>
  <r>
    <n v="4652417558"/>
    <n v="913126162"/>
    <s v="Chris Miller"/>
    <s v="sheilabarnes@example.org"/>
    <n v="56164955"/>
    <n v="6042580412"/>
    <x v="640"/>
    <m/>
    <x v="1"/>
    <x v="2"/>
    <x v="0"/>
    <x v="3"/>
    <n v="55"/>
    <m/>
    <n v="1"/>
    <s v="Customer questioned invoice amount and prorated charges"/>
    <n v="638"/>
    <x v="1"/>
    <n v="0"/>
    <s v="Jan 2026"/>
    <n v="202601"/>
    <x v="0"/>
  </r>
  <r>
    <n v="4863002149"/>
    <n v="230833665"/>
    <s v="Carmen Meadows"/>
    <s v="osmith@example.net"/>
    <n v="66722344"/>
    <n v="9948318521"/>
    <x v="641"/>
    <m/>
    <x v="4"/>
    <x v="3"/>
    <x v="2"/>
    <x v="3"/>
    <n v="4"/>
    <m/>
    <n v="1"/>
    <s v="Shipment or installation appointment delayed beyond ETA"/>
    <n v="675"/>
    <x v="1"/>
    <n v="0"/>
    <s v="Jul 2024"/>
    <n v="202407"/>
    <x v="23"/>
  </r>
  <r>
    <n v="4893020391"/>
    <n v="415081566"/>
    <s v="Nicole Ward"/>
    <s v="daviskevin@example.com"/>
    <n v="13356886"/>
    <m/>
    <x v="642"/>
    <m/>
    <x v="1"/>
    <x v="2"/>
    <x v="2"/>
    <x v="3"/>
    <n v="59"/>
    <m/>
    <n v="1"/>
    <s v="Customer questioned invoice amount and prorated charges"/>
    <n v="679"/>
    <x v="1"/>
    <n v="0"/>
    <s v="Nov 2025"/>
    <n v="202511"/>
    <x v="4"/>
  </r>
  <r>
    <n v="5082013237"/>
    <n v="608678910"/>
    <s v="Lori Graves"/>
    <s v="hannah31@example.net"/>
    <n v="78137358"/>
    <m/>
    <x v="643"/>
    <m/>
    <x v="2"/>
    <x v="5"/>
    <x v="0"/>
    <x v="3"/>
    <n v="23"/>
    <m/>
    <n v="1"/>
    <s v="App, network, or device troubleshooting requested"/>
    <n v="709"/>
    <x v="1"/>
    <n v="0"/>
    <s v="Mar 2026"/>
    <n v="202603"/>
    <x v="10"/>
  </r>
  <r>
    <n v="5142122483"/>
    <n v="319068042"/>
    <s v="Lynn Young"/>
    <s v="todd24@example.org"/>
    <n v="96282117"/>
    <m/>
    <x v="644"/>
    <m/>
    <x v="0"/>
    <x v="2"/>
    <x v="0"/>
    <x v="3"/>
    <n v="21"/>
    <m/>
    <n v="1"/>
    <s v="Customer questioned invoice amount and prorated charges"/>
    <n v="718"/>
    <x v="1"/>
    <n v="0"/>
    <s v="Sep 2025"/>
    <n v="202509"/>
    <x v="9"/>
  </r>
  <r>
    <n v="5182545496"/>
    <n v="870584681"/>
    <s v="Jonathan Chandler"/>
    <s v="williamjones@example.net"/>
    <n v="12614124"/>
    <m/>
    <x v="645"/>
    <m/>
    <x v="5"/>
    <x v="2"/>
    <x v="2"/>
    <x v="3"/>
    <n v="72"/>
    <m/>
    <n v="1"/>
    <s v="Customer questioned invoice amount and prorated charges"/>
    <n v="729"/>
    <x v="1"/>
    <n v="0"/>
    <s v="Nov 2025"/>
    <n v="202511"/>
    <x v="4"/>
  </r>
  <r>
    <n v="5202070490"/>
    <n v="483426624"/>
    <s v="Brendan Zuniga"/>
    <s v="bkelley@example.com"/>
    <n v="36697396"/>
    <m/>
    <x v="646"/>
    <m/>
    <x v="5"/>
    <x v="3"/>
    <x v="1"/>
    <x v="3"/>
    <n v="49"/>
    <m/>
    <n v="1"/>
    <s v="Shipment or installation appointment delayed beyond ETA"/>
    <n v="732"/>
    <x v="1"/>
    <n v="0"/>
    <s v="Mar 2026"/>
    <n v="202603"/>
    <x v="10"/>
  </r>
  <r>
    <n v="5214501853"/>
    <n v="645055605"/>
    <s v="Samuel Galvan"/>
    <s v="james98@example.net"/>
    <n v="31682744"/>
    <n v="6249418877"/>
    <x v="647"/>
    <m/>
    <x v="5"/>
    <x v="2"/>
    <x v="1"/>
    <x v="3"/>
    <n v="21"/>
    <m/>
    <n v="1"/>
    <s v="Customer questioned invoice amount and prorated charges"/>
    <n v="736"/>
    <x v="1"/>
    <n v="0"/>
    <s v="Jul 2024"/>
    <n v="202407"/>
    <x v="23"/>
  </r>
  <r>
    <n v="5238555624"/>
    <n v="258214411"/>
    <s v="Warren Miles"/>
    <s v="rodriguezjohn@example.net"/>
    <n v="31227574"/>
    <m/>
    <x v="648"/>
    <m/>
    <x v="5"/>
    <x v="2"/>
    <x v="3"/>
    <x v="3"/>
    <n v="31"/>
    <m/>
    <n v="1"/>
    <s v="Customer questioned invoice amount and prorated charges"/>
    <n v="740"/>
    <x v="1"/>
    <n v="0"/>
    <s v="Mar 2024"/>
    <n v="202403"/>
    <x v="15"/>
  </r>
  <r>
    <n v="5337815589"/>
    <n v="755064741"/>
    <s v="Angela Warren"/>
    <s v="greenmartin@example.org"/>
    <n v="60185867"/>
    <m/>
    <x v="649"/>
    <m/>
    <x v="6"/>
    <x v="3"/>
    <x v="1"/>
    <x v="3"/>
    <n v="28"/>
    <m/>
    <n v="1"/>
    <s v="Shipment or installation appointment delayed beyond ETA"/>
    <n v="766"/>
    <x v="1"/>
    <n v="0"/>
    <s v="Dec 2024"/>
    <n v="202412"/>
    <x v="12"/>
  </r>
  <r>
    <n v="5371842591"/>
    <n v="301126777"/>
    <s v="Christopher Knight"/>
    <s v="jillwebb@example.com"/>
    <n v="38427073"/>
    <m/>
    <x v="650"/>
    <m/>
    <x v="6"/>
    <x v="4"/>
    <x v="0"/>
    <x v="3"/>
    <n v="47"/>
    <m/>
    <n v="1"/>
    <s v="Login, OTP, or password reset issue"/>
    <n v="772"/>
    <x v="1"/>
    <n v="0"/>
    <s v="Jan 2025"/>
    <n v="202501"/>
    <x v="16"/>
  </r>
  <r>
    <n v="5422697684"/>
    <n v="394689553"/>
    <s v="Keith Brooks"/>
    <s v="colepamela@example.net"/>
    <n v="46913810"/>
    <m/>
    <x v="651"/>
    <m/>
    <x v="0"/>
    <x v="1"/>
    <x v="2"/>
    <x v="3"/>
    <n v="17"/>
    <m/>
    <n v="1"/>
    <s v="Refund status or reversal timeline inquiry"/>
    <n v="784"/>
    <x v="1"/>
    <n v="0"/>
    <s v="Dec 2024"/>
    <n v="202412"/>
    <x v="12"/>
  </r>
  <r>
    <n v="5434678290"/>
    <n v="655924752"/>
    <s v="James Cook"/>
    <s v="mooneyjeremiah@example.net"/>
    <n v="77005685"/>
    <n v="1374736832"/>
    <x v="652"/>
    <m/>
    <x v="4"/>
    <x v="4"/>
    <x v="2"/>
    <x v="3"/>
    <n v="28"/>
    <m/>
    <n v="1"/>
    <s v="Login, OTP, or password reset issue"/>
    <n v="788"/>
    <x v="1"/>
    <n v="0"/>
    <s v="Oct 2024"/>
    <n v="202410"/>
    <x v="1"/>
  </r>
  <r>
    <n v="5434873419"/>
    <n v="429430802"/>
    <s v="Amy Ramirez"/>
    <s v="jason12@example.org"/>
    <n v="40587988"/>
    <m/>
    <x v="653"/>
    <m/>
    <x v="1"/>
    <x v="5"/>
    <x v="1"/>
    <x v="3"/>
    <n v="45"/>
    <m/>
    <n v="1"/>
    <s v="App, network, or device troubleshooting requested"/>
    <n v="789"/>
    <x v="1"/>
    <n v="0"/>
    <s v="Jul 2025"/>
    <n v="202507"/>
    <x v="13"/>
  </r>
  <r>
    <n v="5473047116"/>
    <n v="804086195"/>
    <s v="Jacqueline Thompson"/>
    <s v="toddlloyd@example.org"/>
    <n v="51273847"/>
    <m/>
    <x v="654"/>
    <m/>
    <x v="1"/>
    <x v="5"/>
    <x v="2"/>
    <x v="3"/>
    <n v="10"/>
    <m/>
    <n v="1"/>
    <s v="App, network, or device troubleshooting requested"/>
    <n v="795"/>
    <x v="1"/>
    <n v="0"/>
    <s v="Sep 2024"/>
    <n v="202409"/>
    <x v="3"/>
  </r>
  <r>
    <n v="5495502901"/>
    <n v="840629322"/>
    <s v="Joseph Rhodes"/>
    <s v="thomasrichard@example.net"/>
    <n v="55667651"/>
    <n v="9811035250"/>
    <x v="655"/>
    <m/>
    <x v="1"/>
    <x v="1"/>
    <x v="2"/>
    <x v="3"/>
    <n v="17"/>
    <m/>
    <n v="1"/>
    <s v="Refund status or reversal timeline inquiry"/>
    <n v="802"/>
    <x v="1"/>
    <n v="0"/>
    <s v="Jul 2025"/>
    <n v="202507"/>
    <x v="13"/>
  </r>
  <r>
    <n v="5509915131"/>
    <n v="576954730"/>
    <s v="Brenda Mitchell"/>
    <s v="ihorton@example.net"/>
    <n v="24942603"/>
    <m/>
    <x v="656"/>
    <m/>
    <x v="3"/>
    <x v="3"/>
    <x v="2"/>
    <x v="3"/>
    <n v="12"/>
    <m/>
    <n v="1"/>
    <s v="Shipment or installation appointment delayed beyond ETA"/>
    <n v="806"/>
    <x v="1"/>
    <n v="0"/>
    <s v="Nov 2025"/>
    <n v="202511"/>
    <x v="4"/>
  </r>
  <r>
    <n v="5530730504"/>
    <n v="519246503"/>
    <s v="Mark Gamble"/>
    <s v="laurengutierrez@example.com"/>
    <n v="13356886"/>
    <m/>
    <x v="657"/>
    <m/>
    <x v="2"/>
    <x v="2"/>
    <x v="2"/>
    <x v="3"/>
    <n v="50"/>
    <m/>
    <n v="1"/>
    <s v="Customer questioned invoice amount and prorated charges"/>
    <n v="807"/>
    <x v="1"/>
    <n v="0"/>
    <s v="Aug 2025"/>
    <n v="202508"/>
    <x v="22"/>
  </r>
  <r>
    <n v="5547007596"/>
    <n v="829137330"/>
    <s v="Ernest Holden"/>
    <s v="ryanlong@example.org"/>
    <n v="58181396"/>
    <n v="1916635497"/>
    <x v="658"/>
    <m/>
    <x v="0"/>
    <x v="3"/>
    <x v="2"/>
    <x v="3"/>
    <n v="61"/>
    <m/>
    <n v="1"/>
    <s v="Shipment or installation appointment delayed beyond ETA"/>
    <n v="812"/>
    <x v="1"/>
    <n v="0"/>
    <s v="Dec 2025"/>
    <n v="202512"/>
    <x v="21"/>
  </r>
  <r>
    <n v="5576674146"/>
    <n v="968253265"/>
    <s v="Sheena Guerra"/>
    <s v="kevinmartin@example.net"/>
    <n v="30868105"/>
    <m/>
    <x v="659"/>
    <m/>
    <x v="5"/>
    <x v="2"/>
    <x v="0"/>
    <x v="3"/>
    <n v="17"/>
    <m/>
    <n v="1"/>
    <s v="Customer questioned invoice amount and prorated charges"/>
    <n v="816"/>
    <x v="1"/>
    <n v="0"/>
    <s v="Mar 2025"/>
    <n v="202503"/>
    <x v="20"/>
  </r>
  <r>
    <n v="5581670573"/>
    <n v="582452834"/>
    <s v="Mackenzie Faulkner"/>
    <s v="markramirez@example.com"/>
    <n v="84752529"/>
    <m/>
    <x v="660"/>
    <m/>
    <x v="6"/>
    <x v="1"/>
    <x v="1"/>
    <x v="3"/>
    <n v="29"/>
    <m/>
    <n v="1"/>
    <s v="Refund status or reversal timeline inquiry"/>
    <n v="817"/>
    <x v="1"/>
    <n v="0"/>
    <s v="Jun 2025"/>
    <n v="202506"/>
    <x v="19"/>
  </r>
  <r>
    <n v="5601352537"/>
    <n v="402550088"/>
    <s v="Rebecca Hill"/>
    <s v="berryamy@example.com"/>
    <n v="28566572"/>
    <m/>
    <x v="661"/>
    <m/>
    <x v="5"/>
    <x v="0"/>
    <x v="0"/>
    <x v="3"/>
    <n v="11"/>
    <m/>
    <n v="1"/>
    <s v="Customer reported intermittent service and repeat disruptions"/>
    <n v="824"/>
    <x v="1"/>
    <n v="0"/>
    <s v="Dec 2025"/>
    <n v="202512"/>
    <x v="21"/>
  </r>
  <r>
    <n v="5734980659"/>
    <n v="855663125"/>
    <s v="Elizabeth Potter"/>
    <s v="caguilar@example.org"/>
    <n v="82383095"/>
    <n v="3119803089"/>
    <x v="662"/>
    <m/>
    <x v="0"/>
    <x v="1"/>
    <x v="2"/>
    <x v="3"/>
    <n v="51"/>
    <m/>
    <n v="1"/>
    <s v="Refund status or reversal timeline inquiry"/>
    <n v="841"/>
    <x v="1"/>
    <n v="0"/>
    <s v="Jan 2025"/>
    <n v="202501"/>
    <x v="16"/>
  </r>
  <r>
    <n v="5752844974"/>
    <n v="154337019"/>
    <s v="Kelly Welch"/>
    <s v="ltaylor@example.com"/>
    <n v="70897765"/>
    <m/>
    <x v="663"/>
    <m/>
    <x v="1"/>
    <x v="2"/>
    <x v="1"/>
    <x v="3"/>
    <n v="44"/>
    <m/>
    <n v="1"/>
    <s v="Customer questioned invoice amount and prorated charges"/>
    <n v="845"/>
    <x v="1"/>
    <n v="0"/>
    <s v="May 2025"/>
    <n v="202505"/>
    <x v="5"/>
  </r>
  <r>
    <n v="5775774971"/>
    <n v="247141682"/>
    <s v="John Huffman"/>
    <s v="tbrooks@example.org"/>
    <n v="68353204"/>
    <m/>
    <x v="664"/>
    <m/>
    <x v="3"/>
    <x v="3"/>
    <x v="2"/>
    <x v="3"/>
    <n v="61"/>
    <m/>
    <n v="1"/>
    <s v="Shipment or installation appointment delayed beyond ETA"/>
    <n v="851"/>
    <x v="1"/>
    <n v="0"/>
    <s v="Sep 2025"/>
    <n v="202509"/>
    <x v="9"/>
  </r>
  <r>
    <n v="5872120191"/>
    <n v="987973565"/>
    <s v="Scott Long"/>
    <s v="erivers@example.com"/>
    <n v="67503414"/>
    <n v="2482024096"/>
    <x v="665"/>
    <m/>
    <x v="1"/>
    <x v="3"/>
    <x v="2"/>
    <x v="3"/>
    <n v="48"/>
    <m/>
    <n v="1"/>
    <s v="Shipment or installation appointment delayed beyond ETA"/>
    <n v="865"/>
    <x v="1"/>
    <n v="0"/>
    <s v="Sep 2025"/>
    <n v="202509"/>
    <x v="9"/>
  </r>
  <r>
    <n v="5894791950"/>
    <n v="391651334"/>
    <s v="Katherine Porter DVM"/>
    <s v="rodneynolan@example.com"/>
    <n v="43101783"/>
    <m/>
    <x v="666"/>
    <m/>
    <x v="3"/>
    <x v="3"/>
    <x v="2"/>
    <x v="3"/>
    <n v="30"/>
    <m/>
    <n v="1"/>
    <s v="Shipment or installation appointment delayed beyond ETA"/>
    <n v="873"/>
    <x v="1"/>
    <n v="0"/>
    <s v="Jan 2025"/>
    <n v="202501"/>
    <x v="16"/>
  </r>
  <r>
    <n v="5999455318"/>
    <n v="408840720"/>
    <s v="Teresa Mcdaniel MD"/>
    <s v="jessicamills@example.org"/>
    <n v="19583482"/>
    <n v="3265654028"/>
    <x v="667"/>
    <m/>
    <x v="0"/>
    <x v="0"/>
    <x v="2"/>
    <x v="3"/>
    <n v="31"/>
    <m/>
    <n v="1"/>
    <s v="Customer reported intermittent service and repeat disruptions"/>
    <n v="891"/>
    <x v="1"/>
    <n v="0"/>
    <s v="Feb 2024"/>
    <n v="202402"/>
    <x v="7"/>
  </r>
  <r>
    <n v="6051515351"/>
    <n v="804344630"/>
    <s v="Manuel Jennings"/>
    <s v="johnsondavid@example.com"/>
    <n v="31682744"/>
    <n v="3029665156"/>
    <x v="668"/>
    <m/>
    <x v="3"/>
    <x v="2"/>
    <x v="3"/>
    <x v="3"/>
    <n v="27"/>
    <m/>
    <n v="1"/>
    <s v="Customer questioned invoice amount and prorated charges"/>
    <n v="895"/>
    <x v="1"/>
    <n v="0"/>
    <s v="May 2025"/>
    <n v="202505"/>
    <x v="5"/>
  </r>
  <r>
    <n v="6057135307"/>
    <n v="870257350"/>
    <s v="Anthony Smith"/>
    <s v="rebecca67@example.net"/>
    <n v="94374605"/>
    <m/>
    <x v="669"/>
    <m/>
    <x v="5"/>
    <x v="2"/>
    <x v="3"/>
    <x v="3"/>
    <n v="3"/>
    <m/>
    <n v="1"/>
    <s v="Customer questioned invoice amount and prorated charges"/>
    <n v="897"/>
    <x v="1"/>
    <n v="0"/>
    <s v="Sep 2024"/>
    <n v="202409"/>
    <x v="3"/>
  </r>
  <r>
    <n v="6062379674"/>
    <n v="705180256"/>
    <s v="Thomas Carter"/>
    <s v="kennedymichael@example.net"/>
    <n v="38898923"/>
    <n v="3237656262"/>
    <x v="670"/>
    <m/>
    <x v="1"/>
    <x v="0"/>
    <x v="3"/>
    <x v="3"/>
    <n v="43"/>
    <m/>
    <n v="1"/>
    <s v="Customer reported intermittent service and repeat disruptions"/>
    <n v="898"/>
    <x v="1"/>
    <n v="0"/>
    <s v="Mar 2024"/>
    <n v="202403"/>
    <x v="15"/>
  </r>
  <r>
    <n v="6072647985"/>
    <n v="583156434"/>
    <s v="Alisha Martin"/>
    <s v="lisamcdaniel@example.org"/>
    <n v="43744231"/>
    <n v="6940136692"/>
    <x v="671"/>
    <m/>
    <x v="0"/>
    <x v="4"/>
    <x v="1"/>
    <x v="3"/>
    <n v="51"/>
    <m/>
    <n v="1"/>
    <s v="Login, OTP, or password reset issue"/>
    <n v="903"/>
    <x v="1"/>
    <n v="0"/>
    <s v="Feb 2026"/>
    <n v="202602"/>
    <x v="25"/>
  </r>
  <r>
    <n v="6249606171"/>
    <n v="314939857"/>
    <s v="Joshua Cook"/>
    <s v="john43@example.net"/>
    <n v="31931511"/>
    <m/>
    <x v="672"/>
    <m/>
    <x v="6"/>
    <x v="4"/>
    <x v="3"/>
    <x v="3"/>
    <n v="24"/>
    <m/>
    <n v="1"/>
    <s v="Login, OTP, or password reset issue"/>
    <n v="930"/>
    <x v="1"/>
    <n v="0"/>
    <s v="Mar 2024"/>
    <n v="202403"/>
    <x v="15"/>
  </r>
  <r>
    <n v="6297328564"/>
    <n v="690554938"/>
    <s v="Evan Buchanan"/>
    <s v="meyertiffany@example.net"/>
    <n v="63100814"/>
    <m/>
    <x v="673"/>
    <m/>
    <x v="2"/>
    <x v="3"/>
    <x v="3"/>
    <x v="3"/>
    <n v="55"/>
    <m/>
    <n v="1"/>
    <s v="Shipment or installation appointment delayed beyond ETA"/>
    <n v="940"/>
    <x v="1"/>
    <n v="0"/>
    <s v="Feb 2024"/>
    <n v="202402"/>
    <x v="7"/>
  </r>
  <r>
    <n v="6297849570"/>
    <n v="593559955"/>
    <s v="Shannon Bates"/>
    <s v="rburns@example.com"/>
    <n v="39587039"/>
    <n v="1112729226"/>
    <x v="674"/>
    <m/>
    <x v="5"/>
    <x v="0"/>
    <x v="3"/>
    <x v="3"/>
    <n v="61"/>
    <m/>
    <n v="1"/>
    <s v="Customer reported intermittent service and repeat disruptions"/>
    <n v="941"/>
    <x v="1"/>
    <n v="0"/>
    <s v="Aug 2025"/>
    <n v="202508"/>
    <x v="22"/>
  </r>
  <r>
    <n v="6305545090"/>
    <n v="499446327"/>
    <s v="Kenneth Smith"/>
    <s v="tonya99@example.net"/>
    <n v="63843426"/>
    <m/>
    <x v="675"/>
    <m/>
    <x v="0"/>
    <x v="5"/>
    <x v="2"/>
    <x v="3"/>
    <n v="82"/>
    <m/>
    <n v="1"/>
    <s v="App, network, or device troubleshooting requested"/>
    <n v="944"/>
    <x v="1"/>
    <n v="0"/>
    <s v="Jun 2024"/>
    <n v="202406"/>
    <x v="26"/>
  </r>
  <r>
    <n v="6359398315"/>
    <n v="146744734"/>
    <s v="Scott Rubio"/>
    <s v="uwatson@example.com"/>
    <n v="19289546"/>
    <n v="2433400257"/>
    <x v="676"/>
    <m/>
    <x v="5"/>
    <x v="2"/>
    <x v="3"/>
    <x v="3"/>
    <n v="19"/>
    <m/>
    <n v="1"/>
    <s v="Customer questioned invoice amount and prorated charges"/>
    <n v="950"/>
    <x v="1"/>
    <n v="0"/>
    <s v="Feb 2024"/>
    <n v="202402"/>
    <x v="7"/>
  </r>
  <r>
    <n v="6561162527"/>
    <n v="933409017"/>
    <s v="Erin Green"/>
    <s v="steven17@example.org"/>
    <n v="24972279"/>
    <m/>
    <x v="677"/>
    <m/>
    <x v="6"/>
    <x v="5"/>
    <x v="3"/>
    <x v="3"/>
    <n v="8"/>
    <m/>
    <n v="1"/>
    <s v="App, network, or device troubleshooting requested"/>
    <n v="981"/>
    <x v="1"/>
    <n v="0"/>
    <s v="Sep 2025"/>
    <n v="202509"/>
    <x v="9"/>
  </r>
  <r>
    <n v="6578769857"/>
    <n v="999371401"/>
    <s v="Micheal West"/>
    <s v="nfleming@example.net"/>
    <n v="43744231"/>
    <m/>
    <x v="678"/>
    <m/>
    <x v="3"/>
    <x v="1"/>
    <x v="2"/>
    <x v="3"/>
    <n v="43"/>
    <m/>
    <n v="1"/>
    <s v="Refund status or reversal timeline inquiry"/>
    <n v="982"/>
    <x v="1"/>
    <n v="0"/>
    <s v="Mar 2024"/>
    <n v="202403"/>
    <x v="15"/>
  </r>
  <r>
    <n v="6608065785"/>
    <n v="314179101"/>
    <s v="Maria Olson"/>
    <s v="imcclain@example.com"/>
    <n v="55176955"/>
    <m/>
    <x v="679"/>
    <m/>
    <x v="2"/>
    <x v="1"/>
    <x v="2"/>
    <x v="3"/>
    <n v="60"/>
    <m/>
    <n v="1"/>
    <s v="Refund status or reversal timeline inquiry"/>
    <n v="986"/>
    <x v="1"/>
    <n v="0"/>
    <s v="May 2025"/>
    <n v="202505"/>
    <x v="5"/>
  </r>
  <r>
    <n v="6676525272"/>
    <n v="839393192"/>
    <s v="Nathan Jones"/>
    <s v="stephanie67@example.net"/>
    <n v="22448136"/>
    <m/>
    <x v="680"/>
    <m/>
    <x v="5"/>
    <x v="5"/>
    <x v="3"/>
    <x v="3"/>
    <n v="45"/>
    <m/>
    <n v="1"/>
    <s v="App, network, or device troubleshooting requested"/>
    <n v="995"/>
    <x v="1"/>
    <n v="0"/>
    <s v="Aug 2024"/>
    <n v="202408"/>
    <x v="18"/>
  </r>
  <r>
    <n v="6750965191"/>
    <n v="798510601"/>
    <s v="Matthew Miller"/>
    <s v="williamporter@example.net"/>
    <n v="42329237"/>
    <m/>
    <x v="681"/>
    <m/>
    <x v="2"/>
    <x v="0"/>
    <x v="3"/>
    <x v="3"/>
    <n v="49"/>
    <m/>
    <n v="1"/>
    <s v="Customer reported intermittent service and repeat disruptions"/>
    <n v="1004"/>
    <x v="1"/>
    <n v="0"/>
    <s v="Feb 2024"/>
    <n v="202402"/>
    <x v="7"/>
  </r>
  <r>
    <n v="6850950579"/>
    <n v="194264587"/>
    <s v="Philip Martinez"/>
    <s v="charles18@example.com"/>
    <n v="20709497"/>
    <n v="7591749938"/>
    <x v="682"/>
    <m/>
    <x v="6"/>
    <x v="3"/>
    <x v="0"/>
    <x v="3"/>
    <n v="38"/>
    <m/>
    <n v="1"/>
    <s v="Shipment or installation appointment delayed beyond ETA"/>
    <n v="1016"/>
    <x v="1"/>
    <n v="0"/>
    <s v="Oct 2025"/>
    <n v="202510"/>
    <x v="8"/>
  </r>
  <r>
    <n v="7068243075"/>
    <n v="775663302"/>
    <s v="Anna Sutton"/>
    <s v="wallssean@example.net"/>
    <n v="82383095"/>
    <n v="4958262912"/>
    <x v="683"/>
    <m/>
    <x v="1"/>
    <x v="5"/>
    <x v="3"/>
    <x v="3"/>
    <n v="14"/>
    <m/>
    <n v="1"/>
    <s v="App, network, or device troubleshooting requested"/>
    <n v="1043"/>
    <x v="1"/>
    <n v="0"/>
    <s v="Oct 2024"/>
    <n v="202410"/>
    <x v="1"/>
  </r>
  <r>
    <n v="7150145929"/>
    <n v="975903641"/>
    <s v="Travis Price"/>
    <s v="stephen69@example.org"/>
    <n v="99949389"/>
    <n v="1477886699"/>
    <x v="684"/>
    <m/>
    <x v="0"/>
    <x v="2"/>
    <x v="0"/>
    <x v="3"/>
    <n v="48"/>
    <m/>
    <n v="1"/>
    <s v="Customer questioned invoice amount and prorated charges"/>
    <n v="1055"/>
    <x v="1"/>
    <n v="0"/>
    <s v="Dec 2025"/>
    <n v="202512"/>
    <x v="21"/>
  </r>
  <r>
    <n v="7207494281"/>
    <n v="478918222"/>
    <s v="Morgan Lowery"/>
    <s v="alexandrabrown@example.org"/>
    <n v="96977837"/>
    <n v="3217337132"/>
    <x v="685"/>
    <m/>
    <x v="3"/>
    <x v="3"/>
    <x v="1"/>
    <x v="3"/>
    <n v="24"/>
    <m/>
    <n v="1"/>
    <s v="Shipment or installation appointment delayed beyond ETA"/>
    <n v="1064"/>
    <x v="1"/>
    <n v="0"/>
    <s v="Sep 2024"/>
    <n v="202409"/>
    <x v="3"/>
  </r>
  <r>
    <n v="7239777742"/>
    <n v="634211672"/>
    <s v="Mary Hill"/>
    <s v="danielhernandez@example.com"/>
    <n v="97226012"/>
    <m/>
    <x v="686"/>
    <m/>
    <x v="3"/>
    <x v="4"/>
    <x v="0"/>
    <x v="3"/>
    <n v="49"/>
    <m/>
    <n v="1"/>
    <s v="Login, OTP, or password reset issue"/>
    <n v="1068"/>
    <x v="1"/>
    <n v="0"/>
    <s v="Sep 2025"/>
    <n v="202509"/>
    <x v="9"/>
  </r>
  <r>
    <n v="7331491752"/>
    <n v="828326405"/>
    <s v="Pamela Ramirez"/>
    <s v="andersoncolin@example.com"/>
    <n v="96028436"/>
    <n v="8788895724"/>
    <x v="687"/>
    <m/>
    <x v="6"/>
    <x v="2"/>
    <x v="2"/>
    <x v="3"/>
    <n v="5"/>
    <m/>
    <n v="1"/>
    <s v="Customer questioned invoice amount and prorated charges"/>
    <n v="1081"/>
    <x v="1"/>
    <n v="0"/>
    <s v="Mar 2024"/>
    <n v="202403"/>
    <x v="15"/>
  </r>
  <r>
    <n v="7482771866"/>
    <n v="861888313"/>
    <s v="Jesus Becker"/>
    <s v="john92@example.org"/>
    <n v="81691040"/>
    <n v="5854636277"/>
    <x v="688"/>
    <m/>
    <x v="4"/>
    <x v="0"/>
    <x v="2"/>
    <x v="3"/>
    <n v="18"/>
    <m/>
    <n v="1"/>
    <s v="Customer reported intermittent service and repeat disruptions"/>
    <n v="1103"/>
    <x v="1"/>
    <n v="0"/>
    <s v="Jun 2024"/>
    <n v="202406"/>
    <x v="26"/>
  </r>
  <r>
    <n v="7515565008"/>
    <n v="486066116"/>
    <s v="Brittany Carr"/>
    <s v="morrowdonald@example.net"/>
    <n v="81971316"/>
    <m/>
    <x v="689"/>
    <m/>
    <x v="6"/>
    <x v="2"/>
    <x v="2"/>
    <x v="3"/>
    <n v="67"/>
    <m/>
    <n v="1"/>
    <s v="Customer questioned invoice amount and prorated charges"/>
    <n v="1109"/>
    <x v="1"/>
    <n v="0"/>
    <s v="Aug 2025"/>
    <n v="202508"/>
    <x v="22"/>
  </r>
  <r>
    <n v="7524043085"/>
    <n v="583100677"/>
    <s v="Bridget Powell"/>
    <s v="paigeweber@example.net"/>
    <n v="58966946"/>
    <n v="7818599399"/>
    <x v="690"/>
    <m/>
    <x v="2"/>
    <x v="1"/>
    <x v="1"/>
    <x v="3"/>
    <n v="56"/>
    <m/>
    <n v="1"/>
    <s v="Refund status or reversal timeline inquiry"/>
    <n v="1111"/>
    <x v="1"/>
    <n v="0"/>
    <s v="Jan 2024"/>
    <n v="202401"/>
    <x v="17"/>
  </r>
  <r>
    <n v="7646947955"/>
    <n v="247395716"/>
    <s v="Carrie Daniels"/>
    <s v="mclaughlinjames@example.org"/>
    <n v="10076758"/>
    <n v="2952400435"/>
    <x v="691"/>
    <m/>
    <x v="2"/>
    <x v="1"/>
    <x v="3"/>
    <x v="3"/>
    <n v="43"/>
    <m/>
    <n v="1"/>
    <s v="Refund status or reversal timeline inquiry"/>
    <n v="1134"/>
    <x v="1"/>
    <n v="0"/>
    <s v="Sep 2024"/>
    <n v="202409"/>
    <x v="3"/>
  </r>
  <r>
    <n v="7689653425"/>
    <n v="419561201"/>
    <s v="Shawn Avila"/>
    <s v="michealhardy@example.net"/>
    <n v="94374605"/>
    <m/>
    <x v="692"/>
    <m/>
    <x v="1"/>
    <x v="0"/>
    <x v="3"/>
    <x v="3"/>
    <n v="30"/>
    <m/>
    <n v="1"/>
    <s v="Customer reported intermittent service and repeat disruptions"/>
    <n v="1143"/>
    <x v="1"/>
    <n v="0"/>
    <s v="Apr 2025"/>
    <n v="202504"/>
    <x v="6"/>
  </r>
  <r>
    <n v="7692375192"/>
    <n v="968704078"/>
    <s v="Travis Stevens"/>
    <s v="christopher13@example.com"/>
    <n v="42138745"/>
    <n v="5386405648"/>
    <x v="693"/>
    <m/>
    <x v="4"/>
    <x v="5"/>
    <x v="2"/>
    <x v="3"/>
    <n v="40"/>
    <m/>
    <n v="1"/>
    <s v="App, network, or device troubleshooting requested"/>
    <n v="1145"/>
    <x v="1"/>
    <n v="0"/>
    <s v="Oct 2024"/>
    <n v="202410"/>
    <x v="1"/>
  </r>
  <r>
    <n v="7701274877"/>
    <n v="841193655"/>
    <s v="Catherine Simmons"/>
    <s v="ernestrich@example.net"/>
    <n v="78139880"/>
    <n v="8859084754"/>
    <x v="694"/>
    <m/>
    <x v="6"/>
    <x v="2"/>
    <x v="3"/>
    <x v="3"/>
    <n v="19"/>
    <m/>
    <n v="1"/>
    <s v="Customer questioned invoice amount and prorated charges"/>
    <n v="1146"/>
    <x v="1"/>
    <n v="0"/>
    <s v="Oct 2025"/>
    <n v="202510"/>
    <x v="8"/>
  </r>
  <r>
    <n v="7767115101"/>
    <n v="244796859"/>
    <s v="Margaret Padilla"/>
    <s v="meyershannon@example.org"/>
    <n v="52339391"/>
    <m/>
    <x v="695"/>
    <m/>
    <x v="5"/>
    <x v="5"/>
    <x v="0"/>
    <x v="3"/>
    <n v="39"/>
    <m/>
    <n v="1"/>
    <s v="App, network, or device troubleshooting requested"/>
    <n v="1154"/>
    <x v="1"/>
    <n v="0"/>
    <s v="Jul 2024"/>
    <n v="202407"/>
    <x v="23"/>
  </r>
  <r>
    <n v="7798241428"/>
    <n v="715122372"/>
    <s v="Joseph Horn"/>
    <s v="cheryl54@example.com"/>
    <n v="63551839"/>
    <m/>
    <x v="696"/>
    <m/>
    <x v="1"/>
    <x v="0"/>
    <x v="0"/>
    <x v="3"/>
    <n v="25"/>
    <m/>
    <n v="1"/>
    <s v="Customer reported intermittent service and repeat disruptions"/>
    <n v="1156"/>
    <x v="1"/>
    <n v="0"/>
    <s v="Sep 2024"/>
    <n v="202409"/>
    <x v="3"/>
  </r>
  <r>
    <n v="7864120631"/>
    <n v="714478186"/>
    <s v="Christopher Hart"/>
    <s v="millerdavid@example.com"/>
    <n v="30514014"/>
    <n v="3470966406"/>
    <x v="697"/>
    <m/>
    <x v="6"/>
    <x v="0"/>
    <x v="2"/>
    <x v="3"/>
    <n v="77"/>
    <m/>
    <n v="1"/>
    <s v="Customer reported intermittent service and repeat disruptions"/>
    <n v="1168"/>
    <x v="1"/>
    <n v="0"/>
    <s v="Dec 2024"/>
    <n v="202412"/>
    <x v="12"/>
  </r>
  <r>
    <n v="7893058289"/>
    <n v="407209235"/>
    <s v="Jeff Wilkins"/>
    <s v="lkelly@example.com"/>
    <n v="28740864"/>
    <m/>
    <x v="698"/>
    <m/>
    <x v="4"/>
    <x v="4"/>
    <x v="2"/>
    <x v="3"/>
    <n v="65"/>
    <m/>
    <n v="1"/>
    <s v="Login, OTP, or password reset issue"/>
    <n v="1172"/>
    <x v="1"/>
    <n v="0"/>
    <s v="Dec 2024"/>
    <n v="202412"/>
    <x v="12"/>
  </r>
  <r>
    <n v="7945899105"/>
    <n v="139711044"/>
    <s v="Charles Delgado"/>
    <s v="thomasantonio@example.net"/>
    <n v="50056581"/>
    <m/>
    <x v="699"/>
    <m/>
    <x v="4"/>
    <x v="4"/>
    <x v="1"/>
    <x v="3"/>
    <n v="25"/>
    <m/>
    <n v="1"/>
    <s v="Login, OTP, or password reset issue"/>
    <n v="1179"/>
    <x v="1"/>
    <n v="0"/>
    <s v="Apr 2025"/>
    <n v="202504"/>
    <x v="6"/>
  </r>
  <r>
    <n v="7973074025"/>
    <n v="852178601"/>
    <s v="Jamie Lindsey"/>
    <s v="ureed@example.com"/>
    <n v="31227574"/>
    <n v="4078487866"/>
    <x v="700"/>
    <m/>
    <x v="3"/>
    <x v="1"/>
    <x v="3"/>
    <x v="3"/>
    <n v="10"/>
    <m/>
    <n v="1"/>
    <s v="Refund status or reversal timeline inquiry"/>
    <n v="1181"/>
    <x v="1"/>
    <n v="0"/>
    <s v="Jul 2025"/>
    <n v="202507"/>
    <x v="13"/>
  </r>
  <r>
    <n v="8018179960"/>
    <n v="613646933"/>
    <s v="Tony Smith"/>
    <s v="zwilliams@example.com"/>
    <n v="45935572"/>
    <n v="3957514493"/>
    <x v="701"/>
    <m/>
    <x v="5"/>
    <x v="3"/>
    <x v="3"/>
    <x v="3"/>
    <n v="39"/>
    <m/>
    <n v="1"/>
    <s v="Shipment or installation appointment delayed beyond ETA"/>
    <n v="1186"/>
    <x v="1"/>
    <n v="0"/>
    <s v="Jan 2025"/>
    <n v="202501"/>
    <x v="16"/>
  </r>
  <r>
    <n v="8205401456"/>
    <n v="399580835"/>
    <s v="Anthony Stanley"/>
    <s v="nicholasfields@example.org"/>
    <n v="41244663"/>
    <m/>
    <x v="702"/>
    <m/>
    <x v="1"/>
    <x v="2"/>
    <x v="0"/>
    <x v="3"/>
    <n v="39"/>
    <m/>
    <n v="1"/>
    <s v="Customer questioned invoice amount and prorated charges"/>
    <n v="1212"/>
    <x v="1"/>
    <n v="0"/>
    <s v="Aug 2024"/>
    <n v="202408"/>
    <x v="18"/>
  </r>
  <r>
    <n v="8223580959"/>
    <n v="415429295"/>
    <s v="Anthony Davidson"/>
    <s v="kimberlywang@example.org"/>
    <n v="19583482"/>
    <n v="6780272082"/>
    <x v="703"/>
    <m/>
    <x v="3"/>
    <x v="0"/>
    <x v="2"/>
    <x v="3"/>
    <n v="110"/>
    <m/>
    <n v="1"/>
    <s v="Customer reported intermittent service and repeat disruptions"/>
    <n v="1217"/>
    <x v="1"/>
    <n v="0"/>
    <s v="Aug 2024"/>
    <n v="202408"/>
    <x v="18"/>
  </r>
  <r>
    <n v="8250302474"/>
    <n v="451581531"/>
    <s v="Jesse Tucker"/>
    <s v="dhenderson@example.com"/>
    <n v="93926371"/>
    <n v="4881785530"/>
    <x v="704"/>
    <m/>
    <x v="6"/>
    <x v="5"/>
    <x v="0"/>
    <x v="3"/>
    <n v="6"/>
    <m/>
    <n v="1"/>
    <s v="App, network, or device troubleshooting requested"/>
    <n v="1220"/>
    <x v="1"/>
    <n v="0"/>
    <s v="Nov 2024"/>
    <n v="202411"/>
    <x v="11"/>
  </r>
  <r>
    <n v="8275338348"/>
    <n v="387195524"/>
    <s v="Nancy Cook"/>
    <s v="rachael29@example.net"/>
    <n v="70291817"/>
    <m/>
    <x v="705"/>
    <m/>
    <x v="5"/>
    <x v="0"/>
    <x v="2"/>
    <x v="3"/>
    <n v="20"/>
    <m/>
    <n v="1"/>
    <s v="Customer reported intermittent service and repeat disruptions"/>
    <n v="1226"/>
    <x v="1"/>
    <n v="0"/>
    <s v="Feb 2025"/>
    <n v="202502"/>
    <x v="14"/>
  </r>
  <r>
    <n v="8488196081"/>
    <n v="220483278"/>
    <s v="Tammy Richards"/>
    <s v="madelinebrooks@example.net"/>
    <n v="16150444"/>
    <m/>
    <x v="706"/>
    <m/>
    <x v="0"/>
    <x v="3"/>
    <x v="1"/>
    <x v="3"/>
    <n v="25"/>
    <m/>
    <n v="1"/>
    <s v="Shipment or installation appointment delayed beyond ETA"/>
    <n v="1253"/>
    <x v="1"/>
    <n v="0"/>
    <s v="Nov 2025"/>
    <n v="202511"/>
    <x v="4"/>
  </r>
  <r>
    <n v="8543193130"/>
    <n v="182855381"/>
    <s v="Jason Morris"/>
    <s v="hodgemark@example.net"/>
    <n v="80823176"/>
    <m/>
    <x v="707"/>
    <m/>
    <x v="0"/>
    <x v="1"/>
    <x v="3"/>
    <x v="3"/>
    <n v="25"/>
    <m/>
    <n v="1"/>
    <s v="Refund status or reversal timeline inquiry"/>
    <n v="1267"/>
    <x v="1"/>
    <n v="0"/>
    <s v="Oct 2025"/>
    <n v="202510"/>
    <x v="8"/>
  </r>
  <r>
    <n v="8642627217"/>
    <n v="630452018"/>
    <s v="Laura Gregory"/>
    <s v="nicholasmcgrath@example.net"/>
    <n v="19583482"/>
    <n v="3018176579"/>
    <x v="708"/>
    <m/>
    <x v="5"/>
    <x v="4"/>
    <x v="0"/>
    <x v="3"/>
    <n v="51"/>
    <m/>
    <n v="1"/>
    <s v="Login, OTP, or password reset issue"/>
    <n v="1287"/>
    <x v="1"/>
    <n v="0"/>
    <s v="Aug 2025"/>
    <n v="202508"/>
    <x v="22"/>
  </r>
  <r>
    <n v="8707801854"/>
    <n v="576676179"/>
    <s v="Heather Garcia"/>
    <s v="fpoole@example.org"/>
    <n v="88461803"/>
    <m/>
    <x v="709"/>
    <m/>
    <x v="6"/>
    <x v="0"/>
    <x v="0"/>
    <x v="3"/>
    <n v="32"/>
    <m/>
    <n v="1"/>
    <s v="Customer reported intermittent service and repeat disruptions"/>
    <n v="1299"/>
    <x v="1"/>
    <n v="0"/>
    <s v="Jan 2025"/>
    <n v="202501"/>
    <x v="16"/>
  </r>
  <r>
    <n v="8754233587"/>
    <n v="973498494"/>
    <s v="Karl Murphy"/>
    <s v="ericnunez@example.com"/>
    <n v="22981052"/>
    <m/>
    <x v="710"/>
    <m/>
    <x v="3"/>
    <x v="0"/>
    <x v="1"/>
    <x v="3"/>
    <n v="90"/>
    <m/>
    <n v="1"/>
    <s v="Customer reported intermittent service and repeat disruptions"/>
    <n v="1304"/>
    <x v="1"/>
    <n v="0"/>
    <s v="Oct 2025"/>
    <n v="202510"/>
    <x v="8"/>
  </r>
  <r>
    <n v="8769905816"/>
    <n v="133436988"/>
    <s v="Dr. Douglas Ward MD"/>
    <s v="chloe48@example.com"/>
    <n v="42329237"/>
    <m/>
    <x v="711"/>
    <m/>
    <x v="4"/>
    <x v="5"/>
    <x v="2"/>
    <x v="3"/>
    <n v="12"/>
    <m/>
    <n v="1"/>
    <s v="App, network, or device troubleshooting requested"/>
    <n v="1308"/>
    <x v="1"/>
    <n v="0"/>
    <s v="Apr 2024"/>
    <n v="202404"/>
    <x v="2"/>
  </r>
  <r>
    <n v="8897283350"/>
    <n v="949738493"/>
    <s v="Kelly Haynes"/>
    <s v="stephen19@example.org"/>
    <n v="19335534"/>
    <m/>
    <x v="712"/>
    <m/>
    <x v="6"/>
    <x v="3"/>
    <x v="2"/>
    <x v="3"/>
    <n v="78"/>
    <m/>
    <n v="1"/>
    <s v="Shipment or installation appointment delayed beyond ETA"/>
    <n v="1329"/>
    <x v="1"/>
    <n v="0"/>
    <s v="Aug 2025"/>
    <n v="202508"/>
    <x v="22"/>
  </r>
  <r>
    <n v="8978424374"/>
    <n v="613962746"/>
    <s v="Joshua Marsh"/>
    <s v="markduran@example.com"/>
    <n v="16323852"/>
    <n v="2306916015"/>
    <x v="713"/>
    <m/>
    <x v="1"/>
    <x v="2"/>
    <x v="2"/>
    <x v="3"/>
    <n v="49"/>
    <m/>
    <n v="1"/>
    <s v="Customer questioned invoice amount and prorated charges"/>
    <n v="1340"/>
    <x v="1"/>
    <n v="0"/>
    <s v="Aug 2025"/>
    <n v="202508"/>
    <x v="22"/>
  </r>
  <r>
    <n v="9049397811"/>
    <n v="299929730"/>
    <s v="Robert Wilkinson"/>
    <s v="jenniferpierce@example.org"/>
    <n v="29175900"/>
    <n v="2137095986"/>
    <x v="714"/>
    <m/>
    <x v="6"/>
    <x v="0"/>
    <x v="2"/>
    <x v="3"/>
    <n v="19"/>
    <m/>
    <n v="1"/>
    <s v="Customer reported intermittent service and repeat disruptions"/>
    <n v="1354"/>
    <x v="1"/>
    <n v="0"/>
    <s v="Dec 2025"/>
    <n v="202512"/>
    <x v="21"/>
  </r>
  <r>
    <n v="9167683678"/>
    <n v="196057712"/>
    <s v="Luke Alexander"/>
    <s v="sbradley@example.org"/>
    <n v="39587039"/>
    <m/>
    <x v="715"/>
    <m/>
    <x v="0"/>
    <x v="3"/>
    <x v="1"/>
    <x v="3"/>
    <n v="66"/>
    <m/>
    <n v="1"/>
    <s v="Shipment or installation appointment delayed beyond ETA"/>
    <n v="1380"/>
    <x v="1"/>
    <n v="0"/>
    <s v="Feb 2024"/>
    <n v="202402"/>
    <x v="7"/>
  </r>
  <r>
    <n v="9215167368"/>
    <n v="522950895"/>
    <s v="Anna Smith"/>
    <s v="smithpaul@example.org"/>
    <n v="42329237"/>
    <n v="9782669254"/>
    <x v="716"/>
    <m/>
    <x v="1"/>
    <x v="2"/>
    <x v="0"/>
    <x v="3"/>
    <n v="79"/>
    <m/>
    <n v="1"/>
    <s v="Customer questioned invoice amount and prorated charges"/>
    <n v="1386"/>
    <x v="1"/>
    <n v="0"/>
    <s v="May 2024"/>
    <n v="202405"/>
    <x v="24"/>
  </r>
  <r>
    <n v="9236929261"/>
    <n v="855663125"/>
    <s v="Elizabeth Potter"/>
    <s v="caguilar@example.org"/>
    <n v="18526544"/>
    <m/>
    <x v="717"/>
    <m/>
    <x v="0"/>
    <x v="4"/>
    <x v="2"/>
    <x v="3"/>
    <n v="44"/>
    <m/>
    <n v="1"/>
    <s v="Login, OTP, or password reset issue"/>
    <n v="1391"/>
    <x v="1"/>
    <n v="0"/>
    <s v="Apr 2024"/>
    <n v="202404"/>
    <x v="2"/>
  </r>
  <r>
    <n v="9270643759"/>
    <n v="676267306"/>
    <s v="Jason Foster"/>
    <s v="hyates@example.org"/>
    <n v="60929647"/>
    <m/>
    <x v="718"/>
    <m/>
    <x v="5"/>
    <x v="2"/>
    <x v="3"/>
    <x v="3"/>
    <n v="70"/>
    <m/>
    <n v="1"/>
    <s v="Customer questioned invoice amount and prorated charges"/>
    <n v="1398"/>
    <x v="1"/>
    <n v="0"/>
    <s v="Jan 2026"/>
    <n v="202601"/>
    <x v="0"/>
  </r>
  <r>
    <n v="9460641311"/>
    <n v="276799196"/>
    <s v="Stephanie Gonzalez"/>
    <s v="mariodowns@example.net"/>
    <n v="31472420"/>
    <m/>
    <x v="719"/>
    <m/>
    <x v="0"/>
    <x v="2"/>
    <x v="2"/>
    <x v="3"/>
    <n v="67"/>
    <m/>
    <n v="1"/>
    <s v="Customer questioned invoice amount and prorated charges"/>
    <n v="1428"/>
    <x v="1"/>
    <n v="0"/>
    <s v="Jun 2024"/>
    <n v="202406"/>
    <x v="26"/>
  </r>
  <r>
    <n v="9483904304"/>
    <n v="576642996"/>
    <s v="Pamela Wheeler"/>
    <s v="qkelly@example.net"/>
    <n v="55667651"/>
    <m/>
    <x v="720"/>
    <m/>
    <x v="4"/>
    <x v="4"/>
    <x v="2"/>
    <x v="3"/>
    <n v="56"/>
    <m/>
    <n v="1"/>
    <s v="Login, OTP, or password reset issue"/>
    <n v="1430"/>
    <x v="1"/>
    <n v="0"/>
    <s v="Sep 2025"/>
    <n v="202509"/>
    <x v="9"/>
  </r>
  <r>
    <n v="9584753191"/>
    <n v="409346714"/>
    <s v="Keith Knox"/>
    <s v="tthomas@example.org"/>
    <n v="77187530"/>
    <n v="2944697243"/>
    <x v="721"/>
    <m/>
    <x v="2"/>
    <x v="0"/>
    <x v="0"/>
    <x v="3"/>
    <n v="54"/>
    <m/>
    <n v="1"/>
    <s v="Customer reported intermittent service and repeat disruptions"/>
    <n v="1446"/>
    <x v="1"/>
    <n v="0"/>
    <s v="Mar 2024"/>
    <n v="202403"/>
    <x v="15"/>
  </r>
  <r>
    <n v="9592274341"/>
    <n v="582032731"/>
    <s v="Sergio Gomez"/>
    <s v="yhill@example.org"/>
    <n v="60929647"/>
    <m/>
    <x v="722"/>
    <m/>
    <x v="5"/>
    <x v="5"/>
    <x v="2"/>
    <x v="3"/>
    <n v="100"/>
    <m/>
    <n v="1"/>
    <s v="App, network, or device troubleshooting requested"/>
    <n v="1448"/>
    <x v="1"/>
    <n v="0"/>
    <s v="Nov 2024"/>
    <n v="202411"/>
    <x v="11"/>
  </r>
  <r>
    <n v="9603733919"/>
    <n v="462516271"/>
    <s v="Daniel Petersen"/>
    <s v="brownkevin@example.com"/>
    <n v="32969840"/>
    <m/>
    <x v="723"/>
    <m/>
    <x v="4"/>
    <x v="1"/>
    <x v="2"/>
    <x v="3"/>
    <n v="41"/>
    <m/>
    <n v="1"/>
    <s v="Refund status or reversal timeline inquiry"/>
    <n v="1450"/>
    <x v="1"/>
    <n v="0"/>
    <s v="Jan 2024"/>
    <n v="202401"/>
    <x v="17"/>
  </r>
  <r>
    <n v="9605369769"/>
    <n v="455069350"/>
    <s v="Lori Browning"/>
    <s v="veronicarogers@example.net"/>
    <n v="22575562"/>
    <m/>
    <x v="724"/>
    <m/>
    <x v="3"/>
    <x v="1"/>
    <x v="1"/>
    <x v="3"/>
    <n v="19"/>
    <m/>
    <n v="1"/>
    <s v="Refund status or reversal timeline inquiry"/>
    <n v="1451"/>
    <x v="1"/>
    <n v="0"/>
    <s v="May 2025"/>
    <n v="202505"/>
    <x v="5"/>
  </r>
  <r>
    <n v="9656747042"/>
    <n v="471904990"/>
    <s v="Mary Johnson"/>
    <s v="xhill@example.org"/>
    <n v="91734598"/>
    <n v="1043162941"/>
    <x v="725"/>
    <m/>
    <x v="5"/>
    <x v="0"/>
    <x v="0"/>
    <x v="3"/>
    <n v="42"/>
    <m/>
    <n v="1"/>
    <s v="Customer reported intermittent service and repeat disruptions"/>
    <n v="1458"/>
    <x v="1"/>
    <n v="0"/>
    <s v="Dec 2025"/>
    <n v="202512"/>
    <x v="21"/>
  </r>
  <r>
    <n v="9708004856"/>
    <n v="889401015"/>
    <s v="Lisa Diaz"/>
    <s v="malikbrown@example.net"/>
    <n v="43744231"/>
    <n v="8242457324"/>
    <x v="726"/>
    <m/>
    <x v="6"/>
    <x v="2"/>
    <x v="1"/>
    <x v="3"/>
    <n v="47"/>
    <m/>
    <n v="1"/>
    <s v="Customer questioned invoice amount and prorated charges"/>
    <n v="1470"/>
    <x v="1"/>
    <n v="0"/>
    <s v="Apr 2024"/>
    <n v="202404"/>
    <x v="2"/>
  </r>
  <r>
    <n v="9738571759"/>
    <n v="337135066"/>
    <s v="Seth Curry"/>
    <s v="larsonjennifer@example.org"/>
    <n v="15831819"/>
    <m/>
    <x v="727"/>
    <m/>
    <x v="2"/>
    <x v="4"/>
    <x v="0"/>
    <x v="3"/>
    <n v="57"/>
    <m/>
    <n v="1"/>
    <s v="Login, OTP, or password reset issue"/>
    <n v="1473"/>
    <x v="1"/>
    <n v="0"/>
    <s v="Oct 2025"/>
    <n v="202510"/>
    <x v="8"/>
  </r>
  <r>
    <n v="9757750532"/>
    <n v="861639583"/>
    <s v="Ryan Barker"/>
    <s v="swalters@example.net"/>
    <n v="98753260"/>
    <m/>
    <x v="728"/>
    <m/>
    <x v="3"/>
    <x v="3"/>
    <x v="0"/>
    <x v="3"/>
    <n v="96"/>
    <m/>
    <n v="1"/>
    <s v="Shipment or installation appointment delayed beyond ETA"/>
    <n v="1475"/>
    <x v="1"/>
    <n v="0"/>
    <s v="Dec 2024"/>
    <n v="202412"/>
    <x v="12"/>
  </r>
  <r>
    <n v="9869132245"/>
    <n v="141127742"/>
    <s v="Krista Davis"/>
    <s v="laradonald@example.org"/>
    <n v="45551614"/>
    <m/>
    <x v="729"/>
    <m/>
    <x v="4"/>
    <x v="3"/>
    <x v="2"/>
    <x v="3"/>
    <n v="28"/>
    <m/>
    <n v="1"/>
    <s v="Shipment or installation appointment delayed beyond ETA"/>
    <n v="1489"/>
    <x v="1"/>
    <n v="0"/>
    <s v="May 2024"/>
    <n v="202405"/>
    <x v="24"/>
  </r>
  <r>
    <n v="9920537307"/>
    <n v="730104453"/>
    <s v="Lauren Bowman"/>
    <s v="angelathomas@example.org"/>
    <n v="87490893"/>
    <n v="2462222211"/>
    <x v="730"/>
    <m/>
    <x v="0"/>
    <x v="1"/>
    <x v="0"/>
    <x v="3"/>
    <n v="41"/>
    <m/>
    <n v="1"/>
    <s v="Refund status or reversal timeline inquiry"/>
    <n v="1492"/>
    <x v="1"/>
    <n v="0"/>
    <s v="Mar 2024"/>
    <n v="202403"/>
    <x v="15"/>
  </r>
  <r>
    <n v="1070375283"/>
    <n v="920772671"/>
    <s v="Nicole Norman"/>
    <s v="megangates@example.com"/>
    <n v="45575298"/>
    <n v="3891804979"/>
    <x v="731"/>
    <m/>
    <x v="6"/>
    <x v="1"/>
    <x v="2"/>
    <x v="4"/>
    <n v="70"/>
    <m/>
    <n v="0"/>
    <s v="Refund status or reversal timeline inquiry"/>
    <n v="13"/>
    <x v="2"/>
    <n v="0"/>
    <s v="Jul 2025"/>
    <n v="202507"/>
    <x v="13"/>
  </r>
  <r>
    <n v="1124740399"/>
    <n v="349344539"/>
    <s v="Jonathan Williams"/>
    <s v="abaker@example.com"/>
    <n v="82394227"/>
    <m/>
    <x v="732"/>
    <m/>
    <x v="2"/>
    <x v="5"/>
    <x v="2"/>
    <x v="4"/>
    <n v="70"/>
    <m/>
    <n v="0"/>
    <s v="App, network, or device troubleshooting requested"/>
    <n v="22"/>
    <x v="2"/>
    <n v="0"/>
    <s v="May 2025"/>
    <n v="202505"/>
    <x v="5"/>
  </r>
  <r>
    <n v="1129738207"/>
    <n v="992398092"/>
    <s v="Sara Cochran"/>
    <s v="lweaver@example.com"/>
    <n v="38317637"/>
    <m/>
    <x v="733"/>
    <m/>
    <x v="5"/>
    <x v="3"/>
    <x v="1"/>
    <x v="4"/>
    <n v="38"/>
    <m/>
    <n v="0"/>
    <s v="Shipment or installation appointment delayed beyond ETA"/>
    <n v="25"/>
    <x v="2"/>
    <n v="0"/>
    <s v="May 2024"/>
    <n v="202405"/>
    <x v="24"/>
  </r>
  <r>
    <n v="1240733092"/>
    <n v="406819991"/>
    <s v="Brenda Carrillo"/>
    <s v="susan57@example.net"/>
    <n v="20709497"/>
    <m/>
    <x v="734"/>
    <m/>
    <x v="0"/>
    <x v="0"/>
    <x v="2"/>
    <x v="4"/>
    <n v="38"/>
    <m/>
    <n v="0"/>
    <s v="Customer reported intermittent service and repeat disruptions"/>
    <n v="45"/>
    <x v="2"/>
    <n v="0"/>
    <s v="Oct 2025"/>
    <n v="202510"/>
    <x v="8"/>
  </r>
  <r>
    <n v="1251020894"/>
    <n v="306442077"/>
    <s v="Steven Holland"/>
    <s v="cobbkaitlyn@example.net"/>
    <n v="31472420"/>
    <n v="9516613938"/>
    <x v="735"/>
    <m/>
    <x v="0"/>
    <x v="2"/>
    <x v="1"/>
    <x v="4"/>
    <n v="37"/>
    <m/>
    <n v="0"/>
    <s v="Customer questioned invoice amount and prorated charges"/>
    <n v="50"/>
    <x v="2"/>
    <n v="0"/>
    <s v="Jan 2026"/>
    <n v="202601"/>
    <x v="0"/>
  </r>
  <r>
    <n v="1338726436"/>
    <n v="880862406"/>
    <s v="John Griffin"/>
    <s v="wmatthews@example.com"/>
    <n v="46231783"/>
    <m/>
    <x v="736"/>
    <d v="2025-03-11T16:50:08"/>
    <x v="5"/>
    <x v="5"/>
    <x v="2"/>
    <x v="4"/>
    <n v="52"/>
    <n v="714"/>
    <n v="0"/>
    <s v="App, network, or device troubleshooting requested"/>
    <n v="62"/>
    <x v="2"/>
    <n v="0"/>
    <s v="Mar 2025"/>
    <n v="202503"/>
    <x v="20"/>
  </r>
  <r>
    <n v="1359522952"/>
    <n v="991617660"/>
    <s v="Robert Gonzalez"/>
    <s v="eric11@example.net"/>
    <n v="93926371"/>
    <m/>
    <x v="737"/>
    <d v="2025-04-25T10:01:39"/>
    <x v="4"/>
    <x v="2"/>
    <x v="0"/>
    <x v="4"/>
    <n v="59"/>
    <n v="1065"/>
    <n v="0"/>
    <s v="Customer questioned invoice amount and prorated charges"/>
    <n v="64"/>
    <x v="2"/>
    <n v="0"/>
    <s v="Apr 2025"/>
    <n v="202504"/>
    <x v="6"/>
  </r>
  <r>
    <n v="1405330575"/>
    <n v="564520346"/>
    <s v="Sean Johnson"/>
    <s v="edwardford@example.net"/>
    <n v="95320121"/>
    <m/>
    <x v="738"/>
    <m/>
    <x v="6"/>
    <x v="1"/>
    <x v="0"/>
    <x v="4"/>
    <n v="25"/>
    <m/>
    <n v="0"/>
    <s v="Refund status or reversal timeline inquiry"/>
    <n v="74"/>
    <x v="2"/>
    <n v="0"/>
    <s v="Jan 2024"/>
    <n v="202401"/>
    <x v="17"/>
  </r>
  <r>
    <n v="1443616223"/>
    <n v="778556450"/>
    <s v="Joshua Howard"/>
    <s v="rgarcia@example.net"/>
    <n v="84252722"/>
    <n v="4220863567"/>
    <x v="739"/>
    <m/>
    <x v="1"/>
    <x v="4"/>
    <x v="2"/>
    <x v="4"/>
    <n v="56"/>
    <m/>
    <n v="0"/>
    <s v="Login, OTP, or password reset issue"/>
    <n v="77"/>
    <x v="2"/>
    <n v="0"/>
    <s v="Oct 2024"/>
    <n v="202410"/>
    <x v="1"/>
  </r>
  <r>
    <n v="1468826081"/>
    <n v="662890182"/>
    <s v="Linda Hughes"/>
    <s v="jesseboone@example.com"/>
    <n v="93016315"/>
    <n v="7021836592"/>
    <x v="740"/>
    <m/>
    <x v="3"/>
    <x v="0"/>
    <x v="2"/>
    <x v="4"/>
    <n v="1"/>
    <m/>
    <n v="0"/>
    <s v="Customer reported intermittent service and repeat disruptions"/>
    <n v="81"/>
    <x v="2"/>
    <n v="0"/>
    <s v="Jun 2025"/>
    <n v="202506"/>
    <x v="19"/>
  </r>
  <r>
    <n v="1501551011"/>
    <n v="798510601"/>
    <s v="Matthew Miller"/>
    <s v="williamporter@example.net"/>
    <n v="24716857"/>
    <m/>
    <x v="741"/>
    <m/>
    <x v="0"/>
    <x v="5"/>
    <x v="0"/>
    <x v="4"/>
    <n v="8"/>
    <m/>
    <n v="0"/>
    <s v="App, network, or device troubleshooting requested"/>
    <n v="85"/>
    <x v="2"/>
    <n v="0"/>
    <s v="Dec 2024"/>
    <n v="202412"/>
    <x v="12"/>
  </r>
  <r>
    <n v="1517459082"/>
    <n v="504612520"/>
    <s v="Cheryl Rose"/>
    <s v="derek96@example.net"/>
    <n v="96977837"/>
    <m/>
    <x v="742"/>
    <m/>
    <x v="0"/>
    <x v="1"/>
    <x v="3"/>
    <x v="4"/>
    <n v="4"/>
    <m/>
    <n v="0"/>
    <s v="Refund status or reversal timeline inquiry"/>
    <n v="87"/>
    <x v="2"/>
    <n v="0"/>
    <s v="Sep 2024"/>
    <n v="202409"/>
    <x v="3"/>
  </r>
  <r>
    <n v="1520818836"/>
    <n v="805560474"/>
    <s v="Amanda Miller"/>
    <s v="brianrowe@example.org"/>
    <n v="22981052"/>
    <m/>
    <x v="743"/>
    <d v="2024-05-13T04:39:40"/>
    <x v="6"/>
    <x v="1"/>
    <x v="2"/>
    <x v="4"/>
    <n v="6"/>
    <n v="1170"/>
    <n v="0"/>
    <s v="Refund status or reversal timeline inquiry"/>
    <n v="88"/>
    <x v="2"/>
    <n v="0"/>
    <s v="May 2024"/>
    <n v="202405"/>
    <x v="24"/>
  </r>
  <r>
    <n v="1715110804"/>
    <n v="144996163"/>
    <s v="Chase Pittman"/>
    <s v="tonya82@example.net"/>
    <n v="28566572"/>
    <n v="5892956017"/>
    <x v="744"/>
    <m/>
    <x v="1"/>
    <x v="3"/>
    <x v="1"/>
    <x v="4"/>
    <n v="29"/>
    <m/>
    <n v="0"/>
    <s v="Shipment or installation appointment delayed beyond ETA"/>
    <n v="128"/>
    <x v="2"/>
    <n v="0"/>
    <s v="Dec 2025"/>
    <n v="202512"/>
    <x v="21"/>
  </r>
  <r>
    <n v="1729436734"/>
    <n v="625968839"/>
    <s v="Greg Jones"/>
    <s v="hgardner@example.com"/>
    <n v="31227574"/>
    <m/>
    <x v="745"/>
    <m/>
    <x v="6"/>
    <x v="4"/>
    <x v="2"/>
    <x v="4"/>
    <n v="36"/>
    <m/>
    <n v="0"/>
    <s v="Login, OTP, or password reset issue"/>
    <n v="131"/>
    <x v="2"/>
    <n v="0"/>
    <s v="Aug 2025"/>
    <n v="202508"/>
    <x v="22"/>
  </r>
  <r>
    <n v="1765622731"/>
    <n v="717294720"/>
    <s v="Brittany Anderson"/>
    <s v="qpierce@example.net"/>
    <n v="40742311"/>
    <n v="9479858251"/>
    <x v="746"/>
    <d v="2025-11-19T21:59:43"/>
    <x v="2"/>
    <x v="0"/>
    <x v="1"/>
    <x v="4"/>
    <n v="67"/>
    <n v="1513"/>
    <n v="0"/>
    <s v="Customer reported intermittent service and repeat disruptions"/>
    <n v="145"/>
    <x v="2"/>
    <n v="0"/>
    <s v="Nov 2025"/>
    <n v="202511"/>
    <x v="4"/>
  </r>
  <r>
    <n v="1874399893"/>
    <n v="925884151"/>
    <s v="Jeffery Brown"/>
    <s v="tschneider@example.org"/>
    <n v="48840994"/>
    <m/>
    <x v="747"/>
    <m/>
    <x v="3"/>
    <x v="5"/>
    <x v="0"/>
    <x v="4"/>
    <n v="88"/>
    <m/>
    <n v="0"/>
    <s v="App, network, or device troubleshooting requested"/>
    <n v="172"/>
    <x v="2"/>
    <n v="0"/>
    <s v="Nov 2025"/>
    <n v="202511"/>
    <x v="4"/>
  </r>
  <r>
    <n v="1937876143"/>
    <n v="829137330"/>
    <s v="Ernest Holden"/>
    <s v="ryanlong@example.org"/>
    <n v="82394227"/>
    <m/>
    <x v="748"/>
    <m/>
    <x v="6"/>
    <x v="4"/>
    <x v="2"/>
    <x v="4"/>
    <n v="47"/>
    <m/>
    <n v="0"/>
    <s v="Login, OTP, or password reset issue"/>
    <n v="188"/>
    <x v="2"/>
    <n v="0"/>
    <s v="Feb 2025"/>
    <n v="202502"/>
    <x v="14"/>
  </r>
  <r>
    <n v="1967100189"/>
    <n v="788255012"/>
    <s v="Robert Gill"/>
    <s v="kathleen47@example.net"/>
    <n v="45503389"/>
    <n v="4400697308"/>
    <x v="749"/>
    <m/>
    <x v="1"/>
    <x v="0"/>
    <x v="2"/>
    <x v="4"/>
    <n v="81"/>
    <m/>
    <n v="0"/>
    <s v="Customer reported intermittent service and repeat disruptions"/>
    <n v="193"/>
    <x v="2"/>
    <n v="0"/>
    <s v="Feb 2026"/>
    <n v="202602"/>
    <x v="25"/>
  </r>
  <r>
    <n v="1981971938"/>
    <n v="300593456"/>
    <s v="Russell Mcguire"/>
    <s v="watkinsmatthew@example.org"/>
    <n v="36697396"/>
    <n v="7571676457"/>
    <x v="750"/>
    <m/>
    <x v="2"/>
    <x v="0"/>
    <x v="3"/>
    <x v="4"/>
    <n v="56"/>
    <m/>
    <n v="0"/>
    <s v="Customer reported intermittent service and repeat disruptions"/>
    <n v="195"/>
    <x v="2"/>
    <n v="0"/>
    <s v="Jan 2025"/>
    <n v="202501"/>
    <x v="16"/>
  </r>
  <r>
    <n v="2140747529"/>
    <n v="992699085"/>
    <s v="Sylvia Anderson"/>
    <s v="william95@example.com"/>
    <n v="20576383"/>
    <m/>
    <x v="751"/>
    <m/>
    <x v="4"/>
    <x v="1"/>
    <x v="3"/>
    <x v="4"/>
    <n v="10"/>
    <m/>
    <n v="0"/>
    <s v="Refund status or reversal timeline inquiry"/>
    <n v="211"/>
    <x v="2"/>
    <n v="0"/>
    <s v="Jun 2024"/>
    <n v="202406"/>
    <x v="26"/>
  </r>
  <r>
    <n v="2161711840"/>
    <n v="331009561"/>
    <s v="Travis Peterson"/>
    <s v="jamie24@example.net"/>
    <n v="31472420"/>
    <m/>
    <x v="752"/>
    <m/>
    <x v="3"/>
    <x v="3"/>
    <x v="0"/>
    <x v="4"/>
    <n v="10"/>
    <m/>
    <n v="0"/>
    <s v="Shipment or installation appointment delayed beyond ETA"/>
    <n v="215"/>
    <x v="2"/>
    <n v="0"/>
    <s v="May 2025"/>
    <n v="202505"/>
    <x v="5"/>
  </r>
  <r>
    <n v="2227662866"/>
    <n v="244096091"/>
    <s v="Antonio Atkins"/>
    <s v="bwilliams@example.com"/>
    <n v="39958838"/>
    <n v="6971064982"/>
    <x v="753"/>
    <d v="2025-08-16T07:32:03"/>
    <x v="5"/>
    <x v="3"/>
    <x v="2"/>
    <x v="4"/>
    <n v="14"/>
    <n v="525"/>
    <n v="0"/>
    <s v="Shipment or installation appointment delayed beyond ETA"/>
    <n v="226"/>
    <x v="2"/>
    <n v="0"/>
    <s v="Aug 2025"/>
    <n v="202508"/>
    <x v="22"/>
  </r>
  <r>
    <n v="2257025623"/>
    <n v="590947659"/>
    <s v="Elizabeth Baldwin"/>
    <s v="thomas74@example.org"/>
    <n v="84252722"/>
    <n v="2698502431"/>
    <x v="754"/>
    <m/>
    <x v="6"/>
    <x v="4"/>
    <x v="2"/>
    <x v="4"/>
    <n v="92"/>
    <m/>
    <n v="0"/>
    <s v="Login, OTP, or password reset issue"/>
    <n v="232"/>
    <x v="2"/>
    <n v="0"/>
    <s v="Nov 2024"/>
    <n v="202411"/>
    <x v="11"/>
  </r>
  <r>
    <n v="2266952089"/>
    <n v="807309035"/>
    <s v="Alan Frazier"/>
    <s v="mary88@example.org"/>
    <n v="59684848"/>
    <m/>
    <x v="755"/>
    <m/>
    <x v="2"/>
    <x v="1"/>
    <x v="3"/>
    <x v="4"/>
    <n v="19"/>
    <m/>
    <n v="0"/>
    <s v="Refund status or reversal timeline inquiry"/>
    <n v="237"/>
    <x v="2"/>
    <n v="0"/>
    <s v="Apr 2024"/>
    <n v="202404"/>
    <x v="2"/>
  </r>
  <r>
    <n v="2335743785"/>
    <n v="157184151"/>
    <s v="Kayla Mccullough"/>
    <s v="taylorkaren@example.com"/>
    <n v="63606628"/>
    <n v="3051815663"/>
    <x v="756"/>
    <m/>
    <x v="2"/>
    <x v="4"/>
    <x v="0"/>
    <x v="4"/>
    <n v="34"/>
    <m/>
    <n v="0"/>
    <s v="Login, OTP, or password reset issue"/>
    <n v="244"/>
    <x v="2"/>
    <n v="0"/>
    <s v="Aug 2024"/>
    <n v="202408"/>
    <x v="18"/>
  </r>
  <r>
    <n v="2353725181"/>
    <n v="530121245"/>
    <s v="James Thomas"/>
    <s v="adkinslauren@example.net"/>
    <n v="90048665"/>
    <m/>
    <x v="757"/>
    <m/>
    <x v="5"/>
    <x v="4"/>
    <x v="0"/>
    <x v="4"/>
    <n v="32"/>
    <m/>
    <n v="0"/>
    <s v="Login, OTP, or password reset issue"/>
    <n v="247"/>
    <x v="2"/>
    <n v="0"/>
    <s v="Jun 2025"/>
    <n v="202506"/>
    <x v="19"/>
  </r>
  <r>
    <n v="2452804067"/>
    <n v="157184151"/>
    <s v="Kayla Mccullough"/>
    <s v="taylorkaren@example.com"/>
    <n v="70855700"/>
    <n v="3051815663"/>
    <x v="758"/>
    <d v="2024-08-06T03:37:02"/>
    <x v="0"/>
    <x v="0"/>
    <x v="2"/>
    <x v="4"/>
    <n v="62"/>
    <n v="901"/>
    <n v="0"/>
    <s v="Customer reported intermittent service and repeat disruptions"/>
    <n v="264"/>
    <x v="2"/>
    <n v="0"/>
    <s v="Aug 2024"/>
    <n v="202408"/>
    <x v="18"/>
  </r>
  <r>
    <n v="2523105932"/>
    <n v="372354893"/>
    <s v="Robert Woods"/>
    <s v="colematthew@example.com"/>
    <n v="33978249"/>
    <m/>
    <x v="759"/>
    <m/>
    <x v="6"/>
    <x v="4"/>
    <x v="0"/>
    <x v="4"/>
    <n v="21"/>
    <m/>
    <n v="0"/>
    <s v="Login, OTP, or password reset issue"/>
    <n v="276"/>
    <x v="2"/>
    <n v="0"/>
    <s v="Aug 2024"/>
    <n v="202408"/>
    <x v="18"/>
  </r>
  <r>
    <n v="2607285191"/>
    <n v="419367188"/>
    <s v="Jill Rosario"/>
    <s v="wcox@example.net"/>
    <n v="38898923"/>
    <m/>
    <x v="760"/>
    <m/>
    <x v="3"/>
    <x v="5"/>
    <x v="1"/>
    <x v="4"/>
    <n v="35"/>
    <m/>
    <n v="0"/>
    <s v="App, network, or device troubleshooting requested"/>
    <n v="287"/>
    <x v="2"/>
    <n v="0"/>
    <s v="Sep 2024"/>
    <n v="202409"/>
    <x v="3"/>
  </r>
  <r>
    <n v="2646485998"/>
    <n v="424211872"/>
    <s v="Eric Gardner"/>
    <s v="tcrawford@example.net"/>
    <n v="95822412"/>
    <m/>
    <x v="761"/>
    <d v="2025-07-04T10:52:59"/>
    <x v="0"/>
    <x v="0"/>
    <x v="2"/>
    <x v="4"/>
    <n v="24"/>
    <n v="896"/>
    <n v="0"/>
    <s v="Customer reported intermittent service and repeat disruptions"/>
    <n v="291"/>
    <x v="2"/>
    <n v="0"/>
    <s v="Jul 2025"/>
    <n v="202507"/>
    <x v="13"/>
  </r>
  <r>
    <n v="2770422751"/>
    <n v="298407302"/>
    <s v="Christian Rowe"/>
    <s v="rebeccajohnson@example.net"/>
    <n v="45503389"/>
    <n v="8572011492"/>
    <x v="762"/>
    <m/>
    <x v="6"/>
    <x v="0"/>
    <x v="2"/>
    <x v="4"/>
    <n v="3"/>
    <m/>
    <n v="0"/>
    <s v="Customer reported intermittent service and repeat disruptions"/>
    <n v="318"/>
    <x v="2"/>
    <n v="0"/>
    <s v="Feb 2025"/>
    <n v="202502"/>
    <x v="14"/>
  </r>
  <r>
    <n v="2835415852"/>
    <n v="462516271"/>
    <s v="Daniel Petersen"/>
    <s v="brownkevin@example.com"/>
    <n v="25014631"/>
    <m/>
    <x v="763"/>
    <m/>
    <x v="3"/>
    <x v="5"/>
    <x v="0"/>
    <x v="4"/>
    <n v="1"/>
    <m/>
    <n v="0"/>
    <s v="App, network, or device troubleshooting requested"/>
    <n v="330"/>
    <x v="2"/>
    <n v="0"/>
    <s v="Apr 2024"/>
    <n v="202404"/>
    <x v="2"/>
  </r>
  <r>
    <n v="2917760909"/>
    <n v="221814525"/>
    <s v="Matthew Morris"/>
    <s v="stevegreene@example.org"/>
    <n v="99949389"/>
    <n v="7382004228"/>
    <x v="764"/>
    <m/>
    <x v="1"/>
    <x v="4"/>
    <x v="1"/>
    <x v="4"/>
    <n v="41"/>
    <m/>
    <n v="0"/>
    <s v="Login, OTP, or password reset issue"/>
    <n v="342"/>
    <x v="2"/>
    <n v="0"/>
    <s v="Oct 2025"/>
    <n v="202510"/>
    <x v="8"/>
  </r>
  <r>
    <n v="2968302927"/>
    <n v="341449138"/>
    <s v="Danielle Lee"/>
    <s v="allisonbrown@example.com"/>
    <n v="61642594"/>
    <m/>
    <x v="765"/>
    <m/>
    <x v="4"/>
    <x v="2"/>
    <x v="1"/>
    <x v="4"/>
    <n v="42"/>
    <m/>
    <n v="0"/>
    <s v="Customer questioned invoice amount and prorated charges"/>
    <n v="352"/>
    <x v="2"/>
    <n v="0"/>
    <s v="Dec 2025"/>
    <n v="202512"/>
    <x v="21"/>
  </r>
  <r>
    <n v="3040880495"/>
    <n v="409346714"/>
    <s v="Keith Knox"/>
    <s v="tthomas@example.org"/>
    <n v="77005685"/>
    <n v="2944697243"/>
    <x v="766"/>
    <m/>
    <x v="2"/>
    <x v="1"/>
    <x v="0"/>
    <x v="4"/>
    <n v="16"/>
    <m/>
    <n v="0"/>
    <s v="Refund status or reversal timeline inquiry"/>
    <n v="372"/>
    <x v="2"/>
    <n v="0"/>
    <s v="Jul 2025"/>
    <n v="202507"/>
    <x v="13"/>
  </r>
  <r>
    <n v="3152845922"/>
    <n v="636687537"/>
    <s v="Roger Lee"/>
    <s v="daniel60@example.net"/>
    <n v="38119557"/>
    <m/>
    <x v="767"/>
    <m/>
    <x v="6"/>
    <x v="4"/>
    <x v="1"/>
    <x v="4"/>
    <n v="11"/>
    <m/>
    <n v="0"/>
    <s v="Login, OTP, or password reset issue"/>
    <n v="392"/>
    <x v="2"/>
    <n v="0"/>
    <s v="Nov 2025"/>
    <n v="202511"/>
    <x v="4"/>
  </r>
  <r>
    <n v="3209211183"/>
    <n v="963251765"/>
    <s v="Austin Hanson"/>
    <s v="brandy77@example.com"/>
    <n v="39436733"/>
    <m/>
    <x v="768"/>
    <m/>
    <x v="6"/>
    <x v="2"/>
    <x v="2"/>
    <x v="4"/>
    <n v="39"/>
    <m/>
    <n v="0"/>
    <s v="Customer questioned invoice amount and prorated charges"/>
    <n v="398"/>
    <x v="2"/>
    <n v="0"/>
    <s v="Feb 2024"/>
    <n v="202402"/>
    <x v="7"/>
  </r>
  <r>
    <n v="3232950452"/>
    <n v="334517688"/>
    <s v="Breanna Randolph"/>
    <s v="jackwyatt@example.org"/>
    <n v="70897765"/>
    <n v="2074320602"/>
    <x v="769"/>
    <m/>
    <x v="5"/>
    <x v="5"/>
    <x v="2"/>
    <x v="4"/>
    <n v="61"/>
    <m/>
    <n v="0"/>
    <s v="App, network, or device troubleshooting requested"/>
    <n v="399"/>
    <x v="2"/>
    <n v="0"/>
    <s v="Feb 2024"/>
    <n v="202402"/>
    <x v="7"/>
  </r>
  <r>
    <n v="3233741461"/>
    <n v="300593456"/>
    <s v="Russell Mcguire"/>
    <s v="watkinsmatthew@example.org"/>
    <n v="90388981"/>
    <m/>
    <x v="770"/>
    <d v="2024-08-19T07:14:48"/>
    <x v="3"/>
    <x v="4"/>
    <x v="0"/>
    <x v="4"/>
    <n v="82"/>
    <n v="400"/>
    <n v="0"/>
    <s v="Login, OTP, or password reset issue"/>
    <n v="400"/>
    <x v="2"/>
    <n v="0"/>
    <s v="Aug 2024"/>
    <n v="202408"/>
    <x v="18"/>
  </r>
  <r>
    <n v="3346629194"/>
    <n v="231556899"/>
    <s v="John Golden DDS"/>
    <s v="johnsonanthony@example.net"/>
    <n v="49349722"/>
    <n v="9447571702"/>
    <x v="771"/>
    <d v="2024-06-13T19:42:55"/>
    <x v="4"/>
    <x v="1"/>
    <x v="0"/>
    <x v="4"/>
    <n v="20"/>
    <n v="963"/>
    <n v="0"/>
    <s v="Refund status or reversal timeline inquiry"/>
    <n v="423"/>
    <x v="2"/>
    <n v="0"/>
    <s v="Jun 2024"/>
    <n v="202406"/>
    <x v="26"/>
  </r>
  <r>
    <n v="3417300559"/>
    <n v="180574838"/>
    <s v="Bryan Roman"/>
    <s v="marisa63@example.com"/>
    <n v="13561597"/>
    <n v="1140336385"/>
    <x v="772"/>
    <m/>
    <x v="3"/>
    <x v="1"/>
    <x v="2"/>
    <x v="4"/>
    <n v="69"/>
    <m/>
    <n v="0"/>
    <s v="Refund status or reversal timeline inquiry"/>
    <n v="436"/>
    <x v="2"/>
    <n v="0"/>
    <s v="May 2024"/>
    <n v="202405"/>
    <x v="24"/>
  </r>
  <r>
    <n v="3696275651"/>
    <n v="752376434"/>
    <s v="Nicole Carson"/>
    <s v="brandybonilla@example.net"/>
    <n v="95899313"/>
    <n v="9985032096"/>
    <x v="773"/>
    <m/>
    <x v="5"/>
    <x v="2"/>
    <x v="2"/>
    <x v="4"/>
    <n v="24"/>
    <m/>
    <n v="0"/>
    <s v="Customer questioned invoice amount and prorated charges"/>
    <n v="482"/>
    <x v="2"/>
    <n v="0"/>
    <s v="Sep 2024"/>
    <n v="202409"/>
    <x v="3"/>
  </r>
  <r>
    <n v="3746596425"/>
    <n v="690404558"/>
    <s v="Scott Washington"/>
    <s v="linda52@example.org"/>
    <n v="24716857"/>
    <n v="6473572695"/>
    <x v="774"/>
    <m/>
    <x v="6"/>
    <x v="2"/>
    <x v="2"/>
    <x v="4"/>
    <n v="59"/>
    <m/>
    <n v="0"/>
    <s v="Customer questioned invoice amount and prorated charges"/>
    <n v="490"/>
    <x v="2"/>
    <n v="0"/>
    <s v="Jun 2025"/>
    <n v="202506"/>
    <x v="19"/>
  </r>
  <r>
    <n v="3968179935"/>
    <n v="145168545"/>
    <s v="Kelly Aguirre"/>
    <s v="diazaaron@example.net"/>
    <n v="71662963"/>
    <n v="2788831866"/>
    <x v="775"/>
    <m/>
    <x v="4"/>
    <x v="1"/>
    <x v="0"/>
    <x v="4"/>
    <n v="21"/>
    <m/>
    <n v="0"/>
    <s v="Refund status or reversal timeline inquiry"/>
    <n v="517"/>
    <x v="2"/>
    <n v="0"/>
    <s v="May 2024"/>
    <n v="202405"/>
    <x v="24"/>
  </r>
  <r>
    <n v="4009545166"/>
    <n v="217999418"/>
    <s v="Mrs. Samantha Rivera DDS"/>
    <s v="douglas31@example.net"/>
    <n v="18526544"/>
    <n v="4359506482"/>
    <x v="776"/>
    <m/>
    <x v="2"/>
    <x v="0"/>
    <x v="2"/>
    <x v="4"/>
    <n v="37"/>
    <m/>
    <n v="0"/>
    <s v="Customer reported intermittent service and repeat disruptions"/>
    <n v="524"/>
    <x v="2"/>
    <n v="0"/>
    <s v="Feb 2026"/>
    <n v="202602"/>
    <x v="25"/>
  </r>
  <r>
    <n v="4115595475"/>
    <n v="902874167"/>
    <s v="Michael Sweeney"/>
    <s v="michaellopez@example.net"/>
    <n v="42857966"/>
    <m/>
    <x v="777"/>
    <m/>
    <x v="3"/>
    <x v="2"/>
    <x v="3"/>
    <x v="4"/>
    <n v="28"/>
    <m/>
    <n v="0"/>
    <s v="Customer questioned invoice amount and prorated charges"/>
    <n v="539"/>
    <x v="2"/>
    <n v="0"/>
    <s v="Feb 2024"/>
    <n v="202402"/>
    <x v="7"/>
  </r>
  <r>
    <n v="4187740647"/>
    <n v="208599066"/>
    <s v="Kyle Francis"/>
    <s v="michellehill@example.com"/>
    <n v="50056581"/>
    <n v="3857274115"/>
    <x v="778"/>
    <m/>
    <x v="6"/>
    <x v="5"/>
    <x v="2"/>
    <x v="4"/>
    <n v="26"/>
    <m/>
    <n v="0"/>
    <s v="App, network, or device troubleshooting requested"/>
    <n v="548"/>
    <x v="2"/>
    <n v="0"/>
    <s v="Jan 2025"/>
    <n v="202501"/>
    <x v="16"/>
  </r>
  <r>
    <n v="4261912630"/>
    <n v="716470999"/>
    <s v="Debbie Watson"/>
    <s v="grayadrian@example.org"/>
    <n v="21668732"/>
    <m/>
    <x v="779"/>
    <m/>
    <x v="4"/>
    <x v="1"/>
    <x v="0"/>
    <x v="4"/>
    <n v="11"/>
    <m/>
    <n v="0"/>
    <s v="Refund status or reversal timeline inquiry"/>
    <n v="562"/>
    <x v="2"/>
    <n v="0"/>
    <s v="Sep 2025"/>
    <n v="202509"/>
    <x v="9"/>
  </r>
  <r>
    <n v="4291727088"/>
    <n v="641394238"/>
    <s v="William Velez"/>
    <s v="richard28@example.org"/>
    <n v="67503414"/>
    <m/>
    <x v="780"/>
    <m/>
    <x v="1"/>
    <x v="1"/>
    <x v="0"/>
    <x v="4"/>
    <n v="26"/>
    <m/>
    <n v="0"/>
    <s v="Refund status or reversal timeline inquiry"/>
    <n v="567"/>
    <x v="2"/>
    <n v="0"/>
    <s v="Aug 2024"/>
    <n v="202408"/>
    <x v="18"/>
  </r>
  <r>
    <n v="4308518686"/>
    <n v="902448600"/>
    <s v="Gail Mayo"/>
    <s v="vthompson@example.com"/>
    <n v="28728463"/>
    <m/>
    <x v="781"/>
    <d v="2025-10-16T21:21:46"/>
    <x v="1"/>
    <x v="3"/>
    <x v="1"/>
    <x v="4"/>
    <n v="3"/>
    <n v="847"/>
    <n v="0"/>
    <s v="Shipment or installation appointment delayed beyond ETA"/>
    <n v="571"/>
    <x v="2"/>
    <n v="0"/>
    <s v="Oct 2025"/>
    <n v="202510"/>
    <x v="8"/>
  </r>
  <r>
    <n v="4331884611"/>
    <n v="604803700"/>
    <s v="Debra Valentine"/>
    <s v="victorgonzalez@example.net"/>
    <n v="22201654"/>
    <m/>
    <x v="782"/>
    <m/>
    <x v="3"/>
    <x v="1"/>
    <x v="2"/>
    <x v="4"/>
    <n v="65"/>
    <m/>
    <n v="0"/>
    <s v="Refund status or reversal timeline inquiry"/>
    <n v="576"/>
    <x v="2"/>
    <n v="0"/>
    <s v="Jan 2026"/>
    <n v="202601"/>
    <x v="0"/>
  </r>
  <r>
    <n v="4382352480"/>
    <n v="258672959"/>
    <s v="Adam Foley"/>
    <s v="william08@example.net"/>
    <n v="10872248"/>
    <m/>
    <x v="783"/>
    <m/>
    <x v="1"/>
    <x v="5"/>
    <x v="0"/>
    <x v="4"/>
    <n v="38"/>
    <m/>
    <n v="0"/>
    <s v="App, network, or device troubleshooting requested"/>
    <n v="584"/>
    <x v="2"/>
    <n v="0"/>
    <s v="Dec 2024"/>
    <n v="202412"/>
    <x v="12"/>
  </r>
  <r>
    <n v="4398250825"/>
    <n v="258214411"/>
    <s v="Warren Miles"/>
    <s v="rodriguezjohn@example.net"/>
    <n v="63100814"/>
    <m/>
    <x v="784"/>
    <m/>
    <x v="6"/>
    <x v="4"/>
    <x v="0"/>
    <x v="4"/>
    <n v="21"/>
    <m/>
    <n v="0"/>
    <s v="Login, OTP, or password reset issue"/>
    <n v="590"/>
    <x v="2"/>
    <n v="0"/>
    <s v="Jan 2025"/>
    <n v="202501"/>
    <x v="16"/>
  </r>
  <r>
    <n v="4427741097"/>
    <n v="358303887"/>
    <s v="Holly Stewart"/>
    <s v="ujackson@example.org"/>
    <n v="84752529"/>
    <m/>
    <x v="785"/>
    <m/>
    <x v="5"/>
    <x v="5"/>
    <x v="3"/>
    <x v="4"/>
    <n v="53"/>
    <m/>
    <n v="0"/>
    <s v="App, network, or device troubleshooting requested"/>
    <n v="600"/>
    <x v="2"/>
    <n v="0"/>
    <s v="Jan 2026"/>
    <n v="202601"/>
    <x v="0"/>
  </r>
  <r>
    <n v="4462995869"/>
    <n v="493342201"/>
    <s v="Mr. Logan Gregory"/>
    <s v="dhall@example.net"/>
    <n v="91030736"/>
    <m/>
    <x v="786"/>
    <d v="2026-01-09T13:30:18"/>
    <x v="3"/>
    <x v="2"/>
    <x v="2"/>
    <x v="4"/>
    <n v="29"/>
    <n v="539"/>
    <n v="0"/>
    <s v="Customer questioned invoice amount and prorated charges"/>
    <n v="603"/>
    <x v="2"/>
    <n v="0"/>
    <s v="Jan 2026"/>
    <n v="202601"/>
    <x v="0"/>
  </r>
  <r>
    <n v="4482725370"/>
    <n v="695433590"/>
    <s v="Maria Henry"/>
    <s v="jessicabell@example.org"/>
    <n v="20576383"/>
    <n v="9689323679"/>
    <x v="787"/>
    <m/>
    <x v="5"/>
    <x v="5"/>
    <x v="0"/>
    <x v="4"/>
    <n v="54"/>
    <m/>
    <n v="0"/>
    <s v="App, network, or device troubleshooting requested"/>
    <n v="607"/>
    <x v="2"/>
    <n v="0"/>
    <s v="Jul 2025"/>
    <n v="202507"/>
    <x v="13"/>
  </r>
  <r>
    <n v="4521880435"/>
    <n v="148814238"/>
    <s v="Barbara Davis"/>
    <s v="dalejohnson@example.net"/>
    <n v="71586053"/>
    <m/>
    <x v="788"/>
    <m/>
    <x v="0"/>
    <x v="5"/>
    <x v="2"/>
    <x v="4"/>
    <n v="32"/>
    <m/>
    <n v="0"/>
    <s v="App, network, or device troubleshooting requested"/>
    <n v="614"/>
    <x v="2"/>
    <n v="0"/>
    <s v="Mar 2024"/>
    <n v="202403"/>
    <x v="15"/>
  </r>
  <r>
    <n v="4536696963"/>
    <n v="845156039"/>
    <s v="Laura Walls"/>
    <s v="jonathan12@example.org"/>
    <n v="77187530"/>
    <m/>
    <x v="789"/>
    <m/>
    <x v="5"/>
    <x v="3"/>
    <x v="1"/>
    <x v="4"/>
    <n v="45"/>
    <m/>
    <n v="0"/>
    <s v="Shipment or installation appointment delayed beyond ETA"/>
    <n v="618"/>
    <x v="2"/>
    <n v="0"/>
    <s v="Mar 2025"/>
    <n v="202503"/>
    <x v="20"/>
  </r>
  <r>
    <n v="4540086041"/>
    <n v="928393291"/>
    <s v="Matthew Miles"/>
    <s v="martinezjesse@example.net"/>
    <n v="83793389"/>
    <m/>
    <x v="790"/>
    <m/>
    <x v="4"/>
    <x v="5"/>
    <x v="1"/>
    <x v="4"/>
    <n v="67"/>
    <m/>
    <n v="0"/>
    <s v="App, network, or device troubleshooting requested"/>
    <n v="619"/>
    <x v="2"/>
    <n v="0"/>
    <s v="Dec 2025"/>
    <n v="202512"/>
    <x v="21"/>
  </r>
  <r>
    <n v="4621186982"/>
    <n v="240409084"/>
    <s v="Nancy Quinn"/>
    <s v="simmonschris@example.org"/>
    <n v="11540956"/>
    <n v="2075819942"/>
    <x v="791"/>
    <m/>
    <x v="5"/>
    <x v="3"/>
    <x v="2"/>
    <x v="4"/>
    <n v="48"/>
    <m/>
    <n v="0"/>
    <s v="Shipment or installation appointment delayed beyond ETA"/>
    <n v="632"/>
    <x v="2"/>
    <n v="0"/>
    <s v="Jun 2025"/>
    <n v="202506"/>
    <x v="19"/>
  </r>
  <r>
    <n v="4649871299"/>
    <n v="960226208"/>
    <s v="James Pacheco"/>
    <s v="chavezjohn@example.net"/>
    <n v="23556182"/>
    <n v="7575102757"/>
    <x v="792"/>
    <m/>
    <x v="2"/>
    <x v="3"/>
    <x v="0"/>
    <x v="4"/>
    <n v="51"/>
    <m/>
    <n v="0"/>
    <s v="Shipment or installation appointment delayed beyond ETA"/>
    <n v="637"/>
    <x v="2"/>
    <n v="0"/>
    <s v="Oct 2025"/>
    <n v="202510"/>
    <x v="8"/>
  </r>
  <r>
    <n v="4736152218"/>
    <n v="809656613"/>
    <s v="Brianna Murray"/>
    <s v="michaelbrown@example.com"/>
    <n v="53524491"/>
    <m/>
    <x v="793"/>
    <m/>
    <x v="4"/>
    <x v="3"/>
    <x v="0"/>
    <x v="4"/>
    <n v="60"/>
    <m/>
    <n v="0"/>
    <s v="Shipment or installation appointment delayed beyond ETA"/>
    <n v="654"/>
    <x v="2"/>
    <n v="0"/>
    <s v="Jan 2024"/>
    <n v="202401"/>
    <x v="17"/>
  </r>
  <r>
    <n v="4776648985"/>
    <n v="747233283"/>
    <s v="Paige Baird"/>
    <s v="sarah17@example.com"/>
    <n v="63100814"/>
    <n v="5329451114"/>
    <x v="794"/>
    <m/>
    <x v="0"/>
    <x v="2"/>
    <x v="0"/>
    <x v="4"/>
    <n v="9"/>
    <m/>
    <n v="0"/>
    <s v="Customer questioned invoice amount and prorated charges"/>
    <n v="662"/>
    <x v="2"/>
    <n v="0"/>
    <s v="Sep 2025"/>
    <n v="202509"/>
    <x v="9"/>
  </r>
  <r>
    <n v="4962639828"/>
    <n v="644725317"/>
    <s v="Christina Cochran"/>
    <s v="susanharper@example.org"/>
    <n v="80823176"/>
    <n v="7664019331"/>
    <x v="795"/>
    <m/>
    <x v="0"/>
    <x v="3"/>
    <x v="3"/>
    <x v="4"/>
    <n v="29"/>
    <m/>
    <n v="0"/>
    <s v="Shipment or installation appointment delayed beyond ETA"/>
    <n v="689"/>
    <x v="2"/>
    <n v="0"/>
    <s v="Feb 2025"/>
    <n v="202502"/>
    <x v="14"/>
  </r>
  <r>
    <n v="4984628629"/>
    <n v="249117905"/>
    <s v="Paul Sweeney"/>
    <s v="georgekyle@example.net"/>
    <n v="60806024"/>
    <m/>
    <x v="796"/>
    <d v="2025-01-03T16:52:43"/>
    <x v="1"/>
    <x v="3"/>
    <x v="2"/>
    <x v="4"/>
    <n v="25"/>
    <n v="1038"/>
    <n v="0"/>
    <s v="Shipment or installation appointment delayed beyond ETA"/>
    <n v="695"/>
    <x v="2"/>
    <n v="0"/>
    <s v="Jan 2025"/>
    <n v="202501"/>
    <x v="16"/>
  </r>
  <r>
    <n v="5065299908"/>
    <n v="572163615"/>
    <s v="Mark Moss"/>
    <s v="austinjohnson@example.net"/>
    <n v="61220073"/>
    <n v="6355689517"/>
    <x v="797"/>
    <m/>
    <x v="0"/>
    <x v="0"/>
    <x v="1"/>
    <x v="4"/>
    <n v="38"/>
    <m/>
    <n v="0"/>
    <s v="Customer reported intermittent service and repeat disruptions"/>
    <n v="706"/>
    <x v="2"/>
    <n v="0"/>
    <s v="Mar 2026"/>
    <n v="202603"/>
    <x v="10"/>
  </r>
  <r>
    <n v="5119544555"/>
    <n v="702247585"/>
    <s v="Jessica Williams"/>
    <s v="brownkevin@example.org"/>
    <n v="20709497"/>
    <n v="7467381113"/>
    <x v="798"/>
    <m/>
    <x v="3"/>
    <x v="5"/>
    <x v="1"/>
    <x v="4"/>
    <n v="32"/>
    <m/>
    <n v="0"/>
    <s v="App, network, or device troubleshooting requested"/>
    <n v="715"/>
    <x v="2"/>
    <n v="0"/>
    <s v="Feb 2024"/>
    <n v="202402"/>
    <x v="7"/>
  </r>
  <r>
    <n v="5162369515"/>
    <n v="286928799"/>
    <s v="Thomas Rodriguez"/>
    <s v="christophermiller@example.org"/>
    <n v="77005685"/>
    <m/>
    <x v="799"/>
    <m/>
    <x v="0"/>
    <x v="0"/>
    <x v="1"/>
    <x v="4"/>
    <n v="36"/>
    <m/>
    <n v="0"/>
    <s v="Customer reported intermittent service and repeat disruptions"/>
    <n v="722"/>
    <x v="2"/>
    <n v="0"/>
    <s v="Jul 2025"/>
    <n v="202507"/>
    <x v="13"/>
  </r>
  <r>
    <n v="5163752437"/>
    <n v="670201461"/>
    <s v="Carla Clark"/>
    <s v="johnsonedward@example.net"/>
    <n v="55667651"/>
    <n v="2777021820"/>
    <x v="800"/>
    <m/>
    <x v="0"/>
    <x v="5"/>
    <x v="3"/>
    <x v="4"/>
    <n v="66"/>
    <m/>
    <n v="0"/>
    <s v="App, network, or device troubleshooting requested"/>
    <n v="724"/>
    <x v="2"/>
    <n v="0"/>
    <s v="Nov 2024"/>
    <n v="202411"/>
    <x v="11"/>
  </r>
  <r>
    <n v="5283943124"/>
    <n v="886989426"/>
    <s v="Anthony Nichols"/>
    <s v="teresacampbell@example.org"/>
    <n v="61642594"/>
    <m/>
    <x v="801"/>
    <m/>
    <x v="1"/>
    <x v="2"/>
    <x v="1"/>
    <x v="4"/>
    <n v="15"/>
    <m/>
    <n v="0"/>
    <s v="Customer questioned invoice amount and prorated charges"/>
    <n v="747"/>
    <x v="2"/>
    <n v="0"/>
    <s v="Jan 2026"/>
    <n v="202601"/>
    <x v="0"/>
  </r>
  <r>
    <n v="5291218965"/>
    <n v="440405868"/>
    <s v="Teresa Ramirez"/>
    <s v="josephgibbs@example.net"/>
    <n v="83197857"/>
    <m/>
    <x v="802"/>
    <m/>
    <x v="3"/>
    <x v="4"/>
    <x v="0"/>
    <x v="4"/>
    <n v="16"/>
    <m/>
    <n v="0"/>
    <s v="Login, OTP, or password reset issue"/>
    <n v="749"/>
    <x v="2"/>
    <n v="0"/>
    <s v="Jan 2025"/>
    <n v="202501"/>
    <x v="16"/>
  </r>
  <r>
    <n v="5318934866"/>
    <n v="581682167"/>
    <s v="Amanda Smith"/>
    <s v="stephanie15@example.org"/>
    <n v="89254563"/>
    <m/>
    <x v="803"/>
    <m/>
    <x v="0"/>
    <x v="3"/>
    <x v="1"/>
    <x v="4"/>
    <n v="30"/>
    <m/>
    <n v="0"/>
    <s v="Shipment or installation appointment delayed beyond ETA"/>
    <n v="758"/>
    <x v="2"/>
    <n v="0"/>
    <s v="Nov 2024"/>
    <n v="202411"/>
    <x v="11"/>
  </r>
  <r>
    <n v="5324360248"/>
    <n v="639945876"/>
    <s v="Scott Jordan"/>
    <s v="nallen@example.net"/>
    <n v="89254563"/>
    <n v="2808511815"/>
    <x v="804"/>
    <m/>
    <x v="0"/>
    <x v="0"/>
    <x v="3"/>
    <x v="4"/>
    <n v="18"/>
    <m/>
    <n v="0"/>
    <s v="Customer reported intermittent service and repeat disruptions"/>
    <n v="761"/>
    <x v="2"/>
    <n v="0"/>
    <s v="Feb 2026"/>
    <n v="202602"/>
    <x v="25"/>
  </r>
  <r>
    <n v="5330497673"/>
    <n v="630452018"/>
    <s v="Laura Gregory"/>
    <s v="nicholasmcgrath@example.net"/>
    <n v="71662963"/>
    <m/>
    <x v="805"/>
    <m/>
    <x v="0"/>
    <x v="1"/>
    <x v="0"/>
    <x v="4"/>
    <n v="53"/>
    <m/>
    <n v="0"/>
    <s v="Refund status or reversal timeline inquiry"/>
    <n v="763"/>
    <x v="2"/>
    <n v="0"/>
    <s v="Aug 2025"/>
    <n v="202508"/>
    <x v="22"/>
  </r>
  <r>
    <n v="5336382273"/>
    <n v="715122372"/>
    <s v="Joseph Horn"/>
    <s v="cheryl54@example.com"/>
    <n v="91030736"/>
    <m/>
    <x v="806"/>
    <m/>
    <x v="5"/>
    <x v="3"/>
    <x v="3"/>
    <x v="4"/>
    <n v="56"/>
    <m/>
    <n v="0"/>
    <s v="Shipment or installation appointment delayed beyond ETA"/>
    <n v="765"/>
    <x v="2"/>
    <n v="0"/>
    <s v="May 2025"/>
    <n v="202505"/>
    <x v="5"/>
  </r>
  <r>
    <n v="5339143600"/>
    <n v="627422192"/>
    <s v="Jacob Jimenez"/>
    <s v="patrick27@example.org"/>
    <n v="11540956"/>
    <n v="4086168237"/>
    <x v="807"/>
    <m/>
    <x v="5"/>
    <x v="0"/>
    <x v="2"/>
    <x v="4"/>
    <n v="41"/>
    <m/>
    <n v="0"/>
    <s v="Customer reported intermittent service and repeat disruptions"/>
    <n v="768"/>
    <x v="2"/>
    <n v="0"/>
    <s v="Jul 2025"/>
    <n v="202507"/>
    <x v="13"/>
  </r>
  <r>
    <n v="5340949927"/>
    <n v="271476207"/>
    <s v="Jonathan Smith"/>
    <s v="pmelendez@example.org"/>
    <n v="10076758"/>
    <n v="8841061174"/>
    <x v="808"/>
    <d v="2025-03-27T22:15:21"/>
    <x v="1"/>
    <x v="2"/>
    <x v="2"/>
    <x v="4"/>
    <n v="63"/>
    <n v="727"/>
    <n v="0"/>
    <s v="Customer questioned invoice amount and prorated charges"/>
    <n v="769"/>
    <x v="2"/>
    <n v="0"/>
    <s v="Mar 2025"/>
    <n v="202503"/>
    <x v="20"/>
  </r>
  <r>
    <n v="5357436824"/>
    <n v="599714064"/>
    <s v="Adam Johnson"/>
    <s v="jonmcdonald@example.org"/>
    <n v="84252722"/>
    <m/>
    <x v="809"/>
    <d v="2024-05-03T03:57:54"/>
    <x v="6"/>
    <x v="5"/>
    <x v="0"/>
    <x v="4"/>
    <n v="14"/>
    <n v="947"/>
    <n v="0"/>
    <s v="App, network, or device troubleshooting requested"/>
    <n v="770"/>
    <x v="2"/>
    <n v="0"/>
    <s v="May 2024"/>
    <n v="202405"/>
    <x v="24"/>
  </r>
  <r>
    <n v="5387154543"/>
    <n v="813363254"/>
    <s v="Sierra Williams"/>
    <s v="dakota84@example.net"/>
    <n v="78387461"/>
    <m/>
    <x v="810"/>
    <m/>
    <x v="0"/>
    <x v="2"/>
    <x v="0"/>
    <x v="4"/>
    <n v="33"/>
    <m/>
    <n v="0"/>
    <s v="Customer questioned invoice amount and prorated charges"/>
    <n v="778"/>
    <x v="2"/>
    <n v="0"/>
    <s v="Oct 2025"/>
    <n v="202510"/>
    <x v="8"/>
  </r>
  <r>
    <n v="5391495878"/>
    <n v="855438611"/>
    <s v="Lisa King"/>
    <s v="gregory51@example.com"/>
    <n v="29175900"/>
    <m/>
    <x v="811"/>
    <m/>
    <x v="0"/>
    <x v="1"/>
    <x v="3"/>
    <x v="4"/>
    <n v="32"/>
    <m/>
    <n v="0"/>
    <s v="Refund status or reversal timeline inquiry"/>
    <n v="779"/>
    <x v="2"/>
    <n v="0"/>
    <s v="Jan 2024"/>
    <n v="202401"/>
    <x v="17"/>
  </r>
  <r>
    <n v="5412290640"/>
    <n v="715766024"/>
    <s v="Bridget Guerrero"/>
    <s v="bowerspatrick@example.com"/>
    <n v="70855700"/>
    <m/>
    <x v="812"/>
    <m/>
    <x v="4"/>
    <x v="5"/>
    <x v="3"/>
    <x v="4"/>
    <n v="45"/>
    <m/>
    <n v="0"/>
    <s v="App, network, or device troubleshooting requested"/>
    <n v="782"/>
    <x v="2"/>
    <n v="0"/>
    <s v="Apr 2024"/>
    <n v="202404"/>
    <x v="2"/>
  </r>
  <r>
    <n v="5477637780"/>
    <n v="641440255"/>
    <s v="Michelle Munoz"/>
    <s v="chiggins@example.com"/>
    <n v="45575298"/>
    <m/>
    <x v="813"/>
    <m/>
    <x v="0"/>
    <x v="3"/>
    <x v="1"/>
    <x v="4"/>
    <n v="82"/>
    <m/>
    <n v="0"/>
    <s v="Shipment or installation appointment delayed beyond ETA"/>
    <n v="796"/>
    <x v="2"/>
    <n v="0"/>
    <s v="Nov 2024"/>
    <n v="202411"/>
    <x v="11"/>
  </r>
  <r>
    <n v="5774483398"/>
    <n v="964027324"/>
    <s v="Mitchell Brown"/>
    <s v="theresa05@example.net"/>
    <n v="81182864"/>
    <n v="1478384314"/>
    <x v="814"/>
    <m/>
    <x v="4"/>
    <x v="4"/>
    <x v="3"/>
    <x v="4"/>
    <n v="49"/>
    <m/>
    <n v="0"/>
    <s v="Login, OTP, or password reset issue"/>
    <n v="850"/>
    <x v="2"/>
    <n v="0"/>
    <s v="May 2025"/>
    <n v="202505"/>
    <x v="5"/>
  </r>
  <r>
    <n v="5778342509"/>
    <n v="243811545"/>
    <s v="Tanya Barrett"/>
    <s v="kevincoleman@example.com"/>
    <n v="15831819"/>
    <n v="9200543022"/>
    <x v="815"/>
    <d v="2024-10-02T08:16:44"/>
    <x v="2"/>
    <x v="3"/>
    <x v="0"/>
    <x v="4"/>
    <n v="52"/>
    <n v="447"/>
    <n v="0"/>
    <s v="Shipment or installation appointment delayed beyond ETA"/>
    <n v="852"/>
    <x v="2"/>
    <n v="0"/>
    <s v="Oct 2024"/>
    <n v="202410"/>
    <x v="1"/>
  </r>
  <r>
    <n v="5780242230"/>
    <n v="239340792"/>
    <s v="Stephanie Jackson"/>
    <s v="zwhite@example.net"/>
    <n v="76238574"/>
    <m/>
    <x v="816"/>
    <m/>
    <x v="2"/>
    <x v="1"/>
    <x v="0"/>
    <x v="4"/>
    <n v="2"/>
    <m/>
    <n v="0"/>
    <s v="Refund status or reversal timeline inquiry"/>
    <n v="854"/>
    <x v="2"/>
    <n v="0"/>
    <s v="Mar 2025"/>
    <n v="202503"/>
    <x v="20"/>
  </r>
  <r>
    <n v="5806544941"/>
    <n v="494435754"/>
    <s v="Anthony Medina"/>
    <s v="kristenwashington@example.org"/>
    <n v="96028436"/>
    <n v="5739956073"/>
    <x v="817"/>
    <m/>
    <x v="3"/>
    <x v="2"/>
    <x v="2"/>
    <x v="4"/>
    <n v="49"/>
    <m/>
    <n v="0"/>
    <s v="Customer questioned invoice amount and prorated charges"/>
    <n v="858"/>
    <x v="2"/>
    <n v="0"/>
    <s v="Feb 2026"/>
    <n v="202602"/>
    <x v="25"/>
  </r>
  <r>
    <n v="5841375446"/>
    <n v="653953485"/>
    <s v="Adam Jackson"/>
    <s v="pbruce@example.com"/>
    <n v="29175900"/>
    <n v="9629398996"/>
    <x v="818"/>
    <m/>
    <x v="5"/>
    <x v="5"/>
    <x v="2"/>
    <x v="4"/>
    <n v="62"/>
    <m/>
    <n v="0"/>
    <s v="App, network, or device troubleshooting requested"/>
    <n v="860"/>
    <x v="2"/>
    <n v="0"/>
    <s v="Jun 2025"/>
    <n v="202506"/>
    <x v="19"/>
  </r>
  <r>
    <n v="5956042044"/>
    <n v="634764290"/>
    <s v="Christopher Williams"/>
    <s v="carrie34@example.org"/>
    <n v="42329237"/>
    <n v="8788600364"/>
    <x v="819"/>
    <d v="2025-07-04T20:51:08"/>
    <x v="0"/>
    <x v="4"/>
    <x v="2"/>
    <x v="4"/>
    <n v="6"/>
    <n v="799"/>
    <n v="0"/>
    <s v="Login, OTP, or password reset issue"/>
    <n v="880"/>
    <x v="2"/>
    <n v="0"/>
    <s v="Jul 2025"/>
    <n v="202507"/>
    <x v="13"/>
  </r>
  <r>
    <n v="5959675649"/>
    <n v="922816526"/>
    <s v="Travis Horton"/>
    <s v="umatthews@example.org"/>
    <n v="83793389"/>
    <m/>
    <x v="820"/>
    <d v="2024-10-20T20:01:55"/>
    <x v="6"/>
    <x v="5"/>
    <x v="0"/>
    <x v="4"/>
    <n v="33"/>
    <n v="260"/>
    <n v="0"/>
    <s v="App, network, or device troubleshooting requested"/>
    <n v="881"/>
    <x v="2"/>
    <n v="0"/>
    <s v="Oct 2024"/>
    <n v="202410"/>
    <x v="1"/>
  </r>
  <r>
    <n v="6005817882"/>
    <n v="154267347"/>
    <s v="John Campbell"/>
    <s v="joseph83@example.com"/>
    <n v="63100814"/>
    <n v="4604328146"/>
    <x v="821"/>
    <m/>
    <x v="5"/>
    <x v="4"/>
    <x v="1"/>
    <x v="4"/>
    <n v="74"/>
    <m/>
    <n v="0"/>
    <s v="Login, OTP, or password reset issue"/>
    <n v="892"/>
    <x v="2"/>
    <n v="0"/>
    <s v="Jan 2025"/>
    <n v="202501"/>
    <x v="16"/>
  </r>
  <r>
    <n v="6139475525"/>
    <n v="992649957"/>
    <s v="Christopher Thomas"/>
    <s v="vjones@example.net"/>
    <n v="66792612"/>
    <m/>
    <x v="822"/>
    <m/>
    <x v="1"/>
    <x v="3"/>
    <x v="2"/>
    <x v="4"/>
    <n v="23"/>
    <m/>
    <n v="0"/>
    <s v="Shipment or installation appointment delayed beyond ETA"/>
    <n v="916"/>
    <x v="2"/>
    <n v="0"/>
    <s v="Jun 2025"/>
    <n v="202506"/>
    <x v="19"/>
  </r>
  <r>
    <n v="6364590980"/>
    <n v="683364453"/>
    <s v="Andrew Ford"/>
    <s v="rwheeler@example.org"/>
    <n v="61642594"/>
    <m/>
    <x v="823"/>
    <m/>
    <x v="4"/>
    <x v="2"/>
    <x v="0"/>
    <x v="4"/>
    <n v="23"/>
    <m/>
    <n v="0"/>
    <s v="Customer questioned invoice amount and prorated charges"/>
    <n v="952"/>
    <x v="2"/>
    <n v="0"/>
    <s v="Jun 2024"/>
    <n v="202406"/>
    <x v="26"/>
  </r>
  <r>
    <n v="6392453535"/>
    <n v="802506364"/>
    <s v="Allison Simmons"/>
    <s v="jnguyen@example.net"/>
    <n v="61220073"/>
    <m/>
    <x v="824"/>
    <m/>
    <x v="3"/>
    <x v="3"/>
    <x v="1"/>
    <x v="4"/>
    <n v="22"/>
    <m/>
    <n v="0"/>
    <s v="Shipment or installation appointment delayed beyond ETA"/>
    <n v="959"/>
    <x v="2"/>
    <n v="0"/>
    <s v="Sep 2025"/>
    <n v="202509"/>
    <x v="9"/>
  </r>
  <r>
    <n v="6456408149"/>
    <n v="262598077"/>
    <s v="Omar Hernandez"/>
    <s v="fvasquez@example.net"/>
    <n v="46913810"/>
    <m/>
    <x v="825"/>
    <m/>
    <x v="4"/>
    <x v="4"/>
    <x v="3"/>
    <x v="4"/>
    <n v="23"/>
    <m/>
    <n v="0"/>
    <s v="Login, OTP, or password reset issue"/>
    <n v="969"/>
    <x v="2"/>
    <n v="0"/>
    <s v="May 2024"/>
    <n v="202405"/>
    <x v="24"/>
  </r>
  <r>
    <n v="6507337708"/>
    <n v="285388355"/>
    <s v="William Anderson"/>
    <s v="emendoza@example.com"/>
    <n v="39958838"/>
    <m/>
    <x v="826"/>
    <m/>
    <x v="0"/>
    <x v="0"/>
    <x v="0"/>
    <x v="4"/>
    <n v="2"/>
    <m/>
    <n v="0"/>
    <s v="Customer reported intermittent service and repeat disruptions"/>
    <n v="975"/>
    <x v="2"/>
    <n v="0"/>
    <s v="Mar 2024"/>
    <n v="202403"/>
    <x v="15"/>
  </r>
  <r>
    <n v="6535998610"/>
    <n v="592755658"/>
    <s v="Mrs. Beverly Myers"/>
    <s v="daniel84@example.org"/>
    <n v="90801586"/>
    <n v="5308215823"/>
    <x v="827"/>
    <m/>
    <x v="6"/>
    <x v="1"/>
    <x v="2"/>
    <x v="4"/>
    <n v="60"/>
    <m/>
    <n v="0"/>
    <s v="Refund status or reversal timeline inquiry"/>
    <n v="977"/>
    <x v="2"/>
    <n v="0"/>
    <s v="Dec 2024"/>
    <n v="202412"/>
    <x v="12"/>
  </r>
  <r>
    <n v="6603749922"/>
    <n v="973498494"/>
    <s v="Karl Murphy"/>
    <s v="ericnunez@example.com"/>
    <n v="28728463"/>
    <m/>
    <x v="828"/>
    <m/>
    <x v="1"/>
    <x v="0"/>
    <x v="1"/>
    <x v="4"/>
    <n v="8"/>
    <m/>
    <n v="0"/>
    <s v="Customer reported intermittent service and repeat disruptions"/>
    <n v="985"/>
    <x v="2"/>
    <n v="0"/>
    <s v="Feb 2026"/>
    <n v="202602"/>
    <x v="25"/>
  </r>
  <r>
    <n v="6830144919"/>
    <n v="154508960"/>
    <s v="Jackson Daniel"/>
    <s v="kelleyglen@example.org"/>
    <n v="97971488"/>
    <m/>
    <x v="829"/>
    <m/>
    <x v="4"/>
    <x v="4"/>
    <x v="0"/>
    <x v="4"/>
    <n v="84"/>
    <m/>
    <n v="0"/>
    <s v="Login, OTP, or password reset issue"/>
    <n v="1013"/>
    <x v="2"/>
    <n v="0"/>
    <s v="Mar 2024"/>
    <n v="202403"/>
    <x v="15"/>
  </r>
  <r>
    <n v="7071468320"/>
    <n v="371993587"/>
    <s v="Leslie Mueller"/>
    <s v="vbradley@example.net"/>
    <n v="22575562"/>
    <m/>
    <x v="830"/>
    <m/>
    <x v="1"/>
    <x v="4"/>
    <x v="2"/>
    <x v="4"/>
    <n v="68"/>
    <m/>
    <n v="0"/>
    <s v="Login, OTP, or password reset issue"/>
    <n v="1044"/>
    <x v="2"/>
    <n v="0"/>
    <s v="Apr 2024"/>
    <n v="202404"/>
    <x v="2"/>
  </r>
  <r>
    <n v="7183919686"/>
    <n v="840629322"/>
    <s v="Joseph Rhodes"/>
    <s v="thomasrichard@example.net"/>
    <n v="16150444"/>
    <n v="9811035250"/>
    <x v="831"/>
    <d v="2025-08-22T19:49:29"/>
    <x v="1"/>
    <x v="5"/>
    <x v="0"/>
    <x v="4"/>
    <n v="45"/>
    <n v="905"/>
    <n v="0"/>
    <s v="App, network, or device troubleshooting requested"/>
    <n v="1060"/>
    <x v="2"/>
    <n v="0"/>
    <s v="Aug 2025"/>
    <n v="202508"/>
    <x v="22"/>
  </r>
  <r>
    <n v="7428858209"/>
    <n v="298407302"/>
    <s v="Christian Rowe"/>
    <s v="rebeccajohnson@example.net"/>
    <n v="81691040"/>
    <n v="8572011492"/>
    <x v="832"/>
    <m/>
    <x v="6"/>
    <x v="4"/>
    <x v="1"/>
    <x v="4"/>
    <n v="6"/>
    <m/>
    <n v="0"/>
    <s v="Login, OTP, or password reset issue"/>
    <n v="1094"/>
    <x v="2"/>
    <n v="0"/>
    <s v="Dec 2025"/>
    <n v="202512"/>
    <x v="21"/>
  </r>
  <r>
    <n v="7473919076"/>
    <n v="996703082"/>
    <s v="Kylie Sparks"/>
    <s v="gregorylynch@example.com"/>
    <n v="24942603"/>
    <n v="7755292104"/>
    <x v="833"/>
    <m/>
    <x v="1"/>
    <x v="1"/>
    <x v="2"/>
    <x v="4"/>
    <n v="64"/>
    <m/>
    <n v="0"/>
    <s v="Refund status or reversal timeline inquiry"/>
    <n v="1100"/>
    <x v="2"/>
    <n v="0"/>
    <s v="Oct 2025"/>
    <n v="202510"/>
    <x v="8"/>
  </r>
  <r>
    <n v="7499741213"/>
    <n v="652681586"/>
    <s v="Mrs. Nicole Moreno"/>
    <s v="kelly57@example.net"/>
    <n v="83793389"/>
    <m/>
    <x v="834"/>
    <m/>
    <x v="1"/>
    <x v="4"/>
    <x v="0"/>
    <x v="4"/>
    <n v="29"/>
    <m/>
    <n v="0"/>
    <s v="Login, OTP, or password reset issue"/>
    <n v="1106"/>
    <x v="2"/>
    <n v="0"/>
    <s v="Aug 2024"/>
    <n v="202408"/>
    <x v="18"/>
  </r>
  <r>
    <n v="7615677462"/>
    <n v="234568604"/>
    <s v="Aaron Armstrong"/>
    <s v="suarezkrystal@example.com"/>
    <n v="13356886"/>
    <n v="3077935216"/>
    <x v="835"/>
    <m/>
    <x v="3"/>
    <x v="4"/>
    <x v="0"/>
    <x v="4"/>
    <n v="30"/>
    <m/>
    <n v="0"/>
    <s v="Login, OTP, or password reset issue"/>
    <n v="1128"/>
    <x v="2"/>
    <n v="0"/>
    <s v="Aug 2024"/>
    <n v="202408"/>
    <x v="18"/>
  </r>
  <r>
    <n v="7753590861"/>
    <n v="878810937"/>
    <s v="Kevin Mendoza"/>
    <s v="sheltontiffany@example.com"/>
    <n v="82383095"/>
    <m/>
    <x v="836"/>
    <m/>
    <x v="2"/>
    <x v="2"/>
    <x v="0"/>
    <x v="4"/>
    <n v="16"/>
    <m/>
    <n v="0"/>
    <s v="Customer questioned invoice amount and prorated charges"/>
    <n v="1151"/>
    <x v="2"/>
    <n v="0"/>
    <s v="Jun 2025"/>
    <n v="202506"/>
    <x v="19"/>
  </r>
  <r>
    <n v="7761722734"/>
    <n v="871880418"/>
    <s v="Jessica Taylor"/>
    <s v="tsmith@example.org"/>
    <n v="15831819"/>
    <n v="1697341120"/>
    <x v="837"/>
    <d v="2025-01-04T02:03:37"/>
    <x v="2"/>
    <x v="5"/>
    <x v="0"/>
    <x v="4"/>
    <n v="26"/>
    <n v="207"/>
    <n v="0"/>
    <s v="App, network, or device troubleshooting requested"/>
    <n v="1152"/>
    <x v="2"/>
    <n v="0"/>
    <s v="Jan 2025"/>
    <n v="202501"/>
    <x v="16"/>
  </r>
  <r>
    <n v="7766052970"/>
    <n v="392907427"/>
    <s v="Eric Rush"/>
    <s v="meagan65@example.com"/>
    <n v="20576383"/>
    <m/>
    <x v="838"/>
    <d v="2024-02-06T06:29:27"/>
    <x v="2"/>
    <x v="2"/>
    <x v="0"/>
    <x v="4"/>
    <n v="44"/>
    <n v="232"/>
    <n v="0"/>
    <s v="Customer questioned invoice amount and prorated charges"/>
    <n v="1153"/>
    <x v="2"/>
    <n v="0"/>
    <s v="Feb 2024"/>
    <n v="202402"/>
    <x v="7"/>
  </r>
  <r>
    <n v="8004278884"/>
    <n v="615877957"/>
    <s v="George Weber"/>
    <s v="justin33@example.org"/>
    <n v="25014631"/>
    <m/>
    <x v="839"/>
    <m/>
    <x v="5"/>
    <x v="1"/>
    <x v="2"/>
    <x v="4"/>
    <n v="17"/>
    <m/>
    <n v="0"/>
    <s v="Refund status or reversal timeline inquiry"/>
    <n v="1183"/>
    <x v="2"/>
    <n v="0"/>
    <s v="Jun 2025"/>
    <n v="202506"/>
    <x v="19"/>
  </r>
  <r>
    <n v="8027135747"/>
    <n v="924399252"/>
    <s v="Douglas Weaver"/>
    <s v="lewisalex@example.com"/>
    <n v="83140807"/>
    <m/>
    <x v="840"/>
    <m/>
    <x v="2"/>
    <x v="2"/>
    <x v="3"/>
    <x v="4"/>
    <n v="80"/>
    <m/>
    <n v="0"/>
    <s v="Customer questioned invoice amount and prorated charges"/>
    <n v="1188"/>
    <x v="2"/>
    <n v="0"/>
    <s v="Jan 2024"/>
    <n v="202401"/>
    <x v="17"/>
  </r>
  <r>
    <n v="8078166989"/>
    <n v="604803700"/>
    <s v="Debra Valentine"/>
    <s v="victorgonzalez@example.net"/>
    <n v="42138745"/>
    <m/>
    <x v="841"/>
    <m/>
    <x v="0"/>
    <x v="5"/>
    <x v="1"/>
    <x v="4"/>
    <n v="49"/>
    <m/>
    <n v="0"/>
    <s v="App, network, or device troubleshooting requested"/>
    <n v="1193"/>
    <x v="2"/>
    <n v="0"/>
    <s v="Jul 2025"/>
    <n v="202507"/>
    <x v="13"/>
  </r>
  <r>
    <n v="8108704549"/>
    <n v="731130400"/>
    <s v="James Henderson"/>
    <s v="qspencer@example.net"/>
    <n v="20570592"/>
    <n v="5767649713"/>
    <x v="842"/>
    <d v="2024-04-17T12:50:39"/>
    <x v="6"/>
    <x v="4"/>
    <x v="3"/>
    <x v="4"/>
    <n v="30"/>
    <n v="414"/>
    <n v="0"/>
    <s v="Login, OTP, or password reset issue"/>
    <n v="1198"/>
    <x v="2"/>
    <n v="0"/>
    <s v="Apr 2024"/>
    <n v="202404"/>
    <x v="2"/>
  </r>
  <r>
    <n v="8399025486"/>
    <n v="402104065"/>
    <s v="Philip Chambers"/>
    <s v="schaeferscott@example.net"/>
    <n v="12614124"/>
    <m/>
    <x v="843"/>
    <d v="2024-02-06T11:33:50"/>
    <x v="1"/>
    <x v="2"/>
    <x v="0"/>
    <x v="4"/>
    <n v="29"/>
    <n v="930"/>
    <n v="0"/>
    <s v="Customer questioned invoice amount and prorated charges"/>
    <n v="1237"/>
    <x v="2"/>
    <n v="0"/>
    <s v="Feb 2024"/>
    <n v="202402"/>
    <x v="7"/>
  </r>
  <r>
    <n v="8452716021"/>
    <n v="999371401"/>
    <s v="Micheal West"/>
    <s v="nfleming@example.net"/>
    <n v="55657579"/>
    <m/>
    <x v="844"/>
    <m/>
    <x v="2"/>
    <x v="0"/>
    <x v="1"/>
    <x v="4"/>
    <n v="41"/>
    <m/>
    <n v="0"/>
    <s v="Customer reported intermittent service and repeat disruptions"/>
    <n v="1247"/>
    <x v="2"/>
    <n v="0"/>
    <s v="Dec 2024"/>
    <n v="202412"/>
    <x v="12"/>
  </r>
  <r>
    <n v="8467188088"/>
    <n v="662890182"/>
    <s v="Linda Hughes"/>
    <s v="jesseboone@example.com"/>
    <n v="88461803"/>
    <n v="7021836592"/>
    <x v="845"/>
    <m/>
    <x v="4"/>
    <x v="4"/>
    <x v="2"/>
    <x v="4"/>
    <n v="48"/>
    <m/>
    <n v="0"/>
    <s v="Login, OTP, or password reset issue"/>
    <n v="1250"/>
    <x v="2"/>
    <n v="0"/>
    <s v="Feb 2024"/>
    <n v="202402"/>
    <x v="7"/>
  </r>
  <r>
    <n v="8479397526"/>
    <n v="151329185"/>
    <s v="Anthony Mooney"/>
    <s v="mitchellchristopher@example.net"/>
    <n v="13356886"/>
    <m/>
    <x v="846"/>
    <m/>
    <x v="3"/>
    <x v="4"/>
    <x v="0"/>
    <x v="4"/>
    <n v="66"/>
    <m/>
    <n v="0"/>
    <s v="Login, OTP, or password reset issue"/>
    <n v="1252"/>
    <x v="2"/>
    <n v="0"/>
    <s v="Mar 2025"/>
    <n v="202503"/>
    <x v="20"/>
  </r>
  <r>
    <n v="8508391753"/>
    <n v="117647321"/>
    <s v="Mary Butler"/>
    <s v="natalie60@example.net"/>
    <n v="17774584"/>
    <n v="3408619421"/>
    <x v="847"/>
    <m/>
    <x v="5"/>
    <x v="3"/>
    <x v="2"/>
    <x v="4"/>
    <n v="23"/>
    <m/>
    <n v="0"/>
    <s v="Shipment or installation appointment delayed beyond ETA"/>
    <n v="1256"/>
    <x v="2"/>
    <n v="0"/>
    <s v="Oct 2025"/>
    <n v="202510"/>
    <x v="8"/>
  </r>
  <r>
    <n v="8509158906"/>
    <n v="843937341"/>
    <s v="Anthony Moore"/>
    <s v="craigjoseph@example.net"/>
    <n v="77187530"/>
    <m/>
    <x v="848"/>
    <m/>
    <x v="1"/>
    <x v="1"/>
    <x v="2"/>
    <x v="4"/>
    <n v="24"/>
    <m/>
    <n v="0"/>
    <s v="Refund status or reversal timeline inquiry"/>
    <n v="1257"/>
    <x v="2"/>
    <n v="0"/>
    <s v="Feb 2024"/>
    <n v="202402"/>
    <x v="7"/>
  </r>
  <r>
    <n v="8524720441"/>
    <n v="599714064"/>
    <s v="Adam Johnson"/>
    <s v="jonmcdonald@example.org"/>
    <n v="28728463"/>
    <m/>
    <x v="849"/>
    <m/>
    <x v="5"/>
    <x v="5"/>
    <x v="3"/>
    <x v="4"/>
    <n v="23"/>
    <m/>
    <n v="0"/>
    <s v="App, network, or device troubleshooting requested"/>
    <n v="1263"/>
    <x v="2"/>
    <n v="0"/>
    <s v="Jan 2025"/>
    <n v="202501"/>
    <x v="16"/>
  </r>
  <r>
    <n v="8612403881"/>
    <n v="372354893"/>
    <s v="Robert Woods"/>
    <s v="colematthew@example.com"/>
    <n v="45812670"/>
    <n v="3747921408"/>
    <x v="850"/>
    <d v="2025-09-09T03:12:54"/>
    <x v="6"/>
    <x v="4"/>
    <x v="1"/>
    <x v="4"/>
    <n v="11"/>
    <n v="1210"/>
    <n v="0"/>
    <s v="Login, OTP, or password reset issue"/>
    <n v="1285"/>
    <x v="2"/>
    <n v="0"/>
    <s v="Sep 2025"/>
    <n v="202509"/>
    <x v="9"/>
  </r>
  <r>
    <n v="8663887985"/>
    <n v="853703117"/>
    <s v="William Torres"/>
    <s v="zandrews@example.com"/>
    <n v="86149359"/>
    <m/>
    <x v="851"/>
    <m/>
    <x v="5"/>
    <x v="1"/>
    <x v="0"/>
    <x v="4"/>
    <n v="39"/>
    <m/>
    <n v="0"/>
    <s v="Refund status or reversal timeline inquiry"/>
    <n v="1291"/>
    <x v="2"/>
    <n v="0"/>
    <s v="Oct 2024"/>
    <n v="202410"/>
    <x v="1"/>
  </r>
  <r>
    <n v="8723506101"/>
    <n v="847508242"/>
    <s v="Andrea Smith"/>
    <s v="timothy83@example.net"/>
    <n v="95758349"/>
    <m/>
    <x v="852"/>
    <m/>
    <x v="0"/>
    <x v="3"/>
    <x v="0"/>
    <x v="4"/>
    <n v="26"/>
    <m/>
    <n v="0"/>
    <s v="Shipment or installation appointment delayed beyond ETA"/>
    <n v="1300"/>
    <x v="2"/>
    <n v="0"/>
    <s v="Dec 2024"/>
    <n v="202412"/>
    <x v="12"/>
  </r>
  <r>
    <n v="8753964973"/>
    <n v="587853601"/>
    <s v="Kathy Calhoun DDS"/>
    <s v="adam17@example.net"/>
    <n v="66306997"/>
    <m/>
    <x v="853"/>
    <m/>
    <x v="3"/>
    <x v="1"/>
    <x v="3"/>
    <x v="4"/>
    <n v="48"/>
    <m/>
    <n v="0"/>
    <s v="Refund status or reversal timeline inquiry"/>
    <n v="1303"/>
    <x v="2"/>
    <n v="0"/>
    <s v="Feb 2025"/>
    <n v="202502"/>
    <x v="14"/>
  </r>
  <r>
    <n v="8905044610"/>
    <n v="404994549"/>
    <s v="Lori Green"/>
    <s v="stacyharris@example.org"/>
    <n v="51837852"/>
    <m/>
    <x v="854"/>
    <m/>
    <x v="5"/>
    <x v="4"/>
    <x v="0"/>
    <x v="4"/>
    <n v="50"/>
    <m/>
    <n v="0"/>
    <s v="Login, OTP, or password reset issue"/>
    <n v="1330"/>
    <x v="2"/>
    <n v="0"/>
    <s v="Oct 2025"/>
    <n v="202510"/>
    <x v="8"/>
  </r>
  <r>
    <n v="8976420044"/>
    <n v="926178355"/>
    <s v="Christopher Barr"/>
    <s v="amy49@example.com"/>
    <n v="23756669"/>
    <m/>
    <x v="855"/>
    <d v="2025-09-19T15:20:41"/>
    <x v="6"/>
    <x v="3"/>
    <x v="3"/>
    <x v="4"/>
    <n v="22"/>
    <n v="617"/>
    <n v="0"/>
    <s v="Shipment or installation appointment delayed beyond ETA"/>
    <n v="1339"/>
    <x v="2"/>
    <n v="0"/>
    <s v="Sep 2025"/>
    <n v="202509"/>
    <x v="9"/>
  </r>
  <r>
    <n v="9052874560"/>
    <n v="962915335"/>
    <s v="Stephanie Rodriguez"/>
    <s v="jasonhernandez@example.org"/>
    <n v="58966946"/>
    <m/>
    <x v="856"/>
    <m/>
    <x v="4"/>
    <x v="3"/>
    <x v="2"/>
    <x v="4"/>
    <n v="57"/>
    <m/>
    <n v="0"/>
    <s v="Shipment or installation appointment delayed beyond ETA"/>
    <n v="1356"/>
    <x v="2"/>
    <n v="0"/>
    <s v="Sep 2024"/>
    <n v="202409"/>
    <x v="3"/>
  </r>
  <r>
    <n v="9053851299"/>
    <n v="356022467"/>
    <s v="Breanna Rivas"/>
    <s v="huntchristine@example.com"/>
    <n v="57683626"/>
    <n v="5727349037"/>
    <x v="857"/>
    <d v="2025-10-22T08:42:01"/>
    <x v="5"/>
    <x v="0"/>
    <x v="0"/>
    <x v="4"/>
    <n v="46"/>
    <n v="1042"/>
    <n v="0"/>
    <s v="Customer reported intermittent service and repeat disruptions"/>
    <n v="1357"/>
    <x v="2"/>
    <n v="0"/>
    <s v="Oct 2025"/>
    <n v="202510"/>
    <x v="8"/>
  </r>
  <r>
    <n v="9099544909"/>
    <n v="768737754"/>
    <s v="Peggy Carr"/>
    <s v="timothyfreeman@example.com"/>
    <n v="24282218"/>
    <m/>
    <x v="858"/>
    <m/>
    <x v="4"/>
    <x v="3"/>
    <x v="0"/>
    <x v="4"/>
    <n v="64"/>
    <m/>
    <n v="0"/>
    <s v="Shipment or installation appointment delayed beyond ETA"/>
    <n v="1368"/>
    <x v="2"/>
    <n v="0"/>
    <s v="Jul 2024"/>
    <n v="202407"/>
    <x v="23"/>
  </r>
  <r>
    <n v="9231028203"/>
    <n v="393622794"/>
    <s v="Gary Garcia"/>
    <s v="bartonpaige@example.net"/>
    <n v="20576383"/>
    <m/>
    <x v="859"/>
    <m/>
    <x v="4"/>
    <x v="5"/>
    <x v="0"/>
    <x v="4"/>
    <n v="51"/>
    <m/>
    <n v="0"/>
    <s v="App, network, or device troubleshooting requested"/>
    <n v="1388"/>
    <x v="2"/>
    <n v="0"/>
    <s v="Jan 2024"/>
    <n v="202401"/>
    <x v="17"/>
  </r>
  <r>
    <n v="9330013423"/>
    <n v="794604127"/>
    <s v="Samantha Howard"/>
    <s v="michelle36@example.net"/>
    <n v="95822412"/>
    <m/>
    <x v="860"/>
    <m/>
    <x v="3"/>
    <x v="0"/>
    <x v="0"/>
    <x v="4"/>
    <n v="70"/>
    <m/>
    <n v="0"/>
    <s v="Customer reported intermittent service and repeat disruptions"/>
    <n v="1404"/>
    <x v="2"/>
    <n v="0"/>
    <s v="Mar 2024"/>
    <n v="202403"/>
    <x v="15"/>
  </r>
  <r>
    <n v="9350078367"/>
    <n v="880697625"/>
    <s v="Angela Gilmore"/>
    <s v="robertsonrenee@example.com"/>
    <n v="71586053"/>
    <n v="1691934899"/>
    <x v="861"/>
    <m/>
    <x v="5"/>
    <x v="3"/>
    <x v="1"/>
    <x v="4"/>
    <n v="32"/>
    <m/>
    <n v="0"/>
    <s v="Shipment or installation appointment delayed beyond ETA"/>
    <n v="1408"/>
    <x v="2"/>
    <n v="0"/>
    <s v="Jan 2024"/>
    <n v="202401"/>
    <x v="17"/>
  </r>
  <r>
    <n v="9357444493"/>
    <n v="721132087"/>
    <s v="Steven Thomas"/>
    <s v="woodphillip@example.com"/>
    <n v="22201654"/>
    <n v="4917221541"/>
    <x v="862"/>
    <m/>
    <x v="0"/>
    <x v="3"/>
    <x v="3"/>
    <x v="4"/>
    <n v="27"/>
    <m/>
    <n v="0"/>
    <s v="Shipment or installation appointment delayed beyond ETA"/>
    <n v="1412"/>
    <x v="2"/>
    <n v="0"/>
    <s v="Oct 2024"/>
    <n v="202410"/>
    <x v="1"/>
  </r>
  <r>
    <n v="9399351344"/>
    <n v="313736772"/>
    <s v="Courtney Walsh"/>
    <s v="moorekylie@example.org"/>
    <n v="22981052"/>
    <m/>
    <x v="863"/>
    <d v="2024-01-22T14:40:28"/>
    <x v="1"/>
    <x v="2"/>
    <x v="2"/>
    <x v="4"/>
    <n v="57"/>
    <n v="489"/>
    <n v="0"/>
    <s v="Customer questioned invoice amount and prorated charges"/>
    <n v="1418"/>
    <x v="2"/>
    <n v="0"/>
    <s v="Jan 2024"/>
    <n v="202401"/>
    <x v="17"/>
  </r>
  <r>
    <n v="9422071492"/>
    <n v="893158610"/>
    <s v="Anthony Neal"/>
    <s v="lmartin@example.org"/>
    <n v="61019678"/>
    <m/>
    <x v="864"/>
    <m/>
    <x v="4"/>
    <x v="4"/>
    <x v="2"/>
    <x v="4"/>
    <n v="63"/>
    <m/>
    <n v="0"/>
    <s v="Login, OTP, or password reset issue"/>
    <n v="1423"/>
    <x v="2"/>
    <n v="0"/>
    <s v="Jul 2025"/>
    <n v="202507"/>
    <x v="13"/>
  </r>
  <r>
    <n v="9456485428"/>
    <n v="424371087"/>
    <s v="Willie Allen"/>
    <s v="campbellfelicia@example.com"/>
    <n v="42329237"/>
    <n v="3883404698"/>
    <x v="865"/>
    <m/>
    <x v="2"/>
    <x v="5"/>
    <x v="2"/>
    <x v="4"/>
    <n v="35"/>
    <m/>
    <n v="0"/>
    <s v="App, network, or device troubleshooting requested"/>
    <n v="1427"/>
    <x v="2"/>
    <n v="0"/>
    <s v="Dec 2025"/>
    <n v="202512"/>
    <x v="21"/>
  </r>
  <r>
    <n v="9679857324"/>
    <n v="634047267"/>
    <s v="David Hudson"/>
    <s v="xcohen@example.org"/>
    <n v="17507864"/>
    <m/>
    <x v="866"/>
    <m/>
    <x v="5"/>
    <x v="2"/>
    <x v="0"/>
    <x v="4"/>
    <n v="42"/>
    <m/>
    <n v="0"/>
    <s v="Customer questioned invoice amount and prorated charges"/>
    <n v="1464"/>
    <x v="2"/>
    <n v="0"/>
    <s v="Mar 2024"/>
    <n v="202403"/>
    <x v="15"/>
  </r>
  <r>
    <n v="9732070589"/>
    <n v="354193540"/>
    <s v="Patty Gates"/>
    <s v="qevans@example.org"/>
    <n v="28566572"/>
    <m/>
    <x v="867"/>
    <m/>
    <x v="1"/>
    <x v="5"/>
    <x v="2"/>
    <x v="4"/>
    <n v="19"/>
    <m/>
    <n v="0"/>
    <s v="App, network, or device troubleshooting requested"/>
    <n v="1471"/>
    <x v="2"/>
    <n v="0"/>
    <s v="Oct 2025"/>
    <n v="202510"/>
    <x v="8"/>
  </r>
  <r>
    <n v="9767129684"/>
    <n v="810741110"/>
    <s v="Misty Whitney"/>
    <s v="christopher60@example.com"/>
    <n v="81691040"/>
    <m/>
    <x v="868"/>
    <m/>
    <x v="2"/>
    <x v="2"/>
    <x v="1"/>
    <x v="4"/>
    <n v="11"/>
    <m/>
    <n v="0"/>
    <s v="Customer questioned invoice amount and prorated charges"/>
    <n v="1476"/>
    <x v="2"/>
    <n v="0"/>
    <s v="Oct 2025"/>
    <n v="202510"/>
    <x v="8"/>
  </r>
  <r>
    <n v="9781468007"/>
    <n v="490102359"/>
    <s v="Curtis Torres"/>
    <s v="melaniejennings@example.com"/>
    <n v="81971316"/>
    <n v="7671347646"/>
    <x v="869"/>
    <d v="2024-02-27T21:45:42"/>
    <x v="5"/>
    <x v="5"/>
    <x v="0"/>
    <x v="4"/>
    <n v="4"/>
    <n v="845"/>
    <n v="0"/>
    <s v="App, network, or device troubleshooting requested"/>
    <n v="1479"/>
    <x v="2"/>
    <n v="0"/>
    <s v="Feb 2024"/>
    <n v="202402"/>
    <x v="7"/>
  </r>
  <r>
    <n v="9880793275"/>
    <n v="582750043"/>
    <s v="Lee Barker"/>
    <s v="vthompson@example.org"/>
    <n v="71586053"/>
    <m/>
    <x v="870"/>
    <m/>
    <x v="3"/>
    <x v="1"/>
    <x v="3"/>
    <x v="4"/>
    <n v="27"/>
    <m/>
    <n v="0"/>
    <s v="Refund status or reversal timeline inquiry"/>
    <n v="1490"/>
    <x v="2"/>
    <n v="0"/>
    <s v="Jul 2024"/>
    <n v="202407"/>
    <x v="23"/>
  </r>
  <r>
    <n v="1004123145"/>
    <n v="507693523"/>
    <s v="Mark Jones"/>
    <s v="brian62@example.net"/>
    <n v="11540956"/>
    <m/>
    <x v="871"/>
    <d v="2024-06-03T06:26:00"/>
    <x v="1"/>
    <x v="3"/>
    <x v="0"/>
    <x v="5"/>
    <n v="1"/>
    <n v="471"/>
    <n v="0"/>
    <s v="Shipment or installation appointment delayed beyond ETA"/>
    <n v="1"/>
    <x v="0"/>
    <n v="1"/>
    <s v="Jun 2024"/>
    <n v="202406"/>
    <x v="26"/>
  </r>
  <r>
    <n v="1006325213"/>
    <n v="406084084"/>
    <s v="Haley Davis"/>
    <s v="marypeterson@example.net"/>
    <n v="45503389"/>
    <m/>
    <x v="872"/>
    <d v="2025-11-25T20:57:17"/>
    <x v="5"/>
    <x v="1"/>
    <x v="1"/>
    <x v="5"/>
    <n v="79"/>
    <n v="89"/>
    <n v="0"/>
    <s v="Refund status or reversal timeline inquiry"/>
    <n v="2"/>
    <x v="0"/>
    <n v="1"/>
    <s v="Nov 2025"/>
    <n v="202511"/>
    <x v="4"/>
  </r>
  <r>
    <n v="1009152377"/>
    <n v="839393192"/>
    <s v="Nathan Jones"/>
    <s v="stephanie67@example.net"/>
    <n v="45833156"/>
    <n v="5924562641"/>
    <x v="873"/>
    <d v="2024-06-06T12:27:29"/>
    <x v="5"/>
    <x v="4"/>
    <x v="1"/>
    <x v="5"/>
    <n v="21"/>
    <n v="350"/>
    <n v="0"/>
    <s v="Login, OTP, or password reset issue"/>
    <n v="3"/>
    <x v="0"/>
    <n v="1"/>
    <s v="Jun 2024"/>
    <n v="202406"/>
    <x v="26"/>
  </r>
  <r>
    <n v="1036232777"/>
    <n v="238548086"/>
    <s v="Tony Smith"/>
    <s v="karen68@example.org"/>
    <n v="90801586"/>
    <m/>
    <x v="874"/>
    <d v="2025-01-31T00:27:43"/>
    <x v="4"/>
    <x v="4"/>
    <x v="1"/>
    <x v="5"/>
    <n v="22"/>
    <n v="239"/>
    <n v="0"/>
    <s v="Login, OTP, or password reset issue"/>
    <n v="6"/>
    <x v="0"/>
    <n v="1"/>
    <s v="Jan 2025"/>
    <n v="202501"/>
    <x v="16"/>
  </r>
  <r>
    <n v="1044338542"/>
    <n v="723464439"/>
    <s v="Kelly Rodriguez"/>
    <s v="lucassusan@example.org"/>
    <n v="58966946"/>
    <m/>
    <x v="875"/>
    <d v="2025-12-03T20:03:49"/>
    <x v="6"/>
    <x v="0"/>
    <x v="0"/>
    <x v="5"/>
    <n v="29"/>
    <n v="368"/>
    <n v="0"/>
    <s v="Customer reported intermittent service and repeat disruptions"/>
    <n v="8"/>
    <x v="0"/>
    <n v="1"/>
    <s v="Dec 2025"/>
    <n v="202512"/>
    <x v="21"/>
  </r>
  <r>
    <n v="1051704079"/>
    <n v="166874023"/>
    <s v="Christina Martin"/>
    <s v="hubbardkeith@example.net"/>
    <n v="23718431"/>
    <m/>
    <x v="876"/>
    <d v="2026-01-06T14:43:28"/>
    <x v="3"/>
    <x v="0"/>
    <x v="2"/>
    <x v="5"/>
    <n v="70"/>
    <n v="368"/>
    <n v="0"/>
    <s v="Customer reported intermittent service and repeat disruptions"/>
    <n v="10"/>
    <x v="0"/>
    <n v="1"/>
    <s v="Jan 2026"/>
    <n v="202601"/>
    <x v="0"/>
  </r>
  <r>
    <n v="1071910991"/>
    <n v="691461470"/>
    <s v="Travis Nielsen"/>
    <s v="gerald46@example.org"/>
    <n v="55667651"/>
    <n v="1541696649"/>
    <x v="877"/>
    <d v="2025-01-19T14:12:45"/>
    <x v="1"/>
    <x v="2"/>
    <x v="2"/>
    <x v="5"/>
    <n v="82"/>
    <n v="419"/>
    <n v="0"/>
    <s v="Customer questioned invoice amount and prorated charges"/>
    <n v="14"/>
    <x v="0"/>
    <n v="1"/>
    <s v="Jan 2025"/>
    <n v="202501"/>
    <x v="16"/>
  </r>
  <r>
    <n v="1118632377"/>
    <n v="128636900"/>
    <s v="Brian Hampton"/>
    <s v="amber07@example.net"/>
    <n v="20576383"/>
    <m/>
    <x v="878"/>
    <d v="2024-06-16T12:48:25"/>
    <x v="2"/>
    <x v="3"/>
    <x v="0"/>
    <x v="5"/>
    <n v="48"/>
    <n v="424"/>
    <n v="0"/>
    <s v="Shipment or installation appointment delayed beyond ETA"/>
    <n v="21"/>
    <x v="0"/>
    <n v="1"/>
    <s v="Jun 2024"/>
    <n v="202406"/>
    <x v="26"/>
  </r>
  <r>
    <n v="1127237194"/>
    <n v="364697908"/>
    <s v="Laura Woods"/>
    <s v="xboyd@example.org"/>
    <n v="28566572"/>
    <m/>
    <x v="879"/>
    <d v="2024-09-06T19:05:31"/>
    <x v="5"/>
    <x v="2"/>
    <x v="0"/>
    <x v="5"/>
    <n v="61"/>
    <n v="489"/>
    <n v="0"/>
    <s v="Customer questioned invoice amount and prorated charges"/>
    <n v="23"/>
    <x v="0"/>
    <n v="1"/>
    <s v="Sep 2024"/>
    <n v="202409"/>
    <x v="3"/>
  </r>
  <r>
    <n v="1128956696"/>
    <n v="410812797"/>
    <s v="Sean Chapman"/>
    <s v="johnsonjames@example.org"/>
    <n v="22575562"/>
    <m/>
    <x v="880"/>
    <d v="2024-05-17T20:03:08"/>
    <x v="6"/>
    <x v="1"/>
    <x v="2"/>
    <x v="5"/>
    <n v="10"/>
    <n v="195"/>
    <n v="0"/>
    <s v="Refund status or reversal timeline inquiry"/>
    <n v="24"/>
    <x v="0"/>
    <n v="1"/>
    <s v="May 2024"/>
    <n v="202405"/>
    <x v="24"/>
  </r>
  <r>
    <n v="1150959137"/>
    <n v="447464644"/>
    <s v="Brett Newman"/>
    <s v="patriciagrant@example.net"/>
    <n v="80823176"/>
    <n v="6100947738"/>
    <x v="881"/>
    <d v="2024-05-10T01:17:29"/>
    <x v="3"/>
    <x v="3"/>
    <x v="0"/>
    <x v="5"/>
    <n v="63"/>
    <n v="426"/>
    <n v="0"/>
    <s v="Shipment or installation appointment delayed beyond ETA"/>
    <n v="29"/>
    <x v="0"/>
    <n v="1"/>
    <s v="May 2024"/>
    <n v="202405"/>
    <x v="24"/>
  </r>
  <r>
    <n v="1160947098"/>
    <n v="569172971"/>
    <s v="Ashley Fernandez"/>
    <s v="probinson@example.org"/>
    <n v="93926371"/>
    <m/>
    <x v="882"/>
    <d v="2025-02-19T08:43:42"/>
    <x v="1"/>
    <x v="2"/>
    <x v="2"/>
    <x v="5"/>
    <n v="66"/>
    <n v="597"/>
    <n v="0"/>
    <s v="Customer questioned invoice amount and prorated charges"/>
    <n v="31"/>
    <x v="0"/>
    <n v="1"/>
    <s v="Feb 2025"/>
    <n v="202502"/>
    <x v="14"/>
  </r>
  <r>
    <n v="1174964107"/>
    <n v="989368954"/>
    <s v="Allen Schneider"/>
    <s v="dmiller@example.org"/>
    <n v="63551839"/>
    <m/>
    <x v="883"/>
    <d v="2024-12-25T16:31:34"/>
    <x v="3"/>
    <x v="0"/>
    <x v="3"/>
    <x v="5"/>
    <n v="54"/>
    <n v="361"/>
    <n v="0"/>
    <s v="Customer reported intermittent service and repeat disruptions"/>
    <n v="33"/>
    <x v="0"/>
    <n v="1"/>
    <s v="Dec 2024"/>
    <n v="202412"/>
    <x v="12"/>
  </r>
  <r>
    <n v="1180232446"/>
    <n v="462516271"/>
    <s v="Daniel Petersen"/>
    <s v="brownkevin@example.com"/>
    <n v="17774584"/>
    <m/>
    <x v="884"/>
    <d v="2025-08-03T17:11:41"/>
    <x v="2"/>
    <x v="3"/>
    <x v="2"/>
    <x v="5"/>
    <n v="38"/>
    <n v="426"/>
    <n v="0"/>
    <s v="Shipment or installation appointment delayed beyond ETA"/>
    <n v="34"/>
    <x v="0"/>
    <n v="1"/>
    <s v="Aug 2025"/>
    <n v="202508"/>
    <x v="22"/>
  </r>
  <r>
    <n v="1187312532"/>
    <n v="266371119"/>
    <s v="Bobby Williams MD"/>
    <s v="cassandra01@example.org"/>
    <n v="60929647"/>
    <m/>
    <x v="885"/>
    <d v="2025-08-05T03:31:16"/>
    <x v="1"/>
    <x v="5"/>
    <x v="1"/>
    <x v="5"/>
    <n v="38"/>
    <n v="498"/>
    <n v="0"/>
    <s v="App, network, or device troubleshooting requested"/>
    <n v="35"/>
    <x v="0"/>
    <n v="1"/>
    <s v="Aug 2025"/>
    <n v="202508"/>
    <x v="22"/>
  </r>
  <r>
    <n v="1200432012"/>
    <n v="761078179"/>
    <s v="Karen Gray"/>
    <s v="nguyenchristine@example.net"/>
    <n v="28740864"/>
    <m/>
    <x v="886"/>
    <d v="2024-03-19T22:37:01"/>
    <x v="4"/>
    <x v="1"/>
    <x v="2"/>
    <x v="5"/>
    <n v="50"/>
    <n v="55"/>
    <n v="0"/>
    <s v="Refund status or reversal timeline inquiry"/>
    <n v="36"/>
    <x v="0"/>
    <n v="1"/>
    <s v="Mar 2024"/>
    <n v="202403"/>
    <x v="15"/>
  </r>
  <r>
    <n v="1202491725"/>
    <n v="314423806"/>
    <s v="Elizabeth Johnson"/>
    <s v="lisa39@example.org"/>
    <n v="59684848"/>
    <n v="5677108385"/>
    <x v="887"/>
    <d v="2024-07-23T06:47:05"/>
    <x v="1"/>
    <x v="2"/>
    <x v="2"/>
    <x v="5"/>
    <n v="60"/>
    <n v="462"/>
    <n v="0"/>
    <s v="Customer questioned invoice amount and prorated charges"/>
    <n v="37"/>
    <x v="0"/>
    <n v="1"/>
    <s v="Jul 2024"/>
    <n v="202407"/>
    <x v="23"/>
  </r>
  <r>
    <n v="1202908421"/>
    <n v="549661921"/>
    <s v="Shawn Vasquez"/>
    <s v="zchapman@example.com"/>
    <n v="56164955"/>
    <n v="6817218959"/>
    <x v="888"/>
    <d v="2024-12-01T11:14:38"/>
    <x v="1"/>
    <x v="3"/>
    <x v="3"/>
    <x v="5"/>
    <n v="1"/>
    <n v="505"/>
    <n v="0"/>
    <s v="Shipment or installation appointment delayed beyond ETA"/>
    <n v="38"/>
    <x v="0"/>
    <n v="1"/>
    <s v="Dec 2024"/>
    <n v="202412"/>
    <x v="12"/>
  </r>
  <r>
    <n v="1212595084"/>
    <n v="933428091"/>
    <s v="Randy Barr"/>
    <s v="fernandothomas@example.net"/>
    <n v="60929647"/>
    <m/>
    <x v="889"/>
    <d v="2026-01-05T18:17:02"/>
    <x v="3"/>
    <x v="5"/>
    <x v="0"/>
    <x v="5"/>
    <n v="3"/>
    <n v="104"/>
    <n v="0"/>
    <s v="App, network, or device troubleshooting requested"/>
    <n v="39"/>
    <x v="0"/>
    <n v="1"/>
    <s v="Jan 2026"/>
    <n v="202601"/>
    <x v="0"/>
  </r>
  <r>
    <n v="1217592499"/>
    <n v="778556450"/>
    <s v="Joshua Howard"/>
    <s v="rgarcia@example.net"/>
    <n v="10435578"/>
    <m/>
    <x v="890"/>
    <d v="2025-05-22T12:58:57"/>
    <x v="4"/>
    <x v="5"/>
    <x v="0"/>
    <x v="5"/>
    <n v="3"/>
    <n v="268"/>
    <n v="0"/>
    <s v="App, network, or device troubleshooting requested"/>
    <n v="41"/>
    <x v="0"/>
    <n v="1"/>
    <s v="May 2025"/>
    <n v="202505"/>
    <x v="5"/>
  </r>
  <r>
    <n v="1243376637"/>
    <n v="797889971"/>
    <s v="Sharon Ayala"/>
    <s v="mark87@example.org"/>
    <n v="84252722"/>
    <m/>
    <x v="891"/>
    <d v="2025-12-15T10:58:40"/>
    <x v="4"/>
    <x v="3"/>
    <x v="0"/>
    <x v="5"/>
    <n v="6"/>
    <n v="182"/>
    <n v="0"/>
    <s v="Shipment or installation appointment delayed beyond ETA"/>
    <n v="47"/>
    <x v="0"/>
    <n v="1"/>
    <s v="Dec 2025"/>
    <n v="202512"/>
    <x v="21"/>
  </r>
  <r>
    <n v="1244869229"/>
    <n v="511086777"/>
    <s v="Paul Estrada"/>
    <s v="glenmoore@example.com"/>
    <n v="46231783"/>
    <m/>
    <x v="892"/>
    <d v="2025-05-05T01:39:03"/>
    <x v="3"/>
    <x v="3"/>
    <x v="0"/>
    <x v="5"/>
    <n v="51"/>
    <n v="493"/>
    <n v="0"/>
    <s v="Shipment or installation appointment delayed beyond ETA"/>
    <n v="48"/>
    <x v="0"/>
    <n v="1"/>
    <s v="May 2025"/>
    <n v="202505"/>
    <x v="5"/>
  </r>
  <r>
    <n v="1256884011"/>
    <n v="826517607"/>
    <s v="Thomas Wilson"/>
    <s v="kimberlyross@example.org"/>
    <n v="55657579"/>
    <m/>
    <x v="893"/>
    <d v="2024-12-14T00:49:42"/>
    <x v="6"/>
    <x v="1"/>
    <x v="2"/>
    <x v="5"/>
    <n v="28"/>
    <n v="1072"/>
    <n v="0"/>
    <s v="Refund status or reversal timeline inquiry"/>
    <n v="51"/>
    <x v="0"/>
    <n v="1"/>
    <s v="Dec 2024"/>
    <n v="202412"/>
    <x v="12"/>
  </r>
  <r>
    <n v="1268211135"/>
    <n v="588529624"/>
    <s v="Brian Welch"/>
    <s v="dthompson@example.org"/>
    <n v="36687537"/>
    <n v="8924675684"/>
    <x v="894"/>
    <d v="2025-10-29T13:05:52"/>
    <x v="6"/>
    <x v="1"/>
    <x v="1"/>
    <x v="5"/>
    <n v="56"/>
    <n v="758"/>
    <n v="0"/>
    <s v="Refund status or reversal timeline inquiry"/>
    <n v="55"/>
    <x v="0"/>
    <n v="1"/>
    <s v="Oct 2025"/>
    <n v="202510"/>
    <x v="8"/>
  </r>
  <r>
    <n v="1275260215"/>
    <n v="139711044"/>
    <s v="Charles Delgado"/>
    <s v="thomasantonio@example.net"/>
    <n v="70897765"/>
    <n v="4329701564"/>
    <x v="895"/>
    <d v="2025-09-03T13:15:25"/>
    <x v="0"/>
    <x v="5"/>
    <x v="2"/>
    <x v="5"/>
    <n v="49"/>
    <n v="200"/>
    <n v="0"/>
    <s v="App, network, or device troubleshooting requested"/>
    <n v="57"/>
    <x v="0"/>
    <n v="1"/>
    <s v="Sep 2025"/>
    <n v="202509"/>
    <x v="9"/>
  </r>
  <r>
    <n v="1321569274"/>
    <n v="705771555"/>
    <s v="William Vasquez"/>
    <s v="hillsabrina@example.net"/>
    <n v="24972279"/>
    <m/>
    <x v="896"/>
    <d v="2025-07-27T08:28:30"/>
    <x v="2"/>
    <x v="3"/>
    <x v="2"/>
    <x v="5"/>
    <n v="67"/>
    <n v="445"/>
    <n v="0"/>
    <s v="Shipment or installation appointment delayed beyond ETA"/>
    <n v="60"/>
    <x v="0"/>
    <n v="1"/>
    <s v="Jul 2025"/>
    <n v="202507"/>
    <x v="13"/>
  </r>
  <r>
    <n v="1359553016"/>
    <n v="202418976"/>
    <s v="Matthew Dougherty"/>
    <s v="colemancassandra@example.org"/>
    <n v="38317637"/>
    <m/>
    <x v="897"/>
    <d v="2025-10-15T16:50:48"/>
    <x v="4"/>
    <x v="4"/>
    <x v="0"/>
    <x v="5"/>
    <n v="11"/>
    <n v="690"/>
    <n v="0"/>
    <s v="Login, OTP, or password reset issue"/>
    <n v="65"/>
    <x v="0"/>
    <n v="1"/>
    <s v="Oct 2025"/>
    <n v="202510"/>
    <x v="8"/>
  </r>
  <r>
    <n v="1388547958"/>
    <n v="419561201"/>
    <s v="Shawn Avila"/>
    <s v="michealhardy@example.net"/>
    <n v="89254563"/>
    <m/>
    <x v="898"/>
    <d v="2025-01-20T02:33:49"/>
    <x v="4"/>
    <x v="5"/>
    <x v="2"/>
    <x v="5"/>
    <n v="30"/>
    <n v="35"/>
    <n v="0"/>
    <s v="App, network, or device troubleshooting requested"/>
    <n v="69"/>
    <x v="0"/>
    <n v="1"/>
    <s v="Jan 2025"/>
    <n v="202501"/>
    <x v="16"/>
  </r>
  <r>
    <n v="1390493265"/>
    <n v="672817675"/>
    <s v="Adam Garcia"/>
    <s v="michelle63@example.org"/>
    <n v="58537831"/>
    <n v="7892193329"/>
    <x v="899"/>
    <d v="2024-09-18T04:48:43"/>
    <x v="1"/>
    <x v="4"/>
    <x v="0"/>
    <x v="5"/>
    <n v="44"/>
    <n v="303"/>
    <n v="0"/>
    <s v="Login, OTP, or password reset issue"/>
    <n v="70"/>
    <x v="0"/>
    <n v="1"/>
    <s v="Sep 2024"/>
    <n v="202409"/>
    <x v="3"/>
  </r>
  <r>
    <n v="1401460920"/>
    <n v="683364453"/>
    <s v="Andrew Ford"/>
    <s v="rwheeler@example.org"/>
    <n v="50056581"/>
    <m/>
    <x v="900"/>
    <d v="2024-02-21T07:03:14"/>
    <x v="2"/>
    <x v="0"/>
    <x v="2"/>
    <x v="5"/>
    <n v="24"/>
    <n v="589"/>
    <n v="0"/>
    <s v="Customer reported intermittent service and repeat disruptions"/>
    <n v="71"/>
    <x v="0"/>
    <n v="1"/>
    <s v="Feb 2024"/>
    <n v="202402"/>
    <x v="7"/>
  </r>
  <r>
    <n v="1404589321"/>
    <n v="368018471"/>
    <s v="Dr. Christy Pittman MD"/>
    <s v="jocelynhart@example.com"/>
    <n v="45264581"/>
    <m/>
    <x v="901"/>
    <d v="2025-05-27T09:23:47"/>
    <x v="6"/>
    <x v="2"/>
    <x v="0"/>
    <x v="5"/>
    <n v="41"/>
    <n v="445"/>
    <n v="0"/>
    <s v="Customer questioned invoice amount and prorated charges"/>
    <n v="72"/>
    <x v="0"/>
    <n v="1"/>
    <s v="May 2025"/>
    <n v="202505"/>
    <x v="5"/>
  </r>
  <r>
    <n v="1454273119"/>
    <n v="470585534"/>
    <s v="Joshua Miller"/>
    <s v="harriswendy@example.org"/>
    <n v="52235350"/>
    <m/>
    <x v="902"/>
    <d v="2025-04-06T16:06:09"/>
    <x v="0"/>
    <x v="5"/>
    <x v="0"/>
    <x v="5"/>
    <n v="70"/>
    <n v="331"/>
    <n v="0"/>
    <s v="App, network, or device troubleshooting requested"/>
    <n v="78"/>
    <x v="0"/>
    <n v="1"/>
    <s v="Apr 2025"/>
    <n v="202504"/>
    <x v="6"/>
  </r>
  <r>
    <n v="1466691861"/>
    <n v="436824737"/>
    <s v="Jennifer Rivera"/>
    <s v="sanchezcindy@example.net"/>
    <n v="82070937"/>
    <m/>
    <x v="903"/>
    <d v="2024-11-03T09:27:15"/>
    <x v="6"/>
    <x v="2"/>
    <x v="0"/>
    <x v="5"/>
    <n v="48"/>
    <n v="408"/>
    <n v="0"/>
    <s v="Customer questioned invoice amount and prorated charges"/>
    <n v="80"/>
    <x v="0"/>
    <n v="1"/>
    <s v="Nov 2024"/>
    <n v="202411"/>
    <x v="11"/>
  </r>
  <r>
    <n v="1474434332"/>
    <n v="392956587"/>
    <s v="Teresa Davis"/>
    <s v="thomaslinda@example.net"/>
    <n v="63843426"/>
    <m/>
    <x v="904"/>
    <d v="2025-09-02T05:19:23"/>
    <x v="4"/>
    <x v="0"/>
    <x v="2"/>
    <x v="5"/>
    <n v="25"/>
    <n v="35"/>
    <n v="0"/>
    <s v="Customer reported intermittent service and repeat disruptions"/>
    <n v="82"/>
    <x v="0"/>
    <n v="1"/>
    <s v="Sep 2025"/>
    <n v="202509"/>
    <x v="9"/>
  </r>
  <r>
    <n v="1477459038"/>
    <n v="789242701"/>
    <s v="Glenda Calderon"/>
    <s v="yglenn@example.net"/>
    <n v="36998038"/>
    <m/>
    <x v="905"/>
    <d v="2024-02-13T13:14:48"/>
    <x v="3"/>
    <x v="4"/>
    <x v="2"/>
    <x v="5"/>
    <n v="8"/>
    <n v="1160"/>
    <n v="0"/>
    <s v="Login, OTP, or password reset issue"/>
    <n v="83"/>
    <x v="0"/>
    <n v="1"/>
    <s v="Feb 2024"/>
    <n v="202402"/>
    <x v="7"/>
  </r>
  <r>
    <n v="1481747323"/>
    <n v="231680929"/>
    <s v="Crystal Cummings"/>
    <s v="thomasblack@example.net"/>
    <n v="42857966"/>
    <m/>
    <x v="906"/>
    <d v="2025-01-02T06:21:45"/>
    <x v="6"/>
    <x v="1"/>
    <x v="0"/>
    <x v="5"/>
    <n v="39"/>
    <n v="356"/>
    <n v="0"/>
    <s v="Refund status or reversal timeline inquiry"/>
    <n v="84"/>
    <x v="0"/>
    <n v="1"/>
    <s v="Jan 2025"/>
    <n v="202501"/>
    <x v="16"/>
  </r>
  <r>
    <n v="1527745180"/>
    <n v="349344539"/>
    <s v="Jonathan Williams"/>
    <s v="abaker@example.com"/>
    <n v="70897765"/>
    <m/>
    <x v="907"/>
    <d v="2025-08-16T04:52:34"/>
    <x v="1"/>
    <x v="2"/>
    <x v="2"/>
    <x v="5"/>
    <n v="20"/>
    <n v="481"/>
    <n v="0"/>
    <s v="Customer questioned invoice amount and prorated charges"/>
    <n v="90"/>
    <x v="0"/>
    <n v="1"/>
    <s v="Aug 2025"/>
    <n v="202508"/>
    <x v="22"/>
  </r>
  <r>
    <n v="1537272283"/>
    <n v="635008544"/>
    <s v="James Spears"/>
    <s v="cooperluis@example.com"/>
    <n v="84252722"/>
    <m/>
    <x v="908"/>
    <d v="2025-04-04T00:35:47"/>
    <x v="5"/>
    <x v="5"/>
    <x v="2"/>
    <x v="5"/>
    <n v="38"/>
    <n v="776"/>
    <n v="0"/>
    <s v="App, network, or device troubleshooting requested"/>
    <n v="91"/>
    <x v="0"/>
    <n v="1"/>
    <s v="Apr 2025"/>
    <n v="202504"/>
    <x v="6"/>
  </r>
  <r>
    <n v="1561049427"/>
    <n v="889401015"/>
    <s v="Lisa Diaz"/>
    <s v="malikbrown@example.net"/>
    <n v="82340307"/>
    <n v="3160997637"/>
    <x v="909"/>
    <d v="2024-11-04T19:50:52"/>
    <x v="5"/>
    <x v="1"/>
    <x v="1"/>
    <x v="5"/>
    <n v="39"/>
    <n v="1026"/>
    <n v="0"/>
    <s v="Refund status or reversal timeline inquiry"/>
    <n v="95"/>
    <x v="0"/>
    <n v="1"/>
    <s v="Nov 2024"/>
    <n v="202411"/>
    <x v="11"/>
  </r>
  <r>
    <n v="1577539020"/>
    <n v="365713980"/>
    <s v="Shannon Carlson"/>
    <s v="figueroapreston@example.net"/>
    <n v="49349722"/>
    <n v="8309328395"/>
    <x v="910"/>
    <d v="2024-03-17T13:56:37"/>
    <x v="3"/>
    <x v="0"/>
    <x v="3"/>
    <x v="5"/>
    <n v="13"/>
    <n v="278"/>
    <n v="0"/>
    <s v="Customer reported intermittent service and repeat disruptions"/>
    <n v="99"/>
    <x v="0"/>
    <n v="1"/>
    <s v="Mar 2024"/>
    <n v="202403"/>
    <x v="15"/>
  </r>
  <r>
    <n v="1582148285"/>
    <n v="366200875"/>
    <s v="Brandon Stewart"/>
    <s v="wangkristina@example.org"/>
    <n v="90801586"/>
    <n v="1818503364"/>
    <x v="911"/>
    <d v="2024-06-04T16:42:38"/>
    <x v="4"/>
    <x v="1"/>
    <x v="1"/>
    <x v="5"/>
    <n v="44"/>
    <n v="382"/>
    <n v="0"/>
    <s v="Refund status or reversal timeline inquiry"/>
    <n v="101"/>
    <x v="0"/>
    <n v="1"/>
    <s v="Jun 2024"/>
    <n v="202406"/>
    <x v="26"/>
  </r>
  <r>
    <n v="1607078287"/>
    <n v="690554938"/>
    <s v="Evan Buchanan"/>
    <s v="meyertiffany@example.net"/>
    <n v="45575298"/>
    <n v="9949069966"/>
    <x v="912"/>
    <d v="2025-01-16T13:24:31"/>
    <x v="2"/>
    <x v="3"/>
    <x v="0"/>
    <x v="5"/>
    <n v="81"/>
    <n v="409"/>
    <n v="0"/>
    <s v="Shipment or installation appointment delayed beyond ETA"/>
    <n v="106"/>
    <x v="0"/>
    <n v="1"/>
    <s v="Jan 2025"/>
    <n v="202501"/>
    <x v="16"/>
  </r>
  <r>
    <n v="1620377358"/>
    <n v="334517688"/>
    <s v="Breanna Randolph"/>
    <s v="jackwyatt@example.org"/>
    <n v="26753883"/>
    <m/>
    <x v="913"/>
    <d v="2024-11-29T18:52:52"/>
    <x v="6"/>
    <x v="2"/>
    <x v="3"/>
    <x v="5"/>
    <n v="61"/>
    <n v="571"/>
    <n v="0"/>
    <s v="Customer questioned invoice amount and prorated charges"/>
    <n v="111"/>
    <x v="0"/>
    <n v="1"/>
    <s v="Nov 2024"/>
    <n v="202411"/>
    <x v="11"/>
  </r>
  <r>
    <n v="1622042576"/>
    <n v="408840720"/>
    <s v="Teresa Mcdaniel MD"/>
    <s v="jessicamills@example.org"/>
    <n v="85345555"/>
    <m/>
    <x v="914"/>
    <d v="2024-05-24T08:34:07"/>
    <x v="4"/>
    <x v="2"/>
    <x v="1"/>
    <x v="5"/>
    <n v="64"/>
    <n v="69"/>
    <n v="0"/>
    <s v="Customer questioned invoice amount and prorated charges"/>
    <n v="112"/>
    <x v="0"/>
    <n v="1"/>
    <s v="May 2024"/>
    <n v="202405"/>
    <x v="24"/>
  </r>
  <r>
    <n v="1625237388"/>
    <n v="817029885"/>
    <s v="Valerie Kim"/>
    <s v="caleb43@example.org"/>
    <n v="55657579"/>
    <m/>
    <x v="915"/>
    <d v="2026-03-29T04:56:01"/>
    <x v="1"/>
    <x v="0"/>
    <x v="3"/>
    <x v="5"/>
    <n v="82"/>
    <n v="540"/>
    <n v="0"/>
    <s v="Customer reported intermittent service and repeat disruptions"/>
    <n v="113"/>
    <x v="0"/>
    <n v="1"/>
    <s v="Mar 2026"/>
    <n v="202603"/>
    <x v="10"/>
  </r>
  <r>
    <n v="1642756977"/>
    <n v="299929730"/>
    <s v="Robert Wilkinson"/>
    <s v="jenniferpierce@example.org"/>
    <n v="18883684"/>
    <m/>
    <x v="916"/>
    <d v="2024-11-21T02:53:50"/>
    <x v="3"/>
    <x v="0"/>
    <x v="3"/>
    <x v="5"/>
    <n v="29"/>
    <n v="469"/>
    <n v="0"/>
    <s v="Customer reported intermittent service and repeat disruptions"/>
    <n v="115"/>
    <x v="0"/>
    <n v="1"/>
    <s v="Nov 2024"/>
    <n v="202411"/>
    <x v="11"/>
  </r>
  <r>
    <n v="1664125321"/>
    <n v="582750043"/>
    <s v="Lee Barker"/>
    <s v="vthompson@example.org"/>
    <n v="50056581"/>
    <n v="4671376399"/>
    <x v="917"/>
    <d v="2025-08-08T18:11:43"/>
    <x v="4"/>
    <x v="5"/>
    <x v="2"/>
    <x v="5"/>
    <n v="55"/>
    <n v="328"/>
    <n v="0"/>
    <s v="App, network, or device troubleshooting requested"/>
    <n v="117"/>
    <x v="0"/>
    <n v="1"/>
    <s v="Aug 2025"/>
    <n v="202508"/>
    <x v="22"/>
  </r>
  <r>
    <n v="1674455554"/>
    <n v="933397627"/>
    <s v="Tara Myers"/>
    <s v="kaitlynanderson@example.net"/>
    <n v="89254563"/>
    <n v="6975857369"/>
    <x v="918"/>
    <d v="2026-03-13T22:57:04"/>
    <x v="4"/>
    <x v="3"/>
    <x v="2"/>
    <x v="5"/>
    <n v="53"/>
    <n v="211"/>
    <n v="0"/>
    <s v="Shipment or installation appointment delayed beyond ETA"/>
    <n v="118"/>
    <x v="0"/>
    <n v="1"/>
    <s v="Mar 2026"/>
    <n v="202603"/>
    <x v="10"/>
  </r>
  <r>
    <n v="1677403680"/>
    <n v="986485022"/>
    <s v="Kurt Williams"/>
    <s v="vhill@example.com"/>
    <n v="98550256"/>
    <m/>
    <x v="919"/>
    <d v="2024-06-20T08:15:01"/>
    <x v="2"/>
    <x v="5"/>
    <x v="0"/>
    <x v="5"/>
    <n v="10"/>
    <n v="21"/>
    <n v="0"/>
    <s v="App, network, or device troubleshooting requested"/>
    <n v="119"/>
    <x v="0"/>
    <n v="1"/>
    <s v="Jun 2024"/>
    <n v="202406"/>
    <x v="26"/>
  </r>
  <r>
    <n v="1701666774"/>
    <n v="940636753"/>
    <s v="Brianna Hodges"/>
    <s v="epalmer@example.net"/>
    <n v="19289546"/>
    <m/>
    <x v="920"/>
    <d v="2025-11-29T02:37:17"/>
    <x v="1"/>
    <x v="3"/>
    <x v="2"/>
    <x v="5"/>
    <n v="11"/>
    <n v="716"/>
    <n v="0"/>
    <s v="Shipment or installation appointment delayed beyond ETA"/>
    <n v="123"/>
    <x v="0"/>
    <n v="1"/>
    <s v="Nov 2025"/>
    <n v="202511"/>
    <x v="4"/>
  </r>
  <r>
    <n v="1706013949"/>
    <n v="720286733"/>
    <s v="Janet Leonard"/>
    <s v="adamvaughan@example.net"/>
    <n v="47295260"/>
    <n v="4883349761"/>
    <x v="921"/>
    <d v="2024-02-18T21:50:31"/>
    <x v="6"/>
    <x v="3"/>
    <x v="0"/>
    <x v="5"/>
    <n v="11"/>
    <n v="232"/>
    <n v="0"/>
    <s v="Shipment or installation appointment delayed beyond ETA"/>
    <n v="125"/>
    <x v="0"/>
    <n v="1"/>
    <s v="Feb 2024"/>
    <n v="202402"/>
    <x v="7"/>
  </r>
  <r>
    <n v="1726179892"/>
    <n v="786069196"/>
    <s v="Brett Thompson"/>
    <s v="phelpsmichael@example.net"/>
    <n v="95225343"/>
    <m/>
    <x v="922"/>
    <d v="2025-11-02T20:28:09"/>
    <x v="5"/>
    <x v="3"/>
    <x v="0"/>
    <x v="5"/>
    <n v="70"/>
    <n v="1143"/>
    <n v="0"/>
    <s v="Shipment or installation appointment delayed beyond ETA"/>
    <n v="130"/>
    <x v="0"/>
    <n v="1"/>
    <s v="Nov 2025"/>
    <n v="202511"/>
    <x v="4"/>
  </r>
  <r>
    <n v="1745022857"/>
    <n v="857563699"/>
    <s v="Evan Lamb"/>
    <s v="daniellegarcia@example.com"/>
    <n v="66722344"/>
    <n v="7966945268"/>
    <x v="923"/>
    <d v="2025-12-14T02:40:06"/>
    <x v="5"/>
    <x v="2"/>
    <x v="3"/>
    <x v="5"/>
    <n v="3"/>
    <n v="350"/>
    <n v="0"/>
    <s v="Customer questioned invoice amount and prorated charges"/>
    <n v="138"/>
    <x v="0"/>
    <n v="1"/>
    <s v="Dec 2025"/>
    <n v="202512"/>
    <x v="21"/>
  </r>
  <r>
    <n v="1748961037"/>
    <n v="811060614"/>
    <s v="Eric Hodges"/>
    <s v="cainana@example.net"/>
    <n v="91756179"/>
    <m/>
    <x v="924"/>
    <d v="2025-10-28T19:43:23"/>
    <x v="1"/>
    <x v="3"/>
    <x v="0"/>
    <x v="5"/>
    <n v="58"/>
    <n v="337"/>
    <n v="0"/>
    <s v="Shipment or installation appointment delayed beyond ETA"/>
    <n v="140"/>
    <x v="0"/>
    <n v="1"/>
    <s v="Oct 2025"/>
    <n v="202510"/>
    <x v="8"/>
  </r>
  <r>
    <n v="1753779193"/>
    <n v="907873857"/>
    <s v="Evelyn Williams"/>
    <s v="lisa27@example.net"/>
    <n v="51837852"/>
    <n v="8019235213"/>
    <x v="925"/>
    <d v="2024-04-18T07:39:45"/>
    <x v="5"/>
    <x v="0"/>
    <x v="1"/>
    <x v="5"/>
    <n v="33"/>
    <n v="165"/>
    <n v="0"/>
    <s v="Customer reported intermittent service and repeat disruptions"/>
    <n v="141"/>
    <x v="0"/>
    <n v="1"/>
    <s v="Apr 2024"/>
    <n v="202404"/>
    <x v="2"/>
  </r>
  <r>
    <n v="1771514551"/>
    <n v="861863296"/>
    <s v="Valerie Benson"/>
    <s v="gregory57@example.org"/>
    <n v="40742311"/>
    <m/>
    <x v="926"/>
    <d v="2026-01-12T07:05:42"/>
    <x v="4"/>
    <x v="0"/>
    <x v="3"/>
    <x v="5"/>
    <n v="21"/>
    <n v="77"/>
    <n v="0"/>
    <s v="Customer reported intermittent service and repeat disruptions"/>
    <n v="147"/>
    <x v="0"/>
    <n v="1"/>
    <s v="Jan 2026"/>
    <n v="202601"/>
    <x v="0"/>
  </r>
  <r>
    <n v="1776530267"/>
    <n v="756569565"/>
    <s v="James Rice"/>
    <s v="ryandodson@example.org"/>
    <n v="91734598"/>
    <n v="3056895862"/>
    <x v="927"/>
    <d v="2024-03-21T22:54:39"/>
    <x v="1"/>
    <x v="4"/>
    <x v="2"/>
    <x v="5"/>
    <n v="28"/>
    <n v="155"/>
    <n v="0"/>
    <s v="Login, OTP, or password reset issue"/>
    <n v="149"/>
    <x v="0"/>
    <n v="1"/>
    <s v="Mar 2024"/>
    <n v="202403"/>
    <x v="15"/>
  </r>
  <r>
    <n v="1780588158"/>
    <n v="238548086"/>
    <s v="Tony Smith"/>
    <s v="karen68@example.org"/>
    <n v="28740864"/>
    <m/>
    <x v="928"/>
    <d v="2025-10-09T22:22:41"/>
    <x v="5"/>
    <x v="5"/>
    <x v="2"/>
    <x v="5"/>
    <n v="38"/>
    <n v="682"/>
    <n v="0"/>
    <s v="App, network, or device troubleshooting requested"/>
    <n v="151"/>
    <x v="0"/>
    <n v="1"/>
    <s v="Oct 2025"/>
    <n v="202510"/>
    <x v="8"/>
  </r>
  <r>
    <n v="1784914375"/>
    <n v="925884151"/>
    <s v="Jeffery Brown"/>
    <s v="tschneider@example.org"/>
    <n v="61220073"/>
    <m/>
    <x v="929"/>
    <d v="2024-09-18T23:47:18"/>
    <x v="1"/>
    <x v="0"/>
    <x v="1"/>
    <x v="5"/>
    <n v="59"/>
    <n v="64"/>
    <n v="0"/>
    <s v="Customer reported intermittent service and repeat disruptions"/>
    <n v="153"/>
    <x v="0"/>
    <n v="1"/>
    <s v="Sep 2024"/>
    <n v="202409"/>
    <x v="3"/>
  </r>
  <r>
    <n v="1800181889"/>
    <n v="217999418"/>
    <s v="Mrs. Samantha Rivera DDS"/>
    <s v="douglas31@example.net"/>
    <n v="55176955"/>
    <m/>
    <x v="930"/>
    <d v="2024-03-22T21:15:46"/>
    <x v="3"/>
    <x v="5"/>
    <x v="2"/>
    <x v="5"/>
    <n v="62"/>
    <n v="369"/>
    <n v="0"/>
    <s v="App, network, or device troubleshooting requested"/>
    <n v="156"/>
    <x v="0"/>
    <n v="1"/>
    <s v="Mar 2024"/>
    <n v="202403"/>
    <x v="15"/>
  </r>
  <r>
    <n v="1805270533"/>
    <n v="919395339"/>
    <s v="Kimberly Leon"/>
    <s v="brooksthomas@example.com"/>
    <n v="36998038"/>
    <n v="1383428853"/>
    <x v="931"/>
    <d v="2025-01-04T07:32:55"/>
    <x v="5"/>
    <x v="2"/>
    <x v="3"/>
    <x v="5"/>
    <n v="32"/>
    <n v="174"/>
    <n v="0"/>
    <s v="Customer questioned invoice amount and prorated charges"/>
    <n v="158"/>
    <x v="0"/>
    <n v="1"/>
    <s v="Jan 2025"/>
    <n v="202501"/>
    <x v="16"/>
  </r>
  <r>
    <n v="1838200966"/>
    <n v="817087513"/>
    <s v="Amanda Hunt"/>
    <s v="marcus39@example.org"/>
    <n v="76238574"/>
    <n v="2966178433"/>
    <x v="932"/>
    <d v="2024-08-19T18:17:39"/>
    <x v="3"/>
    <x v="5"/>
    <x v="2"/>
    <x v="5"/>
    <n v="22"/>
    <n v="406"/>
    <n v="0"/>
    <s v="App, network, or device troubleshooting requested"/>
    <n v="164"/>
    <x v="0"/>
    <n v="1"/>
    <s v="Aug 2024"/>
    <n v="202408"/>
    <x v="18"/>
  </r>
  <r>
    <n v="1850781136"/>
    <n v="878810937"/>
    <s v="Kevin Mendoza"/>
    <s v="sheltontiffany@example.com"/>
    <n v="22575562"/>
    <m/>
    <x v="933"/>
    <d v="2024-06-28T07:16:23"/>
    <x v="2"/>
    <x v="1"/>
    <x v="2"/>
    <x v="5"/>
    <n v="7"/>
    <n v="500"/>
    <n v="0"/>
    <s v="Refund status or reversal timeline inquiry"/>
    <n v="166"/>
    <x v="0"/>
    <n v="1"/>
    <s v="Jun 2024"/>
    <n v="202406"/>
    <x v="26"/>
  </r>
  <r>
    <n v="1851625498"/>
    <n v="679574436"/>
    <s v="Barry Welch"/>
    <s v="wendy16@example.org"/>
    <n v="23556182"/>
    <n v="7164160975"/>
    <x v="934"/>
    <d v="2024-01-24T00:49:37"/>
    <x v="2"/>
    <x v="4"/>
    <x v="2"/>
    <x v="5"/>
    <n v="35"/>
    <n v="647"/>
    <n v="0"/>
    <s v="Login, OTP, or password reset issue"/>
    <n v="167"/>
    <x v="0"/>
    <n v="1"/>
    <s v="Jan 2024"/>
    <n v="202401"/>
    <x v="17"/>
  </r>
  <r>
    <n v="1854571069"/>
    <n v="266371119"/>
    <s v="Bobby Williams MD"/>
    <s v="cassandra01@example.org"/>
    <n v="49392920"/>
    <m/>
    <x v="935"/>
    <d v="2024-09-28T01:29:09"/>
    <x v="5"/>
    <x v="2"/>
    <x v="3"/>
    <x v="5"/>
    <n v="79"/>
    <n v="216"/>
    <n v="0"/>
    <s v="Customer questioned invoice amount and prorated charges"/>
    <n v="168"/>
    <x v="0"/>
    <n v="1"/>
    <s v="Sep 2024"/>
    <n v="202409"/>
    <x v="3"/>
  </r>
  <r>
    <n v="1870313974"/>
    <n v="655924752"/>
    <s v="James Cook"/>
    <s v="mooneyjeremiah@example.net"/>
    <n v="17774584"/>
    <m/>
    <x v="936"/>
    <d v="2024-10-01T22:19:03"/>
    <x v="0"/>
    <x v="2"/>
    <x v="1"/>
    <x v="5"/>
    <n v="38"/>
    <n v="348"/>
    <n v="0"/>
    <s v="Customer questioned invoice amount and prorated charges"/>
    <n v="169"/>
    <x v="0"/>
    <n v="1"/>
    <s v="Oct 2024"/>
    <n v="202410"/>
    <x v="1"/>
  </r>
  <r>
    <n v="1872627976"/>
    <n v="861639583"/>
    <s v="Ryan Barker"/>
    <s v="swalters@example.net"/>
    <n v="12614124"/>
    <n v="1756367883"/>
    <x v="937"/>
    <d v="2025-02-22T19:58:49"/>
    <x v="6"/>
    <x v="0"/>
    <x v="0"/>
    <x v="5"/>
    <n v="16"/>
    <n v="583"/>
    <n v="0"/>
    <s v="Customer reported intermittent service and repeat disruptions"/>
    <n v="170"/>
    <x v="0"/>
    <n v="1"/>
    <s v="Feb 2025"/>
    <n v="202502"/>
    <x v="14"/>
  </r>
  <r>
    <n v="1879120113"/>
    <n v="717452511"/>
    <s v="Jeffrey Hawkins"/>
    <s v="eugenesingleton@example.org"/>
    <n v="13561597"/>
    <n v="1595132228"/>
    <x v="938"/>
    <d v="2024-06-10T14:11:10"/>
    <x v="4"/>
    <x v="0"/>
    <x v="0"/>
    <x v="5"/>
    <n v="42"/>
    <n v="269"/>
    <n v="0"/>
    <s v="Customer reported intermittent service and repeat disruptions"/>
    <n v="174"/>
    <x v="0"/>
    <n v="1"/>
    <s v="Jun 2024"/>
    <n v="202406"/>
    <x v="26"/>
  </r>
  <r>
    <n v="1885802856"/>
    <n v="870584681"/>
    <s v="Jonathan Chandler"/>
    <s v="williamjones@example.net"/>
    <n v="56164955"/>
    <m/>
    <x v="939"/>
    <d v="2026-02-20T03:49:57"/>
    <x v="3"/>
    <x v="5"/>
    <x v="2"/>
    <x v="5"/>
    <n v="53"/>
    <n v="413"/>
    <n v="0"/>
    <s v="App, network, or device troubleshooting requested"/>
    <n v="175"/>
    <x v="0"/>
    <n v="1"/>
    <s v="Feb 2026"/>
    <n v="202602"/>
    <x v="25"/>
  </r>
  <r>
    <n v="1888518891"/>
    <n v="991617660"/>
    <s v="Robert Gonzalez"/>
    <s v="eric11@example.net"/>
    <n v="16150444"/>
    <m/>
    <x v="940"/>
    <d v="2025-02-04T23:06:50"/>
    <x v="5"/>
    <x v="1"/>
    <x v="3"/>
    <x v="5"/>
    <n v="5"/>
    <n v="57"/>
    <n v="0"/>
    <s v="Refund status or reversal timeline inquiry"/>
    <n v="177"/>
    <x v="0"/>
    <n v="1"/>
    <s v="Feb 2025"/>
    <n v="202502"/>
    <x v="14"/>
  </r>
  <r>
    <n v="1919058248"/>
    <n v="470838810"/>
    <s v="Justin Day"/>
    <s v="douglas11@example.net"/>
    <n v="41244663"/>
    <m/>
    <x v="941"/>
    <d v="2024-04-29T06:05:20"/>
    <x v="4"/>
    <x v="2"/>
    <x v="0"/>
    <x v="5"/>
    <n v="7"/>
    <n v="317"/>
    <n v="0"/>
    <s v="Customer questioned invoice amount and prorated charges"/>
    <n v="181"/>
    <x v="0"/>
    <n v="1"/>
    <s v="Apr 2024"/>
    <n v="202404"/>
    <x v="2"/>
  </r>
  <r>
    <n v="1925678160"/>
    <n v="655511084"/>
    <s v="Dustin Dorsey"/>
    <s v="tmcdaniel@example.org"/>
    <n v="83140807"/>
    <n v="5096047004"/>
    <x v="942"/>
    <d v="2024-02-16T00:52:15"/>
    <x v="5"/>
    <x v="2"/>
    <x v="2"/>
    <x v="5"/>
    <n v="75"/>
    <n v="200"/>
    <n v="0"/>
    <s v="Customer questioned invoice amount and prorated charges"/>
    <n v="183"/>
    <x v="0"/>
    <n v="1"/>
    <s v="Feb 2024"/>
    <n v="202402"/>
    <x v="7"/>
  </r>
  <r>
    <n v="1929916407"/>
    <n v="603601664"/>
    <s v="Kimberly May"/>
    <s v="timothy64@example.com"/>
    <n v="42868828"/>
    <m/>
    <x v="943"/>
    <d v="2024-09-15T06:59:14"/>
    <x v="2"/>
    <x v="1"/>
    <x v="3"/>
    <x v="5"/>
    <n v="4"/>
    <n v="130"/>
    <n v="0"/>
    <s v="Refund status or reversal timeline inquiry"/>
    <n v="184"/>
    <x v="0"/>
    <n v="1"/>
    <s v="Sep 2024"/>
    <n v="202409"/>
    <x v="3"/>
  </r>
  <r>
    <n v="1935461091"/>
    <n v="774585778"/>
    <s v="Anna Wade"/>
    <s v="thomasmaldonado@example.com"/>
    <n v="14308421"/>
    <m/>
    <x v="944"/>
    <d v="2024-06-26T12:36:59"/>
    <x v="4"/>
    <x v="1"/>
    <x v="2"/>
    <x v="5"/>
    <n v="34"/>
    <n v="408"/>
    <n v="0"/>
    <s v="Refund status or reversal timeline inquiry"/>
    <n v="186"/>
    <x v="0"/>
    <n v="1"/>
    <s v="Jun 2024"/>
    <n v="202406"/>
    <x v="26"/>
  </r>
  <r>
    <n v="1986647743"/>
    <n v="830924936"/>
    <s v="Terri Gomez"/>
    <s v="hwalton@example.com"/>
    <n v="10435578"/>
    <n v="3308592457"/>
    <x v="945"/>
    <d v="2024-04-20T06:49:10"/>
    <x v="5"/>
    <x v="2"/>
    <x v="1"/>
    <x v="5"/>
    <n v="48"/>
    <n v="138"/>
    <n v="0"/>
    <s v="Customer questioned invoice amount and prorated charges"/>
    <n v="197"/>
    <x v="0"/>
    <n v="1"/>
    <s v="Apr 2024"/>
    <n v="202404"/>
    <x v="2"/>
  </r>
  <r>
    <n v="2072768331"/>
    <n v="583564328"/>
    <s v="Jason Johnson"/>
    <s v="qatkinson@example.com"/>
    <n v="86149359"/>
    <m/>
    <x v="946"/>
    <d v="2025-05-02T02:23:30"/>
    <x v="0"/>
    <x v="1"/>
    <x v="0"/>
    <x v="5"/>
    <n v="51"/>
    <n v="345"/>
    <n v="0"/>
    <s v="Refund status or reversal timeline inquiry"/>
    <n v="205"/>
    <x v="0"/>
    <n v="1"/>
    <s v="May 2025"/>
    <n v="202505"/>
    <x v="5"/>
  </r>
  <r>
    <n v="2076626635"/>
    <n v="928917719"/>
    <s v="Chad Rojas"/>
    <s v="nathanjohnson@example.org"/>
    <n v="77187530"/>
    <m/>
    <x v="947"/>
    <d v="2026-01-14T10:46:57"/>
    <x v="1"/>
    <x v="0"/>
    <x v="2"/>
    <x v="5"/>
    <n v="50"/>
    <n v="837"/>
    <n v="0"/>
    <s v="Customer reported intermittent service and repeat disruptions"/>
    <n v="206"/>
    <x v="0"/>
    <n v="1"/>
    <s v="Jan 2026"/>
    <n v="202601"/>
    <x v="0"/>
  </r>
  <r>
    <n v="2125135741"/>
    <n v="491163514"/>
    <s v="Daniel Meza"/>
    <s v="ilee@example.org"/>
    <n v="41244663"/>
    <n v="7638795698"/>
    <x v="948"/>
    <d v="2025-04-20T20:36:06"/>
    <x v="5"/>
    <x v="5"/>
    <x v="2"/>
    <x v="5"/>
    <n v="16"/>
    <n v="430"/>
    <n v="0"/>
    <s v="App, network, or device troubleshooting requested"/>
    <n v="209"/>
    <x v="0"/>
    <n v="1"/>
    <s v="Apr 2025"/>
    <n v="202504"/>
    <x v="6"/>
  </r>
  <r>
    <n v="2144183760"/>
    <n v="835172306"/>
    <s v="Alejandra Price"/>
    <s v="elizabeth51@example.org"/>
    <n v="95899313"/>
    <m/>
    <x v="949"/>
    <d v="2024-05-09T13:11:48"/>
    <x v="6"/>
    <x v="4"/>
    <x v="3"/>
    <x v="5"/>
    <n v="39"/>
    <n v="397"/>
    <n v="0"/>
    <s v="Login, OTP, or password reset issue"/>
    <n v="214"/>
    <x v="0"/>
    <n v="1"/>
    <s v="May 2024"/>
    <n v="202405"/>
    <x v="24"/>
  </r>
  <r>
    <n v="2180845948"/>
    <n v="656931857"/>
    <s v="Andrea Kaiser"/>
    <s v="marypeck@example.com"/>
    <n v="98753260"/>
    <n v="3820033816"/>
    <x v="950"/>
    <d v="2025-08-05T22:31:58"/>
    <x v="0"/>
    <x v="1"/>
    <x v="2"/>
    <x v="5"/>
    <n v="16"/>
    <n v="21"/>
    <n v="0"/>
    <s v="Refund status or reversal timeline inquiry"/>
    <n v="219"/>
    <x v="0"/>
    <n v="1"/>
    <s v="Aug 2025"/>
    <n v="202508"/>
    <x v="22"/>
  </r>
  <r>
    <n v="2184583646"/>
    <n v="193133974"/>
    <s v="Kristin Flores"/>
    <s v="michaelmontes@example.com"/>
    <n v="22201654"/>
    <m/>
    <x v="951"/>
    <d v="2024-10-25T01:00:34"/>
    <x v="5"/>
    <x v="2"/>
    <x v="2"/>
    <x v="5"/>
    <n v="4"/>
    <n v="188"/>
    <n v="0"/>
    <s v="Customer questioned invoice amount and prorated charges"/>
    <n v="221"/>
    <x v="0"/>
    <n v="1"/>
    <s v="Oct 2024"/>
    <n v="202410"/>
    <x v="1"/>
  </r>
  <r>
    <n v="2185507525"/>
    <n v="656931857"/>
    <s v="Andrea Kaiser"/>
    <s v="marypeck@example.com"/>
    <n v="81971316"/>
    <n v="3820033816"/>
    <x v="952"/>
    <d v="2025-10-18T11:02:45"/>
    <x v="2"/>
    <x v="4"/>
    <x v="3"/>
    <x v="5"/>
    <n v="10"/>
    <n v="241"/>
    <n v="0"/>
    <s v="Login, OTP, or password reset issue"/>
    <n v="222"/>
    <x v="0"/>
    <n v="1"/>
    <s v="Oct 2025"/>
    <n v="202510"/>
    <x v="8"/>
  </r>
  <r>
    <n v="2198149405"/>
    <n v="961135562"/>
    <s v="Paula Kelly"/>
    <s v="andredonaldson@example.com"/>
    <n v="91030736"/>
    <n v="2265841695"/>
    <x v="953"/>
    <d v="2024-01-03T15:24:59"/>
    <x v="6"/>
    <x v="5"/>
    <x v="1"/>
    <x v="5"/>
    <n v="43"/>
    <n v="395"/>
    <n v="0"/>
    <s v="App, network, or device troubleshooting requested"/>
    <n v="224"/>
    <x v="0"/>
    <n v="1"/>
    <s v="Jan 2024"/>
    <n v="202401"/>
    <x v="17"/>
  </r>
  <r>
    <n v="2221154162"/>
    <n v="847508242"/>
    <s v="Andrea Smith"/>
    <s v="timothy83@example.net"/>
    <n v="38427073"/>
    <n v="2949306060"/>
    <x v="954"/>
    <d v="2024-05-10T19:06:56"/>
    <x v="6"/>
    <x v="5"/>
    <x v="2"/>
    <x v="5"/>
    <n v="45"/>
    <n v="651"/>
    <n v="0"/>
    <s v="App, network, or device troubleshooting requested"/>
    <n v="225"/>
    <x v="0"/>
    <n v="1"/>
    <s v="May 2024"/>
    <n v="202405"/>
    <x v="24"/>
  </r>
  <r>
    <n v="2243876683"/>
    <n v="394801573"/>
    <s v="Emily Perry"/>
    <s v="colleen78@example.org"/>
    <n v="30513739"/>
    <m/>
    <x v="955"/>
    <d v="2025-02-28T17:11:30"/>
    <x v="4"/>
    <x v="3"/>
    <x v="0"/>
    <x v="5"/>
    <n v="6"/>
    <n v="760"/>
    <n v="0"/>
    <s v="Shipment or installation appointment delayed beyond ETA"/>
    <n v="228"/>
    <x v="0"/>
    <n v="1"/>
    <s v="Feb 2025"/>
    <n v="202502"/>
    <x v="14"/>
  </r>
  <r>
    <n v="2246302080"/>
    <n v="182555101"/>
    <s v="Christopher Hansen"/>
    <s v="guzmanricky@example.org"/>
    <n v="83140807"/>
    <m/>
    <x v="956"/>
    <d v="2025-10-18T14:47:31"/>
    <x v="1"/>
    <x v="0"/>
    <x v="1"/>
    <x v="5"/>
    <n v="42"/>
    <n v="309"/>
    <n v="0"/>
    <s v="Customer reported intermittent service and repeat disruptions"/>
    <n v="229"/>
    <x v="0"/>
    <n v="1"/>
    <s v="Oct 2025"/>
    <n v="202510"/>
    <x v="8"/>
  </r>
  <r>
    <n v="2253858705"/>
    <n v="540639384"/>
    <s v="Matthew Bender"/>
    <s v="sharon37@example.net"/>
    <n v="42868828"/>
    <m/>
    <x v="957"/>
    <d v="2025-12-11T04:37:03"/>
    <x v="6"/>
    <x v="0"/>
    <x v="0"/>
    <x v="5"/>
    <n v="69"/>
    <n v="338"/>
    <n v="0"/>
    <s v="Customer reported intermittent service and repeat disruptions"/>
    <n v="230"/>
    <x v="0"/>
    <n v="1"/>
    <s v="Dec 2025"/>
    <n v="202512"/>
    <x v="21"/>
  </r>
  <r>
    <n v="2261002469"/>
    <n v="730104453"/>
    <s v="Lauren Bowman"/>
    <s v="angelathomas@example.org"/>
    <n v="82340307"/>
    <n v="2462222211"/>
    <x v="958"/>
    <d v="2025-10-11T04:08:48"/>
    <x v="4"/>
    <x v="3"/>
    <x v="0"/>
    <x v="5"/>
    <n v="45"/>
    <n v="438"/>
    <n v="0"/>
    <s v="Shipment or installation appointment delayed beyond ETA"/>
    <n v="235"/>
    <x v="0"/>
    <n v="1"/>
    <s v="Oct 2025"/>
    <n v="202510"/>
    <x v="8"/>
  </r>
  <r>
    <n v="2265551829"/>
    <n v="786973497"/>
    <s v="Robin Hernandez"/>
    <s v="terrytaylor@example.net"/>
    <n v="53524491"/>
    <n v="2062994474"/>
    <x v="959"/>
    <d v="2024-08-03T13:16:41"/>
    <x v="3"/>
    <x v="2"/>
    <x v="0"/>
    <x v="5"/>
    <n v="6"/>
    <n v="91"/>
    <n v="0"/>
    <s v="Customer questioned invoice amount and prorated charges"/>
    <n v="236"/>
    <x v="0"/>
    <n v="1"/>
    <s v="Aug 2024"/>
    <n v="202408"/>
    <x v="18"/>
  </r>
  <r>
    <n v="2285642016"/>
    <n v="579182105"/>
    <s v="Heather Hester"/>
    <s v="jamesthompson@example.com"/>
    <n v="61642594"/>
    <m/>
    <x v="960"/>
    <d v="2024-05-12T02:29:33"/>
    <x v="1"/>
    <x v="2"/>
    <x v="0"/>
    <x v="5"/>
    <n v="8"/>
    <n v="547"/>
    <n v="0"/>
    <s v="Customer questioned invoice amount and prorated charges"/>
    <n v="238"/>
    <x v="0"/>
    <n v="1"/>
    <s v="May 2024"/>
    <n v="202405"/>
    <x v="24"/>
  </r>
  <r>
    <n v="2311141183"/>
    <n v="935924516"/>
    <s v="Chelsea Johnson"/>
    <s v="pwong@example.org"/>
    <n v="82070937"/>
    <m/>
    <x v="961"/>
    <d v="2024-02-09T00:49:27"/>
    <x v="3"/>
    <x v="2"/>
    <x v="3"/>
    <x v="5"/>
    <n v="67"/>
    <n v="618"/>
    <n v="0"/>
    <s v="Customer questioned invoice amount and prorated charges"/>
    <n v="239"/>
    <x v="0"/>
    <n v="1"/>
    <s v="Feb 2024"/>
    <n v="202402"/>
    <x v="7"/>
  </r>
  <r>
    <n v="2321129923"/>
    <n v="632794158"/>
    <s v="Christopher Hobbs"/>
    <s v="smithharry@example.org"/>
    <n v="81498611"/>
    <n v="7654361461"/>
    <x v="962"/>
    <d v="2025-06-12T22:22:15"/>
    <x v="3"/>
    <x v="1"/>
    <x v="2"/>
    <x v="5"/>
    <n v="52"/>
    <n v="464"/>
    <n v="0"/>
    <s v="Refund status or reversal timeline inquiry"/>
    <n v="241"/>
    <x v="0"/>
    <n v="1"/>
    <s v="Jun 2025"/>
    <n v="202506"/>
    <x v="19"/>
  </r>
  <r>
    <n v="2338196008"/>
    <n v="584394989"/>
    <s v="Mr. Thomas Arias"/>
    <s v="angelaburns@example.org"/>
    <n v="68353204"/>
    <m/>
    <x v="963"/>
    <d v="2024-01-03T10:24:44"/>
    <x v="0"/>
    <x v="4"/>
    <x v="2"/>
    <x v="5"/>
    <n v="4"/>
    <n v="324"/>
    <n v="0"/>
    <s v="Login, OTP, or password reset issue"/>
    <n v="245"/>
    <x v="0"/>
    <n v="1"/>
    <s v="Jan 2024"/>
    <n v="202401"/>
    <x v="17"/>
  </r>
  <r>
    <n v="2342726255"/>
    <n v="341449138"/>
    <s v="Danielle Lee"/>
    <s v="allisonbrown@example.com"/>
    <n v="28728463"/>
    <m/>
    <x v="964"/>
    <d v="2025-09-08T14:46:33"/>
    <x v="4"/>
    <x v="2"/>
    <x v="2"/>
    <x v="5"/>
    <n v="34"/>
    <n v="532"/>
    <n v="0"/>
    <s v="Customer questioned invoice amount and prorated charges"/>
    <n v="246"/>
    <x v="0"/>
    <n v="1"/>
    <s v="Sep 2025"/>
    <n v="202509"/>
    <x v="9"/>
  </r>
  <r>
    <n v="2357369016"/>
    <n v="306442077"/>
    <s v="Steven Holland"/>
    <s v="cobbkaitlyn@example.net"/>
    <n v="31682744"/>
    <n v="9516613938"/>
    <x v="965"/>
    <d v="2025-04-25T20:08:44"/>
    <x v="0"/>
    <x v="5"/>
    <x v="2"/>
    <x v="5"/>
    <n v="4"/>
    <n v="474"/>
    <n v="0"/>
    <s v="App, network, or device troubleshooting requested"/>
    <n v="248"/>
    <x v="0"/>
    <n v="1"/>
    <s v="Apr 2025"/>
    <n v="202504"/>
    <x v="6"/>
  </r>
  <r>
    <n v="2367263176"/>
    <n v="619960692"/>
    <s v="George Chavez"/>
    <s v="mannleroy@example.org"/>
    <n v="17774584"/>
    <n v="6998543735"/>
    <x v="966"/>
    <d v="2024-11-25T04:03:54"/>
    <x v="1"/>
    <x v="2"/>
    <x v="2"/>
    <x v="5"/>
    <n v="34"/>
    <n v="589"/>
    <n v="0"/>
    <s v="Customer questioned invoice amount and prorated charges"/>
    <n v="250"/>
    <x v="0"/>
    <n v="1"/>
    <s v="Nov 2024"/>
    <n v="202411"/>
    <x v="11"/>
  </r>
  <r>
    <n v="2401265666"/>
    <n v="606382505"/>
    <s v="Jennifer Ford"/>
    <s v="sandradavenport@example.org"/>
    <n v="58966946"/>
    <m/>
    <x v="967"/>
    <d v="2024-11-19T01:38:25"/>
    <x v="5"/>
    <x v="5"/>
    <x v="0"/>
    <x v="5"/>
    <n v="24"/>
    <n v="192"/>
    <n v="0"/>
    <s v="App, network, or device troubleshooting requested"/>
    <n v="256"/>
    <x v="0"/>
    <n v="1"/>
    <s v="Nov 2024"/>
    <n v="202411"/>
    <x v="11"/>
  </r>
  <r>
    <n v="2419888806"/>
    <n v="179634081"/>
    <s v="Kevin Morton"/>
    <s v="omoore@example.net"/>
    <n v="13999315"/>
    <m/>
    <x v="968"/>
    <d v="2025-11-22T14:10:39"/>
    <x v="2"/>
    <x v="5"/>
    <x v="0"/>
    <x v="5"/>
    <n v="20"/>
    <n v="468"/>
    <n v="0"/>
    <s v="App, network, or device troubleshooting requested"/>
    <n v="258"/>
    <x v="0"/>
    <n v="1"/>
    <s v="Nov 2025"/>
    <n v="202511"/>
    <x v="4"/>
  </r>
  <r>
    <n v="2429778697"/>
    <n v="642716859"/>
    <s v="Nicole Peterson"/>
    <s v="crivera@example.net"/>
    <n v="45833156"/>
    <m/>
    <x v="969"/>
    <d v="2025-05-30T16:48:26"/>
    <x v="1"/>
    <x v="4"/>
    <x v="2"/>
    <x v="5"/>
    <n v="66"/>
    <n v="762"/>
    <n v="0"/>
    <s v="Login, OTP, or password reset issue"/>
    <n v="261"/>
    <x v="0"/>
    <n v="1"/>
    <s v="May 2025"/>
    <n v="202505"/>
    <x v="5"/>
  </r>
  <r>
    <n v="2455579672"/>
    <n v="986485022"/>
    <s v="Kurt Williams"/>
    <s v="vhill@example.com"/>
    <n v="81498611"/>
    <n v="5087876256"/>
    <x v="970"/>
    <d v="2025-07-12T03:54:39"/>
    <x v="0"/>
    <x v="0"/>
    <x v="1"/>
    <x v="5"/>
    <n v="19"/>
    <n v="215"/>
    <n v="0"/>
    <s v="Customer reported intermittent service and repeat disruptions"/>
    <n v="265"/>
    <x v="0"/>
    <n v="1"/>
    <s v="Jul 2025"/>
    <n v="202507"/>
    <x v="13"/>
  </r>
  <r>
    <n v="2474731513"/>
    <n v="459748735"/>
    <s v="Michael Forbes"/>
    <s v="jennifer54@example.org"/>
    <n v="63843426"/>
    <m/>
    <x v="971"/>
    <d v="2026-02-16T14:39:52"/>
    <x v="1"/>
    <x v="1"/>
    <x v="0"/>
    <x v="5"/>
    <n v="28"/>
    <n v="549"/>
    <n v="0"/>
    <s v="Refund status or reversal timeline inquiry"/>
    <n v="269"/>
    <x v="0"/>
    <n v="1"/>
    <s v="Feb 2026"/>
    <n v="202602"/>
    <x v="25"/>
  </r>
  <r>
    <n v="2504797898"/>
    <n v="645055605"/>
    <s v="Samuel Galvan"/>
    <s v="james98@example.net"/>
    <n v="16323852"/>
    <n v="4519045785"/>
    <x v="972"/>
    <d v="2026-02-02T14:13:02"/>
    <x v="3"/>
    <x v="3"/>
    <x v="1"/>
    <x v="5"/>
    <n v="33"/>
    <n v="598"/>
    <n v="0"/>
    <s v="Shipment or installation appointment delayed beyond ETA"/>
    <n v="272"/>
    <x v="0"/>
    <n v="1"/>
    <s v="Feb 2026"/>
    <n v="202602"/>
    <x v="25"/>
  </r>
  <r>
    <n v="2514069522"/>
    <n v="749252434"/>
    <s v="James Hall"/>
    <s v="rreed@example.org"/>
    <n v="95758349"/>
    <n v="1089450635"/>
    <x v="973"/>
    <d v="2024-10-17T15:51:21"/>
    <x v="0"/>
    <x v="5"/>
    <x v="2"/>
    <x v="5"/>
    <n v="10"/>
    <n v="136"/>
    <n v="0"/>
    <s v="App, network, or device troubleshooting requested"/>
    <n v="274"/>
    <x v="0"/>
    <n v="1"/>
    <s v="Oct 2024"/>
    <n v="202410"/>
    <x v="1"/>
  </r>
  <r>
    <n v="2521664633"/>
    <n v="638824588"/>
    <s v="Jennifer Fletcher"/>
    <s v="shannon56@example.net"/>
    <n v="52339391"/>
    <n v="5432993319"/>
    <x v="974"/>
    <d v="2024-02-17T02:33:43"/>
    <x v="2"/>
    <x v="4"/>
    <x v="2"/>
    <x v="5"/>
    <n v="32"/>
    <n v="276"/>
    <n v="0"/>
    <s v="Login, OTP, or password reset issue"/>
    <n v="275"/>
    <x v="0"/>
    <n v="1"/>
    <s v="Feb 2024"/>
    <n v="202402"/>
    <x v="7"/>
  </r>
  <r>
    <n v="2524540068"/>
    <n v="960226208"/>
    <s v="James Pacheco"/>
    <s v="chavezjohn@example.net"/>
    <n v="75228535"/>
    <n v="7575102757"/>
    <x v="975"/>
    <d v="2024-03-14T09:03:24"/>
    <x v="6"/>
    <x v="4"/>
    <x v="1"/>
    <x v="5"/>
    <n v="68"/>
    <n v="641"/>
    <n v="0"/>
    <s v="Login, OTP, or password reset issue"/>
    <n v="277"/>
    <x v="0"/>
    <n v="1"/>
    <s v="Mar 2024"/>
    <n v="202403"/>
    <x v="15"/>
  </r>
  <r>
    <n v="2531187247"/>
    <n v="758276886"/>
    <s v="Russell Phillips"/>
    <s v="shunter@example.org"/>
    <n v="33978249"/>
    <m/>
    <x v="976"/>
    <d v="2025-08-24T12:30:01"/>
    <x v="3"/>
    <x v="4"/>
    <x v="0"/>
    <x v="5"/>
    <n v="59"/>
    <n v="626"/>
    <n v="0"/>
    <s v="Login, OTP, or password reset issue"/>
    <n v="279"/>
    <x v="0"/>
    <n v="1"/>
    <s v="Aug 2025"/>
    <n v="202508"/>
    <x v="22"/>
  </r>
  <r>
    <n v="2535540532"/>
    <n v="922816526"/>
    <s v="Travis Horton"/>
    <s v="umatthews@example.org"/>
    <n v="58181396"/>
    <m/>
    <x v="977"/>
    <d v="2026-01-17T23:31:08"/>
    <x v="2"/>
    <x v="4"/>
    <x v="3"/>
    <x v="5"/>
    <n v="33"/>
    <n v="168"/>
    <n v="0"/>
    <s v="Login, OTP, or password reset issue"/>
    <n v="280"/>
    <x v="0"/>
    <n v="1"/>
    <s v="Jan 2026"/>
    <n v="202601"/>
    <x v="0"/>
  </r>
  <r>
    <n v="2553084324"/>
    <n v="600184588"/>
    <s v="Brian Smith"/>
    <s v="andersonkayla@example.com"/>
    <n v="18883684"/>
    <m/>
    <x v="978"/>
    <d v="2025-01-23T09:04:57"/>
    <x v="0"/>
    <x v="4"/>
    <x v="3"/>
    <x v="5"/>
    <n v="53"/>
    <n v="695"/>
    <n v="0"/>
    <s v="Login, OTP, or password reset issue"/>
    <n v="282"/>
    <x v="0"/>
    <n v="1"/>
    <s v="Jan 2025"/>
    <n v="202501"/>
    <x v="16"/>
  </r>
  <r>
    <n v="2563276537"/>
    <n v="717294720"/>
    <s v="Brittany Anderson"/>
    <s v="qpierce@example.net"/>
    <n v="88461803"/>
    <m/>
    <x v="979"/>
    <d v="2026-01-05T04:44:08"/>
    <x v="2"/>
    <x v="0"/>
    <x v="0"/>
    <x v="5"/>
    <n v="11"/>
    <n v="140"/>
    <n v="0"/>
    <s v="Customer reported intermittent service and repeat disruptions"/>
    <n v="284"/>
    <x v="0"/>
    <n v="1"/>
    <s v="Jan 2026"/>
    <n v="202601"/>
    <x v="0"/>
  </r>
  <r>
    <n v="2589975888"/>
    <n v="948656610"/>
    <s v="Kimberly Davis"/>
    <s v="karen90@example.net"/>
    <n v="21496211"/>
    <m/>
    <x v="980"/>
    <d v="2025-11-28T09:18:12"/>
    <x v="0"/>
    <x v="1"/>
    <x v="1"/>
    <x v="5"/>
    <n v="115"/>
    <n v="360"/>
    <n v="0"/>
    <s v="Refund status or reversal timeline inquiry"/>
    <n v="285"/>
    <x v="0"/>
    <n v="1"/>
    <s v="Nov 2025"/>
    <n v="202511"/>
    <x v="4"/>
  </r>
  <r>
    <n v="2611370734"/>
    <n v="139019611"/>
    <s v="Kathryn Thomas"/>
    <s v="markperez@example.com"/>
    <n v="36998038"/>
    <n v="4400156805"/>
    <x v="981"/>
    <d v="2025-10-01T15:41:18"/>
    <x v="1"/>
    <x v="2"/>
    <x v="0"/>
    <x v="5"/>
    <n v="22"/>
    <n v="428"/>
    <n v="0"/>
    <s v="Customer questioned invoice amount and prorated charges"/>
    <n v="289"/>
    <x v="0"/>
    <n v="1"/>
    <s v="Oct 2025"/>
    <n v="202510"/>
    <x v="8"/>
  </r>
  <r>
    <n v="2648970144"/>
    <n v="470838810"/>
    <s v="Justin Day"/>
    <s v="douglas11@example.net"/>
    <n v="42868828"/>
    <n v="7003585379"/>
    <x v="982"/>
    <d v="2024-10-11T00:31:56"/>
    <x v="2"/>
    <x v="4"/>
    <x v="2"/>
    <x v="5"/>
    <n v="7"/>
    <n v="639"/>
    <n v="0"/>
    <s v="Login, OTP, or password reset issue"/>
    <n v="292"/>
    <x v="0"/>
    <n v="1"/>
    <s v="Oct 2024"/>
    <n v="202410"/>
    <x v="1"/>
  </r>
  <r>
    <n v="2653814748"/>
    <n v="592755658"/>
    <s v="Mrs. Beverly Myers"/>
    <s v="daniel84@example.org"/>
    <n v="28566572"/>
    <n v="5308215823"/>
    <x v="983"/>
    <d v="2025-06-22T10:10:06"/>
    <x v="2"/>
    <x v="4"/>
    <x v="2"/>
    <x v="5"/>
    <n v="39"/>
    <n v="44"/>
    <n v="0"/>
    <s v="Login, OTP, or password reset issue"/>
    <n v="294"/>
    <x v="0"/>
    <n v="1"/>
    <s v="Jun 2025"/>
    <n v="202506"/>
    <x v="19"/>
  </r>
  <r>
    <n v="2678276347"/>
    <n v="243418388"/>
    <s v="Michael Davis"/>
    <s v="williegonzalez@example.net"/>
    <n v="31472420"/>
    <m/>
    <x v="984"/>
    <d v="2025-08-13T14:14:42"/>
    <x v="2"/>
    <x v="2"/>
    <x v="1"/>
    <x v="5"/>
    <n v="51"/>
    <n v="289"/>
    <n v="0"/>
    <s v="Customer questioned invoice amount and prorated charges"/>
    <n v="299"/>
    <x v="0"/>
    <n v="1"/>
    <s v="Aug 2025"/>
    <n v="202508"/>
    <x v="22"/>
  </r>
  <r>
    <n v="2683254053"/>
    <n v="927603754"/>
    <s v="Jeffrey Bailey"/>
    <s v="sean69@example.com"/>
    <n v="91734598"/>
    <m/>
    <x v="985"/>
    <d v="2025-11-01T10:46:39"/>
    <x v="5"/>
    <x v="4"/>
    <x v="2"/>
    <x v="5"/>
    <n v="86"/>
    <n v="557"/>
    <n v="0"/>
    <s v="Login, OTP, or password reset issue"/>
    <n v="300"/>
    <x v="0"/>
    <n v="1"/>
    <s v="Nov 2025"/>
    <n v="202511"/>
    <x v="4"/>
  </r>
  <r>
    <n v="2694016689"/>
    <n v="539625898"/>
    <s v="Douglas Obrien"/>
    <s v="flopez@example.com"/>
    <n v="68353204"/>
    <n v="3374969448"/>
    <x v="986"/>
    <d v="2024-10-23T07:49:08"/>
    <x v="2"/>
    <x v="3"/>
    <x v="0"/>
    <x v="5"/>
    <n v="54"/>
    <n v="398"/>
    <n v="0"/>
    <s v="Shipment or installation appointment delayed beyond ETA"/>
    <n v="302"/>
    <x v="0"/>
    <n v="1"/>
    <s v="Oct 2024"/>
    <n v="202410"/>
    <x v="1"/>
  </r>
  <r>
    <n v="2700934484"/>
    <n v="457039137"/>
    <s v="Alexis Mccall"/>
    <s v="fhebert@example.com"/>
    <n v="90388981"/>
    <m/>
    <x v="987"/>
    <d v="2024-05-23T20:07:07"/>
    <x v="4"/>
    <x v="0"/>
    <x v="3"/>
    <x v="5"/>
    <n v="23"/>
    <n v="589"/>
    <n v="0"/>
    <s v="Customer reported intermittent service and repeat disruptions"/>
    <n v="303"/>
    <x v="0"/>
    <n v="1"/>
    <s v="May 2024"/>
    <n v="202405"/>
    <x v="24"/>
  </r>
  <r>
    <n v="2701038041"/>
    <n v="925884151"/>
    <s v="Jeffery Brown"/>
    <s v="tschneider@example.org"/>
    <n v="61642594"/>
    <m/>
    <x v="988"/>
    <d v="2024-05-06T10:32:21"/>
    <x v="5"/>
    <x v="0"/>
    <x v="1"/>
    <x v="5"/>
    <n v="36"/>
    <n v="454"/>
    <n v="0"/>
    <s v="Customer reported intermittent service and repeat disruptions"/>
    <n v="304"/>
    <x v="0"/>
    <n v="1"/>
    <s v="May 2024"/>
    <n v="202405"/>
    <x v="24"/>
  </r>
  <r>
    <n v="2711552716"/>
    <n v="170596494"/>
    <s v="Luis Bartlett"/>
    <s v="kleinjacqueline@example.net"/>
    <n v="96028436"/>
    <m/>
    <x v="989"/>
    <d v="2025-12-20T01:06:44"/>
    <x v="3"/>
    <x v="4"/>
    <x v="2"/>
    <x v="5"/>
    <n v="49"/>
    <n v="526"/>
    <n v="0"/>
    <s v="Login, OTP, or password reset issue"/>
    <n v="305"/>
    <x v="0"/>
    <n v="1"/>
    <s v="Dec 2025"/>
    <n v="202512"/>
    <x v="21"/>
  </r>
  <r>
    <n v="2717149150"/>
    <n v="152246275"/>
    <s v="Craig Daniels"/>
    <s v="carmenevans@example.org"/>
    <n v="40742311"/>
    <m/>
    <x v="990"/>
    <d v="2024-08-28T08:47:45"/>
    <x v="4"/>
    <x v="0"/>
    <x v="0"/>
    <x v="5"/>
    <n v="17"/>
    <n v="655"/>
    <n v="0"/>
    <s v="Customer reported intermittent service and repeat disruptions"/>
    <n v="306"/>
    <x v="0"/>
    <n v="1"/>
    <s v="Aug 2024"/>
    <n v="202408"/>
    <x v="18"/>
  </r>
  <r>
    <n v="2718988851"/>
    <n v="869801588"/>
    <s v="Jeffrey Gonzalez"/>
    <s v="robertgentry@example.org"/>
    <n v="83197857"/>
    <n v="1156706071"/>
    <x v="991"/>
    <d v="2025-04-22T06:33:21"/>
    <x v="5"/>
    <x v="0"/>
    <x v="2"/>
    <x v="5"/>
    <n v="14"/>
    <n v="281"/>
    <n v="0"/>
    <s v="Customer reported intermittent service and repeat disruptions"/>
    <n v="307"/>
    <x v="0"/>
    <n v="1"/>
    <s v="Apr 2025"/>
    <n v="202504"/>
    <x v="6"/>
  </r>
  <r>
    <n v="2724208527"/>
    <n v="115122787"/>
    <s v="Krystal Hamilton"/>
    <s v="gordonjason@example.com"/>
    <n v="55667651"/>
    <n v="1021537349"/>
    <x v="992"/>
    <d v="2025-07-15T12:29:10"/>
    <x v="6"/>
    <x v="3"/>
    <x v="0"/>
    <x v="5"/>
    <n v="10"/>
    <n v="647"/>
    <n v="0"/>
    <s v="Shipment or installation appointment delayed beyond ETA"/>
    <n v="309"/>
    <x v="0"/>
    <n v="1"/>
    <s v="Jul 2025"/>
    <n v="202507"/>
    <x v="13"/>
  </r>
  <r>
    <n v="2744101269"/>
    <n v="426551245"/>
    <s v="Steven White"/>
    <s v="davisrachel@example.com"/>
    <n v="43101783"/>
    <n v="8607593563"/>
    <x v="993"/>
    <d v="2025-10-28T13:39:33"/>
    <x v="6"/>
    <x v="4"/>
    <x v="2"/>
    <x v="5"/>
    <n v="43"/>
    <n v="773"/>
    <n v="0"/>
    <s v="Login, OTP, or password reset issue"/>
    <n v="314"/>
    <x v="0"/>
    <n v="1"/>
    <s v="Oct 2025"/>
    <n v="202510"/>
    <x v="8"/>
  </r>
  <r>
    <n v="2754947472"/>
    <n v="305195749"/>
    <s v="Heather Butler"/>
    <s v="whitney22@example.org"/>
    <n v="41244663"/>
    <m/>
    <x v="994"/>
    <d v="2024-09-17T20:54:49"/>
    <x v="5"/>
    <x v="1"/>
    <x v="2"/>
    <x v="5"/>
    <n v="89"/>
    <n v="152"/>
    <n v="0"/>
    <s v="Refund status or reversal timeline inquiry"/>
    <n v="315"/>
    <x v="0"/>
    <n v="1"/>
    <s v="Sep 2024"/>
    <n v="202409"/>
    <x v="3"/>
  </r>
  <r>
    <n v="2781166078"/>
    <n v="946666926"/>
    <s v="Carolyn Johnson"/>
    <s v="michelle57@example.com"/>
    <n v="21668732"/>
    <n v="4943074590"/>
    <x v="995"/>
    <d v="2025-09-28T08:11:30"/>
    <x v="2"/>
    <x v="4"/>
    <x v="2"/>
    <x v="5"/>
    <n v="10"/>
    <n v="135"/>
    <n v="0"/>
    <s v="Login, OTP, or password reset issue"/>
    <n v="319"/>
    <x v="0"/>
    <n v="1"/>
    <s v="Sep 2025"/>
    <n v="202509"/>
    <x v="9"/>
  </r>
  <r>
    <n v="2782157530"/>
    <n v="358480413"/>
    <s v="Nathan Mcgee"/>
    <s v="kwoods@example.com"/>
    <n v="10872248"/>
    <m/>
    <x v="996"/>
    <d v="2024-05-03T12:29:51"/>
    <x v="6"/>
    <x v="1"/>
    <x v="0"/>
    <x v="5"/>
    <n v="44"/>
    <n v="1026"/>
    <n v="0"/>
    <s v="Refund status or reversal timeline inquiry"/>
    <n v="320"/>
    <x v="0"/>
    <n v="1"/>
    <s v="May 2024"/>
    <n v="202405"/>
    <x v="24"/>
  </r>
  <r>
    <n v="2800519072"/>
    <n v="454650074"/>
    <s v="Amy Higgins"/>
    <s v="reynoldsmichelle@example.org"/>
    <n v="24972279"/>
    <m/>
    <x v="997"/>
    <d v="2024-11-28T16:52:45"/>
    <x v="5"/>
    <x v="5"/>
    <x v="1"/>
    <x v="5"/>
    <n v="32"/>
    <n v="285"/>
    <n v="0"/>
    <s v="App, network, or device troubleshooting requested"/>
    <n v="322"/>
    <x v="0"/>
    <n v="1"/>
    <s v="Nov 2024"/>
    <n v="202411"/>
    <x v="11"/>
  </r>
  <r>
    <n v="2802591028"/>
    <n v="462516271"/>
    <s v="Daniel Petersen"/>
    <s v="brownkevin@example.com"/>
    <n v="42868828"/>
    <m/>
    <x v="998"/>
    <d v="2026-02-04T11:10:09"/>
    <x v="5"/>
    <x v="0"/>
    <x v="2"/>
    <x v="5"/>
    <n v="5"/>
    <n v="586"/>
    <n v="0"/>
    <s v="Customer reported intermittent service and repeat disruptions"/>
    <n v="323"/>
    <x v="0"/>
    <n v="1"/>
    <s v="Feb 2026"/>
    <n v="202602"/>
    <x v="25"/>
  </r>
  <r>
    <n v="2847702690"/>
    <n v="756007396"/>
    <s v="Jose Palmer"/>
    <s v="fergusontrevor@example.net"/>
    <n v="96977837"/>
    <m/>
    <x v="999"/>
    <d v="2025-10-19T11:19:48"/>
    <x v="2"/>
    <x v="3"/>
    <x v="3"/>
    <x v="5"/>
    <n v="49"/>
    <n v="791"/>
    <n v="0"/>
    <s v="Shipment or installation appointment delayed beyond ETA"/>
    <n v="332"/>
    <x v="0"/>
    <n v="1"/>
    <s v="Oct 2025"/>
    <n v="202510"/>
    <x v="8"/>
  </r>
  <r>
    <n v="2856265751"/>
    <n v="683246764"/>
    <s v="Susan Price"/>
    <s v="wilsontina@example.com"/>
    <n v="17774584"/>
    <m/>
    <x v="1000"/>
    <d v="2024-05-10T00:59:21"/>
    <x v="1"/>
    <x v="1"/>
    <x v="0"/>
    <x v="5"/>
    <n v="32"/>
    <n v="435"/>
    <n v="0"/>
    <s v="Refund status or reversal timeline inquiry"/>
    <n v="334"/>
    <x v="0"/>
    <n v="1"/>
    <s v="May 2024"/>
    <n v="202405"/>
    <x v="24"/>
  </r>
  <r>
    <n v="2867430033"/>
    <n v="639991949"/>
    <s v="Ashley Bird"/>
    <s v="shawn88@example.com"/>
    <n v="93926371"/>
    <n v="7019484591"/>
    <x v="1001"/>
    <d v="2025-10-23T11:44:07"/>
    <x v="2"/>
    <x v="2"/>
    <x v="1"/>
    <x v="5"/>
    <n v="56"/>
    <n v="456"/>
    <n v="0"/>
    <s v="Customer questioned invoice amount and prorated charges"/>
    <n v="335"/>
    <x v="0"/>
    <n v="1"/>
    <s v="Oct 2025"/>
    <n v="202510"/>
    <x v="8"/>
  </r>
  <r>
    <n v="2896412521"/>
    <n v="968704078"/>
    <s v="Travis Stevens"/>
    <s v="christopher13@example.com"/>
    <n v="36687537"/>
    <n v="7368666052"/>
    <x v="1002"/>
    <d v="2025-05-21T08:24:14"/>
    <x v="0"/>
    <x v="4"/>
    <x v="2"/>
    <x v="5"/>
    <n v="37"/>
    <n v="60"/>
    <n v="0"/>
    <s v="Login, OTP, or password reset issue"/>
    <n v="340"/>
    <x v="0"/>
    <n v="1"/>
    <s v="May 2025"/>
    <n v="202505"/>
    <x v="5"/>
  </r>
  <r>
    <n v="2933731041"/>
    <n v="855438611"/>
    <s v="Lisa King"/>
    <s v="gregory51@example.com"/>
    <n v="12614124"/>
    <m/>
    <x v="1003"/>
    <d v="2024-09-18T11:27:49"/>
    <x v="5"/>
    <x v="5"/>
    <x v="0"/>
    <x v="5"/>
    <n v="48"/>
    <n v="809"/>
    <n v="0"/>
    <s v="App, network, or device troubleshooting requested"/>
    <n v="345"/>
    <x v="0"/>
    <n v="1"/>
    <s v="Sep 2024"/>
    <n v="202409"/>
    <x v="3"/>
  </r>
  <r>
    <n v="2946855597"/>
    <n v="494966219"/>
    <s v="Martha Ruiz"/>
    <s v="booneryan@example.com"/>
    <n v="24716857"/>
    <m/>
    <x v="1004"/>
    <d v="2025-02-11T15:51:49"/>
    <x v="0"/>
    <x v="3"/>
    <x v="0"/>
    <x v="5"/>
    <n v="45"/>
    <n v="138"/>
    <n v="0"/>
    <s v="Shipment or installation appointment delayed beyond ETA"/>
    <n v="347"/>
    <x v="0"/>
    <n v="1"/>
    <s v="Feb 2025"/>
    <n v="202502"/>
    <x v="14"/>
  </r>
  <r>
    <n v="2959748415"/>
    <n v="845156039"/>
    <s v="Laura Walls"/>
    <s v="jonathan12@example.org"/>
    <n v="66722344"/>
    <m/>
    <x v="1005"/>
    <d v="2025-05-12T07:30:29"/>
    <x v="1"/>
    <x v="4"/>
    <x v="2"/>
    <x v="5"/>
    <n v="48"/>
    <n v="309"/>
    <n v="0"/>
    <s v="Login, OTP, or password reset issue"/>
    <n v="349"/>
    <x v="0"/>
    <n v="1"/>
    <s v="May 2025"/>
    <n v="202505"/>
    <x v="5"/>
  </r>
  <r>
    <n v="2969039204"/>
    <n v="962915335"/>
    <s v="Stephanie Rodriguez"/>
    <s v="jasonhernandez@example.org"/>
    <n v="88320463"/>
    <n v="6127897303"/>
    <x v="1006"/>
    <d v="2024-08-20T22:36:51"/>
    <x v="5"/>
    <x v="1"/>
    <x v="1"/>
    <x v="5"/>
    <n v="17"/>
    <n v="282"/>
    <n v="0"/>
    <s v="Refund status or reversal timeline inquiry"/>
    <n v="353"/>
    <x v="0"/>
    <n v="1"/>
    <s v="Aug 2024"/>
    <n v="202408"/>
    <x v="18"/>
  </r>
  <r>
    <n v="2970019599"/>
    <n v="768737754"/>
    <s v="Peggy Carr"/>
    <s v="timothyfreeman@example.com"/>
    <n v="45551614"/>
    <m/>
    <x v="1007"/>
    <d v="2024-04-03T10:33:06"/>
    <x v="0"/>
    <x v="0"/>
    <x v="1"/>
    <x v="5"/>
    <n v="17"/>
    <n v="137"/>
    <n v="0"/>
    <s v="Customer reported intermittent service and repeat disruptions"/>
    <n v="354"/>
    <x v="0"/>
    <n v="1"/>
    <s v="Apr 2024"/>
    <n v="202404"/>
    <x v="2"/>
  </r>
  <r>
    <n v="2981675903"/>
    <n v="683246764"/>
    <s v="Susan Price"/>
    <s v="wilsontina@example.com"/>
    <n v="94374605"/>
    <m/>
    <x v="1008"/>
    <d v="2025-05-14T01:27:21"/>
    <x v="3"/>
    <x v="5"/>
    <x v="2"/>
    <x v="5"/>
    <n v="60"/>
    <n v="639"/>
    <n v="0"/>
    <s v="App, network, or device troubleshooting requested"/>
    <n v="356"/>
    <x v="0"/>
    <n v="1"/>
    <s v="May 2025"/>
    <n v="202505"/>
    <x v="5"/>
  </r>
  <r>
    <n v="2983524522"/>
    <n v="603601664"/>
    <s v="Kimberly May"/>
    <s v="timothy64@example.com"/>
    <n v="75579548"/>
    <m/>
    <x v="1009"/>
    <d v="2026-01-28T06:31:38"/>
    <x v="6"/>
    <x v="5"/>
    <x v="2"/>
    <x v="5"/>
    <n v="32"/>
    <n v="246"/>
    <n v="0"/>
    <s v="App, network, or device troubleshooting requested"/>
    <n v="357"/>
    <x v="0"/>
    <n v="1"/>
    <s v="Jan 2026"/>
    <n v="202601"/>
    <x v="0"/>
  </r>
  <r>
    <n v="2992200279"/>
    <n v="946666926"/>
    <s v="Carolyn Johnson"/>
    <s v="michelle57@example.com"/>
    <n v="45351479"/>
    <n v="4943074590"/>
    <x v="1010"/>
    <d v="2025-01-31T02:19:41"/>
    <x v="4"/>
    <x v="4"/>
    <x v="1"/>
    <x v="5"/>
    <n v="85"/>
    <n v="417"/>
    <n v="0"/>
    <s v="Login, OTP, or password reset issue"/>
    <n v="362"/>
    <x v="0"/>
    <n v="1"/>
    <s v="Jan 2025"/>
    <n v="202501"/>
    <x v="16"/>
  </r>
  <r>
    <n v="2999805893"/>
    <n v="219032752"/>
    <s v="Brandon Munoz"/>
    <s v="pamela83@example.net"/>
    <n v="77187530"/>
    <m/>
    <x v="1011"/>
    <d v="2025-11-02T18:35:42"/>
    <x v="2"/>
    <x v="4"/>
    <x v="3"/>
    <x v="5"/>
    <n v="26"/>
    <n v="31"/>
    <n v="0"/>
    <s v="Login, OTP, or password reset issue"/>
    <n v="363"/>
    <x v="0"/>
    <n v="1"/>
    <s v="Nov 2025"/>
    <n v="202511"/>
    <x v="4"/>
  </r>
  <r>
    <n v="3009822493"/>
    <n v="683364453"/>
    <s v="Andrew Ford"/>
    <s v="rwheeler@example.org"/>
    <n v="91756179"/>
    <m/>
    <x v="1012"/>
    <d v="2025-12-24T10:53:28"/>
    <x v="5"/>
    <x v="5"/>
    <x v="2"/>
    <x v="5"/>
    <n v="9"/>
    <n v="359"/>
    <n v="0"/>
    <s v="App, network, or device troubleshooting requested"/>
    <n v="365"/>
    <x v="0"/>
    <n v="1"/>
    <s v="Dec 2025"/>
    <n v="202512"/>
    <x v="21"/>
  </r>
  <r>
    <n v="3027671630"/>
    <n v="582032731"/>
    <s v="Sergio Gomez"/>
    <s v="yhill@example.org"/>
    <n v="95758349"/>
    <m/>
    <x v="1013"/>
    <d v="2024-03-17T04:33:56"/>
    <x v="1"/>
    <x v="1"/>
    <x v="0"/>
    <x v="5"/>
    <n v="13"/>
    <n v="98"/>
    <n v="0"/>
    <s v="Refund status or reversal timeline inquiry"/>
    <n v="367"/>
    <x v="0"/>
    <n v="1"/>
    <s v="Mar 2024"/>
    <n v="202403"/>
    <x v="15"/>
  </r>
  <r>
    <n v="3051649180"/>
    <n v="771112648"/>
    <s v="Ashley Ramirez"/>
    <s v="berrydebbie@example.net"/>
    <n v="81971316"/>
    <m/>
    <x v="1014"/>
    <d v="2025-05-11T04:17:06"/>
    <x v="1"/>
    <x v="4"/>
    <x v="2"/>
    <x v="5"/>
    <n v="52"/>
    <n v="338"/>
    <n v="0"/>
    <s v="Login, OTP, or password reset issue"/>
    <n v="374"/>
    <x v="0"/>
    <n v="1"/>
    <s v="May 2025"/>
    <n v="202505"/>
    <x v="5"/>
  </r>
  <r>
    <n v="3080616245"/>
    <n v="825708356"/>
    <s v="Heather Blake"/>
    <s v="trevor68@example.org"/>
    <n v="17507864"/>
    <n v="6070949719"/>
    <x v="1015"/>
    <d v="2025-09-10T08:24:41"/>
    <x v="6"/>
    <x v="3"/>
    <x v="2"/>
    <x v="5"/>
    <n v="74"/>
    <n v="149"/>
    <n v="0"/>
    <s v="Shipment or installation appointment delayed beyond ETA"/>
    <n v="378"/>
    <x v="0"/>
    <n v="1"/>
    <s v="Sep 2025"/>
    <n v="202509"/>
    <x v="9"/>
  </r>
  <r>
    <n v="3088037226"/>
    <n v="193133974"/>
    <s v="Kristin Flores"/>
    <s v="michaelmontes@example.com"/>
    <n v="71662963"/>
    <m/>
    <x v="1016"/>
    <d v="2024-01-06T03:27:29"/>
    <x v="5"/>
    <x v="1"/>
    <x v="2"/>
    <x v="5"/>
    <n v="60"/>
    <n v="971"/>
    <n v="0"/>
    <s v="Refund status or reversal timeline inquiry"/>
    <n v="380"/>
    <x v="0"/>
    <n v="1"/>
    <s v="Jan 2024"/>
    <n v="202401"/>
    <x v="17"/>
  </r>
  <r>
    <n v="3128647054"/>
    <n v="786111573"/>
    <s v="Danny Bell MD"/>
    <s v="andrewbrown@example.org"/>
    <n v="70897765"/>
    <m/>
    <x v="1017"/>
    <d v="2025-11-05T09:55:02"/>
    <x v="2"/>
    <x v="1"/>
    <x v="0"/>
    <x v="5"/>
    <n v="90"/>
    <n v="117"/>
    <n v="0"/>
    <s v="Refund status or reversal timeline inquiry"/>
    <n v="386"/>
    <x v="0"/>
    <n v="1"/>
    <s v="Nov 2025"/>
    <n v="202511"/>
    <x v="4"/>
  </r>
  <r>
    <n v="3131117034"/>
    <n v="636687537"/>
    <s v="Roger Lee"/>
    <s v="daniel60@example.net"/>
    <n v="56164955"/>
    <m/>
    <x v="1018"/>
    <d v="2025-10-18T19:05:33"/>
    <x v="6"/>
    <x v="3"/>
    <x v="0"/>
    <x v="5"/>
    <n v="25"/>
    <n v="274"/>
    <n v="0"/>
    <s v="Shipment or installation appointment delayed beyond ETA"/>
    <n v="387"/>
    <x v="0"/>
    <n v="1"/>
    <s v="Oct 2025"/>
    <n v="202510"/>
    <x v="8"/>
  </r>
  <r>
    <n v="3131206829"/>
    <n v="392956587"/>
    <s v="Teresa Davis"/>
    <s v="thomaslinda@example.net"/>
    <n v="36697396"/>
    <m/>
    <x v="1019"/>
    <d v="2024-10-23T23:00:03"/>
    <x v="3"/>
    <x v="3"/>
    <x v="3"/>
    <x v="5"/>
    <n v="57"/>
    <n v="578"/>
    <n v="0"/>
    <s v="Shipment or installation appointment delayed beyond ETA"/>
    <n v="388"/>
    <x v="0"/>
    <n v="1"/>
    <s v="Oct 2024"/>
    <n v="202410"/>
    <x v="1"/>
  </r>
  <r>
    <n v="3133186824"/>
    <n v="672817675"/>
    <s v="Adam Garcia"/>
    <s v="michelle63@example.org"/>
    <n v="17507864"/>
    <m/>
    <x v="1020"/>
    <d v="2025-03-19T11:01:00"/>
    <x v="2"/>
    <x v="0"/>
    <x v="2"/>
    <x v="5"/>
    <n v="42"/>
    <n v="48"/>
    <n v="0"/>
    <s v="Customer reported intermittent service and repeat disruptions"/>
    <n v="390"/>
    <x v="0"/>
    <n v="1"/>
    <s v="Mar 2025"/>
    <n v="202503"/>
    <x v="20"/>
  </r>
  <r>
    <n v="3186391513"/>
    <n v="578798403"/>
    <s v="Barbara Anderson"/>
    <s v="haileyparker@example.org"/>
    <n v="36687537"/>
    <n v="5689242601"/>
    <x v="1021"/>
    <d v="2026-03-27T20:39:04"/>
    <x v="2"/>
    <x v="2"/>
    <x v="2"/>
    <x v="5"/>
    <n v="47"/>
    <n v="587"/>
    <n v="0"/>
    <s v="Customer questioned invoice amount and prorated charges"/>
    <n v="395"/>
    <x v="0"/>
    <n v="1"/>
    <s v="Mar 2026"/>
    <n v="202603"/>
    <x v="10"/>
  </r>
  <r>
    <n v="3198412860"/>
    <n v="960226208"/>
    <s v="James Pacheco"/>
    <s v="chavezjohn@example.net"/>
    <n v="38538251"/>
    <m/>
    <x v="1022"/>
    <d v="2025-02-01T09:06:05"/>
    <x v="1"/>
    <x v="3"/>
    <x v="0"/>
    <x v="5"/>
    <n v="26"/>
    <n v="534"/>
    <n v="0"/>
    <s v="Shipment or installation appointment delayed beyond ETA"/>
    <n v="397"/>
    <x v="0"/>
    <n v="1"/>
    <s v="Feb 2025"/>
    <n v="202502"/>
    <x v="14"/>
  </r>
  <r>
    <n v="3287663925"/>
    <n v="286928799"/>
    <s v="Thomas Rodriguez"/>
    <s v="christophermiller@example.org"/>
    <n v="42138745"/>
    <n v="2887022675"/>
    <x v="1023"/>
    <d v="2024-01-14T07:35:00"/>
    <x v="6"/>
    <x v="5"/>
    <x v="0"/>
    <x v="5"/>
    <n v="55"/>
    <n v="225"/>
    <n v="0"/>
    <s v="App, network, or device troubleshooting requested"/>
    <n v="408"/>
    <x v="0"/>
    <n v="1"/>
    <s v="Jan 2024"/>
    <n v="202401"/>
    <x v="17"/>
  </r>
  <r>
    <n v="3290435802"/>
    <n v="634764290"/>
    <s v="Christopher Williams"/>
    <s v="carrie34@example.org"/>
    <n v="52235350"/>
    <m/>
    <x v="1024"/>
    <d v="2025-10-29T04:20:33"/>
    <x v="1"/>
    <x v="2"/>
    <x v="0"/>
    <x v="5"/>
    <n v="44"/>
    <n v="124"/>
    <n v="0"/>
    <s v="Customer questioned invoice amount and prorated charges"/>
    <n v="409"/>
    <x v="0"/>
    <n v="1"/>
    <s v="Oct 2025"/>
    <n v="202510"/>
    <x v="8"/>
  </r>
  <r>
    <n v="3291925657"/>
    <n v="202418976"/>
    <s v="Matthew Dougherty"/>
    <s v="colemancassandra@example.org"/>
    <n v="39476249"/>
    <m/>
    <x v="1025"/>
    <d v="2024-12-23T21:14:12"/>
    <x v="3"/>
    <x v="3"/>
    <x v="0"/>
    <x v="5"/>
    <n v="9"/>
    <n v="240"/>
    <n v="0"/>
    <s v="Shipment or installation appointment delayed beyond ETA"/>
    <n v="410"/>
    <x v="0"/>
    <n v="1"/>
    <s v="Dec 2024"/>
    <n v="202412"/>
    <x v="12"/>
  </r>
  <r>
    <n v="3292242074"/>
    <n v="500718660"/>
    <s v="Stephanie Mccarthy"/>
    <s v="williamolsen@example.com"/>
    <n v="28740864"/>
    <m/>
    <x v="1026"/>
    <d v="2026-01-27T18:22:18"/>
    <x v="2"/>
    <x v="2"/>
    <x v="1"/>
    <x v="5"/>
    <n v="25"/>
    <n v="824"/>
    <n v="0"/>
    <s v="Customer questioned invoice amount and prorated charges"/>
    <n v="411"/>
    <x v="0"/>
    <n v="1"/>
    <s v="Jan 2026"/>
    <n v="202601"/>
    <x v="0"/>
  </r>
  <r>
    <n v="3294868026"/>
    <n v="355046107"/>
    <s v="Brittany Kim"/>
    <s v="lisawilkerson@example.org"/>
    <n v="56164955"/>
    <m/>
    <x v="1027"/>
    <d v="2024-01-08T18:44:44"/>
    <x v="1"/>
    <x v="2"/>
    <x v="1"/>
    <x v="5"/>
    <n v="11"/>
    <n v="16"/>
    <n v="0"/>
    <s v="Customer questioned invoice amount and prorated charges"/>
    <n v="412"/>
    <x v="0"/>
    <n v="1"/>
    <s v="Jan 2024"/>
    <n v="202401"/>
    <x v="17"/>
  </r>
  <r>
    <n v="3308131068"/>
    <n v="843937341"/>
    <s v="Anthony Moore"/>
    <s v="craigjoseph@example.net"/>
    <n v="40742311"/>
    <m/>
    <x v="1028"/>
    <d v="2025-01-06T08:12:09"/>
    <x v="0"/>
    <x v="5"/>
    <x v="3"/>
    <x v="5"/>
    <n v="35"/>
    <n v="483"/>
    <n v="0"/>
    <s v="App, network, or device troubleshooting requested"/>
    <n v="414"/>
    <x v="0"/>
    <n v="1"/>
    <s v="Jan 2025"/>
    <n v="202501"/>
    <x v="16"/>
  </r>
  <r>
    <n v="3316796568"/>
    <n v="918040539"/>
    <s v="Richard Watson"/>
    <s v="carolynnguyen@example.org"/>
    <n v="38427073"/>
    <n v="8351204161"/>
    <x v="1029"/>
    <d v="2025-10-24T18:33:21"/>
    <x v="1"/>
    <x v="5"/>
    <x v="2"/>
    <x v="5"/>
    <n v="53"/>
    <n v="542"/>
    <n v="0"/>
    <s v="App, network, or device troubleshooting requested"/>
    <n v="417"/>
    <x v="0"/>
    <n v="1"/>
    <s v="Oct 2025"/>
    <n v="202510"/>
    <x v="8"/>
  </r>
  <r>
    <n v="3325664111"/>
    <n v="383856728"/>
    <s v="Beth Brown"/>
    <s v="castroralph@example.net"/>
    <n v="28740864"/>
    <m/>
    <x v="1030"/>
    <d v="2024-04-10T09:35:30"/>
    <x v="2"/>
    <x v="5"/>
    <x v="2"/>
    <x v="5"/>
    <n v="54"/>
    <n v="210"/>
    <n v="0"/>
    <s v="App, network, or device troubleshooting requested"/>
    <n v="420"/>
    <x v="0"/>
    <n v="1"/>
    <s v="Apr 2024"/>
    <n v="202404"/>
    <x v="2"/>
  </r>
  <r>
    <n v="3360484174"/>
    <n v="490102359"/>
    <s v="Curtis Torres"/>
    <s v="melaniejennings@example.com"/>
    <n v="80823176"/>
    <n v="7671347646"/>
    <x v="1031"/>
    <d v="2025-06-26T13:57:13"/>
    <x v="2"/>
    <x v="4"/>
    <x v="2"/>
    <x v="5"/>
    <n v="62"/>
    <n v="682"/>
    <n v="0"/>
    <s v="Login, OTP, or password reset issue"/>
    <n v="428"/>
    <x v="0"/>
    <n v="1"/>
    <s v="Jun 2025"/>
    <n v="202506"/>
    <x v="19"/>
  </r>
  <r>
    <n v="3364084191"/>
    <n v="741288486"/>
    <s v="Anthony Harmon"/>
    <s v="reesethomas@example.com"/>
    <n v="76238574"/>
    <n v="3363538831"/>
    <x v="1032"/>
    <d v="2025-08-23T14:06:08"/>
    <x v="4"/>
    <x v="5"/>
    <x v="2"/>
    <x v="5"/>
    <n v="38"/>
    <n v="444"/>
    <n v="0"/>
    <s v="App, network, or device troubleshooting requested"/>
    <n v="431"/>
    <x v="0"/>
    <n v="1"/>
    <s v="Aug 2025"/>
    <n v="202508"/>
    <x v="22"/>
  </r>
  <r>
    <n v="3415643663"/>
    <n v="698967370"/>
    <s v="John Morris MD"/>
    <s v="ytorres@example.com"/>
    <n v="91756179"/>
    <m/>
    <x v="1033"/>
    <d v="2024-10-13T19:08:26"/>
    <x v="4"/>
    <x v="0"/>
    <x v="3"/>
    <x v="5"/>
    <n v="38"/>
    <n v="492"/>
    <n v="0"/>
    <s v="Customer reported intermittent service and repeat disruptions"/>
    <n v="434"/>
    <x v="0"/>
    <n v="1"/>
    <s v="Oct 2024"/>
    <n v="202410"/>
    <x v="1"/>
  </r>
  <r>
    <n v="3426428467"/>
    <n v="869801588"/>
    <s v="Jeffrey Gonzalez"/>
    <s v="robertgentry@example.org"/>
    <n v="98550256"/>
    <n v="9368300034"/>
    <x v="1034"/>
    <d v="2026-01-21T03:40:34"/>
    <x v="4"/>
    <x v="4"/>
    <x v="2"/>
    <x v="5"/>
    <n v="27"/>
    <n v="778"/>
    <n v="0"/>
    <s v="Login, OTP, or password reset issue"/>
    <n v="437"/>
    <x v="0"/>
    <n v="1"/>
    <s v="Jan 2026"/>
    <n v="202601"/>
    <x v="0"/>
  </r>
  <r>
    <n v="3445907524"/>
    <n v="719303396"/>
    <s v="Kathy Bailey"/>
    <s v="lpalmer@example.net"/>
    <n v="17507864"/>
    <n v="1417984375"/>
    <x v="1035"/>
    <d v="2024-10-19T11:40:16"/>
    <x v="3"/>
    <x v="1"/>
    <x v="2"/>
    <x v="5"/>
    <n v="63"/>
    <n v="605"/>
    <n v="0"/>
    <s v="Refund status or reversal timeline inquiry"/>
    <n v="441"/>
    <x v="0"/>
    <n v="1"/>
    <s v="Oct 2024"/>
    <n v="202410"/>
    <x v="1"/>
  </r>
  <r>
    <n v="3478592108"/>
    <n v="536913550"/>
    <s v="Michael Robertson"/>
    <s v="brandi19@example.com"/>
    <n v="41244663"/>
    <n v="1029680169"/>
    <x v="1036"/>
    <d v="2024-04-05T23:04:55"/>
    <x v="0"/>
    <x v="0"/>
    <x v="1"/>
    <x v="5"/>
    <n v="19"/>
    <n v="510"/>
    <n v="0"/>
    <s v="Customer reported intermittent service and repeat disruptions"/>
    <n v="444"/>
    <x v="0"/>
    <n v="1"/>
    <s v="Apr 2024"/>
    <n v="202404"/>
    <x v="2"/>
  </r>
  <r>
    <n v="3485002985"/>
    <n v="775410705"/>
    <s v="Jonathan Gilbert"/>
    <s v="xobrien@example.org"/>
    <n v="71586053"/>
    <m/>
    <x v="1037"/>
    <d v="2024-10-30T04:43:12"/>
    <x v="3"/>
    <x v="3"/>
    <x v="1"/>
    <x v="5"/>
    <n v="84"/>
    <n v="557"/>
    <n v="0"/>
    <s v="Shipment or installation appointment delayed beyond ETA"/>
    <n v="448"/>
    <x v="0"/>
    <n v="1"/>
    <s v="Oct 2024"/>
    <n v="202410"/>
    <x v="1"/>
  </r>
  <r>
    <n v="3486835953"/>
    <n v="167438668"/>
    <s v="Krista Gray"/>
    <s v="christianwallace@example.net"/>
    <n v="63551839"/>
    <m/>
    <x v="1038"/>
    <d v="2025-06-14T15:16:21"/>
    <x v="6"/>
    <x v="1"/>
    <x v="1"/>
    <x v="5"/>
    <n v="41"/>
    <n v="686"/>
    <n v="0"/>
    <s v="Refund status or reversal timeline inquiry"/>
    <n v="449"/>
    <x v="0"/>
    <n v="1"/>
    <s v="Jun 2025"/>
    <n v="202506"/>
    <x v="19"/>
  </r>
  <r>
    <n v="3499676025"/>
    <n v="918040539"/>
    <s v="Richard Watson"/>
    <s v="carolynnguyen@example.org"/>
    <n v="70855700"/>
    <n v="9345116088"/>
    <x v="1039"/>
    <d v="2025-09-16T17:00:40"/>
    <x v="2"/>
    <x v="3"/>
    <x v="0"/>
    <x v="5"/>
    <n v="73"/>
    <n v="87"/>
    <n v="0"/>
    <s v="Shipment or installation appointment delayed beyond ETA"/>
    <n v="451"/>
    <x v="0"/>
    <n v="1"/>
    <s v="Sep 2025"/>
    <n v="202509"/>
    <x v="9"/>
  </r>
  <r>
    <n v="3510378462"/>
    <n v="968253265"/>
    <s v="Sheena Guerra"/>
    <s v="kevinmartin@example.net"/>
    <n v="28740864"/>
    <m/>
    <x v="1040"/>
    <d v="2025-11-30T03:58:17"/>
    <x v="3"/>
    <x v="3"/>
    <x v="0"/>
    <x v="5"/>
    <n v="27"/>
    <n v="207"/>
    <n v="0"/>
    <s v="Shipment or installation appointment delayed beyond ETA"/>
    <n v="453"/>
    <x v="0"/>
    <n v="1"/>
    <s v="Nov 2025"/>
    <n v="202511"/>
    <x v="4"/>
  </r>
  <r>
    <n v="3551303563"/>
    <n v="902425085"/>
    <s v="Richard Kelly"/>
    <s v="champton@example.org"/>
    <n v="57683626"/>
    <m/>
    <x v="1041"/>
    <d v="2024-12-19T13:01:34"/>
    <x v="0"/>
    <x v="3"/>
    <x v="1"/>
    <x v="5"/>
    <n v="45"/>
    <n v="379"/>
    <n v="0"/>
    <s v="Shipment or installation appointment delayed beyond ETA"/>
    <n v="457"/>
    <x v="0"/>
    <n v="1"/>
    <s v="Dec 2024"/>
    <n v="202412"/>
    <x v="12"/>
  </r>
  <r>
    <n v="3565331243"/>
    <n v="530121245"/>
    <s v="James Thomas"/>
    <s v="adkinslauren@example.net"/>
    <n v="31472420"/>
    <m/>
    <x v="1042"/>
    <d v="2024-10-18T01:34:12"/>
    <x v="5"/>
    <x v="1"/>
    <x v="2"/>
    <x v="5"/>
    <n v="64"/>
    <n v="586"/>
    <n v="0"/>
    <s v="Refund status or reversal timeline inquiry"/>
    <n v="459"/>
    <x v="0"/>
    <n v="1"/>
    <s v="Oct 2024"/>
    <n v="202410"/>
    <x v="1"/>
  </r>
  <r>
    <n v="3571814431"/>
    <n v="656931857"/>
    <s v="Andrea Kaiser"/>
    <s v="marypeck@example.com"/>
    <n v="29175900"/>
    <m/>
    <x v="1043"/>
    <d v="2024-09-13T21:03:45"/>
    <x v="4"/>
    <x v="4"/>
    <x v="2"/>
    <x v="5"/>
    <n v="46"/>
    <n v="529"/>
    <n v="0"/>
    <s v="Login, OTP, or password reset issue"/>
    <n v="461"/>
    <x v="0"/>
    <n v="1"/>
    <s v="Sep 2024"/>
    <n v="202409"/>
    <x v="3"/>
  </r>
  <r>
    <n v="3593052392"/>
    <n v="247709679"/>
    <s v="Jessica Stephens"/>
    <s v="rebekahserrano@example.org"/>
    <n v="31682744"/>
    <n v="5589770880"/>
    <x v="1044"/>
    <d v="2026-03-11T02:16:42"/>
    <x v="6"/>
    <x v="3"/>
    <x v="2"/>
    <x v="5"/>
    <n v="1"/>
    <n v="430"/>
    <n v="0"/>
    <s v="Shipment or installation appointment delayed beyond ETA"/>
    <n v="462"/>
    <x v="0"/>
    <n v="1"/>
    <s v="Mar 2026"/>
    <n v="202603"/>
    <x v="10"/>
  </r>
  <r>
    <n v="3598639290"/>
    <n v="170596494"/>
    <s v="Luis Bartlett"/>
    <s v="kleinjacqueline@example.net"/>
    <n v="45551614"/>
    <n v="6587745053"/>
    <x v="1045"/>
    <d v="2024-09-04T00:55:09"/>
    <x v="0"/>
    <x v="5"/>
    <x v="2"/>
    <x v="5"/>
    <n v="55"/>
    <n v="216"/>
    <n v="0"/>
    <s v="App, network, or device troubleshooting requested"/>
    <n v="464"/>
    <x v="0"/>
    <n v="1"/>
    <s v="Sep 2024"/>
    <n v="202409"/>
    <x v="3"/>
  </r>
  <r>
    <n v="3608683528"/>
    <n v="605547798"/>
    <s v="Eugene Sparks"/>
    <s v="elizabethrobertson@example.com"/>
    <n v="24282218"/>
    <m/>
    <x v="1046"/>
    <d v="2025-08-23T11:15:05"/>
    <x v="1"/>
    <x v="4"/>
    <x v="2"/>
    <x v="5"/>
    <n v="25"/>
    <n v="364"/>
    <n v="0"/>
    <s v="Login, OTP, or password reset issue"/>
    <n v="466"/>
    <x v="0"/>
    <n v="1"/>
    <s v="Aug 2025"/>
    <n v="202508"/>
    <x v="22"/>
  </r>
  <r>
    <n v="3614663568"/>
    <n v="429097422"/>
    <s v="Sandra Pope"/>
    <s v="butlersabrina@example.org"/>
    <n v="72043515"/>
    <n v="6147970594"/>
    <x v="1047"/>
    <d v="2024-05-17T19:17:14"/>
    <x v="0"/>
    <x v="2"/>
    <x v="1"/>
    <x v="5"/>
    <n v="5"/>
    <n v="512"/>
    <n v="0"/>
    <s v="Customer questioned invoice amount and prorated charges"/>
    <n v="467"/>
    <x v="0"/>
    <n v="1"/>
    <s v="May 2024"/>
    <n v="202405"/>
    <x v="24"/>
  </r>
  <r>
    <n v="3615585321"/>
    <n v="546510829"/>
    <s v="Dan Jensen"/>
    <s v="matthewwalker@example.com"/>
    <n v="81971316"/>
    <m/>
    <x v="1048"/>
    <d v="2026-01-08T06:00:08"/>
    <x v="2"/>
    <x v="3"/>
    <x v="0"/>
    <x v="5"/>
    <n v="23"/>
    <n v="632"/>
    <n v="0"/>
    <s v="Shipment or installation appointment delayed beyond ETA"/>
    <n v="468"/>
    <x v="0"/>
    <n v="1"/>
    <s v="Jan 2026"/>
    <n v="202601"/>
    <x v="0"/>
  </r>
  <r>
    <n v="3638434339"/>
    <n v="196057712"/>
    <s v="Luke Alexander"/>
    <s v="sbradley@example.org"/>
    <n v="13999315"/>
    <m/>
    <x v="1049"/>
    <d v="2025-06-07T15:32:32"/>
    <x v="1"/>
    <x v="4"/>
    <x v="1"/>
    <x v="5"/>
    <n v="26"/>
    <n v="707"/>
    <n v="0"/>
    <s v="Login, OTP, or password reset issue"/>
    <n v="471"/>
    <x v="0"/>
    <n v="1"/>
    <s v="Jun 2025"/>
    <n v="202506"/>
    <x v="19"/>
  </r>
  <r>
    <n v="3653327378"/>
    <n v="300050585"/>
    <s v="Christopher Smith"/>
    <s v="holtpaul@example.com"/>
    <n v="47295260"/>
    <m/>
    <x v="1050"/>
    <d v="2025-10-03T23:52:34"/>
    <x v="4"/>
    <x v="3"/>
    <x v="2"/>
    <x v="5"/>
    <n v="26"/>
    <n v="627"/>
    <n v="0"/>
    <s v="Shipment or installation appointment delayed beyond ETA"/>
    <n v="475"/>
    <x v="0"/>
    <n v="1"/>
    <s v="Oct 2025"/>
    <n v="202510"/>
    <x v="8"/>
  </r>
  <r>
    <n v="3657218780"/>
    <n v="689274064"/>
    <s v="Richard Warren"/>
    <s v="thompsonnancy@example.org"/>
    <n v="63100814"/>
    <m/>
    <x v="1051"/>
    <d v="2024-08-22T05:19:09"/>
    <x v="4"/>
    <x v="5"/>
    <x v="2"/>
    <x v="5"/>
    <n v="66"/>
    <n v="589"/>
    <n v="0"/>
    <s v="App, network, or device troubleshooting requested"/>
    <n v="476"/>
    <x v="0"/>
    <n v="1"/>
    <s v="Aug 2024"/>
    <n v="202408"/>
    <x v="18"/>
  </r>
  <r>
    <n v="3667904464"/>
    <n v="536164913"/>
    <s v="Jason Randall"/>
    <s v="gmcdowell@example.org"/>
    <n v="87490893"/>
    <n v="9497854045"/>
    <x v="1052"/>
    <d v="2025-10-02T09:17:59"/>
    <x v="6"/>
    <x v="1"/>
    <x v="1"/>
    <x v="5"/>
    <n v="81"/>
    <n v="385"/>
    <n v="0"/>
    <s v="Refund status or reversal timeline inquiry"/>
    <n v="478"/>
    <x v="0"/>
    <n v="1"/>
    <s v="Oct 2025"/>
    <n v="202510"/>
    <x v="8"/>
  </r>
  <r>
    <n v="3693808016"/>
    <n v="281071418"/>
    <s v="Christopher Parker"/>
    <s v="thomasnancy@example.net"/>
    <n v="97226012"/>
    <n v="5866075091"/>
    <x v="1053"/>
    <d v="2025-05-28T08:53:42"/>
    <x v="6"/>
    <x v="5"/>
    <x v="1"/>
    <x v="5"/>
    <n v="8"/>
    <n v="193"/>
    <n v="0"/>
    <s v="App, network, or device troubleshooting requested"/>
    <n v="481"/>
    <x v="0"/>
    <n v="1"/>
    <s v="May 2025"/>
    <n v="202505"/>
    <x v="5"/>
  </r>
  <r>
    <n v="3698707455"/>
    <n v="358303887"/>
    <s v="Holly Stewart"/>
    <s v="ujackson@example.org"/>
    <n v="59684848"/>
    <m/>
    <x v="1054"/>
    <d v="2024-06-07T22:57:42"/>
    <x v="3"/>
    <x v="1"/>
    <x v="2"/>
    <x v="5"/>
    <n v="35"/>
    <n v="921"/>
    <n v="0"/>
    <s v="Refund status or reversal timeline inquiry"/>
    <n v="483"/>
    <x v="0"/>
    <n v="1"/>
    <s v="Jun 2024"/>
    <n v="202406"/>
    <x v="26"/>
  </r>
  <r>
    <n v="3741028043"/>
    <n v="809656613"/>
    <s v="Brianna Murray"/>
    <s v="michaelbrown@example.com"/>
    <n v="90801586"/>
    <m/>
    <x v="1055"/>
    <d v="2024-07-11T15:28:00"/>
    <x v="3"/>
    <x v="3"/>
    <x v="3"/>
    <x v="5"/>
    <n v="10"/>
    <n v="300"/>
    <n v="0"/>
    <s v="Shipment or installation appointment delayed beyond ETA"/>
    <n v="487"/>
    <x v="0"/>
    <n v="1"/>
    <s v="Jul 2024"/>
    <n v="202407"/>
    <x v="23"/>
  </r>
  <r>
    <n v="3742888862"/>
    <n v="169727803"/>
    <s v="Becky Young"/>
    <s v="ntodd@example.org"/>
    <n v="88320463"/>
    <m/>
    <x v="1056"/>
    <d v="2025-10-13T02:31:44"/>
    <x v="6"/>
    <x v="1"/>
    <x v="1"/>
    <x v="5"/>
    <n v="57"/>
    <n v="198"/>
    <n v="0"/>
    <s v="Refund status or reversal timeline inquiry"/>
    <n v="488"/>
    <x v="0"/>
    <n v="1"/>
    <s v="Oct 2025"/>
    <n v="202510"/>
    <x v="8"/>
  </r>
  <r>
    <n v="3744964912"/>
    <n v="539625898"/>
    <s v="Douglas Obrien"/>
    <s v="flopez@example.com"/>
    <n v="90801586"/>
    <m/>
    <x v="1057"/>
    <d v="2024-12-27T13:35:53"/>
    <x v="0"/>
    <x v="5"/>
    <x v="0"/>
    <x v="5"/>
    <n v="25"/>
    <n v="620"/>
    <n v="0"/>
    <s v="App, network, or device troubleshooting requested"/>
    <n v="489"/>
    <x v="0"/>
    <n v="1"/>
    <s v="Dec 2024"/>
    <n v="202412"/>
    <x v="12"/>
  </r>
  <r>
    <n v="3770724107"/>
    <n v="271092615"/>
    <s v="Mary Hill"/>
    <s v="ogeorge@example.com"/>
    <n v="56164955"/>
    <m/>
    <x v="1058"/>
    <d v="2025-01-29T03:59:25"/>
    <x v="6"/>
    <x v="3"/>
    <x v="2"/>
    <x v="5"/>
    <n v="54"/>
    <n v="748"/>
    <n v="0"/>
    <s v="Shipment or installation appointment delayed beyond ETA"/>
    <n v="496"/>
    <x v="0"/>
    <n v="1"/>
    <s v="Jan 2025"/>
    <n v="202501"/>
    <x v="16"/>
  </r>
  <r>
    <n v="3775060322"/>
    <n v="585377142"/>
    <s v="Ronald Morrison"/>
    <s v="lopezchad@example.com"/>
    <n v="46913810"/>
    <n v="2183089470"/>
    <x v="1059"/>
    <d v="2025-01-11T08:05:34"/>
    <x v="0"/>
    <x v="5"/>
    <x v="0"/>
    <x v="5"/>
    <n v="41"/>
    <n v="203"/>
    <n v="0"/>
    <s v="App, network, or device troubleshooting requested"/>
    <n v="497"/>
    <x v="0"/>
    <n v="1"/>
    <s v="Jan 2025"/>
    <n v="202501"/>
    <x v="16"/>
  </r>
  <r>
    <n v="3778912172"/>
    <n v="778321204"/>
    <s v="Sheryl Gutierrez"/>
    <s v="vturner@example.net"/>
    <n v="47338124"/>
    <n v="7770680211"/>
    <x v="1060"/>
    <d v="2024-03-08T12:15:07"/>
    <x v="0"/>
    <x v="4"/>
    <x v="0"/>
    <x v="5"/>
    <n v="37"/>
    <n v="187"/>
    <n v="0"/>
    <s v="Login, OTP, or password reset issue"/>
    <n v="498"/>
    <x v="0"/>
    <n v="1"/>
    <s v="Mar 2024"/>
    <n v="202403"/>
    <x v="15"/>
  </r>
  <r>
    <n v="3794488784"/>
    <n v="364697908"/>
    <s v="Laura Woods"/>
    <s v="xboyd@example.org"/>
    <n v="78387461"/>
    <m/>
    <x v="1061"/>
    <d v="2024-02-18T00:13:06"/>
    <x v="4"/>
    <x v="1"/>
    <x v="3"/>
    <x v="5"/>
    <n v="34"/>
    <n v="145"/>
    <n v="0"/>
    <s v="Refund status or reversal timeline inquiry"/>
    <n v="499"/>
    <x v="0"/>
    <n v="1"/>
    <s v="Feb 2024"/>
    <n v="202402"/>
    <x v="7"/>
  </r>
  <r>
    <n v="3803913396"/>
    <n v="147605080"/>
    <s v="Kathy Sandoval"/>
    <s v="umahoney@example.net"/>
    <n v="66306997"/>
    <n v="5805176383"/>
    <x v="1062"/>
    <d v="2025-09-13T10:52:35"/>
    <x v="5"/>
    <x v="3"/>
    <x v="2"/>
    <x v="5"/>
    <n v="14"/>
    <n v="749"/>
    <n v="0"/>
    <s v="Shipment or installation appointment delayed beyond ETA"/>
    <n v="501"/>
    <x v="0"/>
    <n v="1"/>
    <s v="Sep 2025"/>
    <n v="202509"/>
    <x v="9"/>
  </r>
  <r>
    <n v="3844949673"/>
    <n v="549533634"/>
    <s v="Elizabeth Sharp"/>
    <s v="greenmichael@example.org"/>
    <n v="72043515"/>
    <m/>
    <x v="1063"/>
    <d v="2025-03-06T10:43:48"/>
    <x v="4"/>
    <x v="4"/>
    <x v="3"/>
    <x v="5"/>
    <n v="8"/>
    <n v="412"/>
    <n v="0"/>
    <s v="Login, OTP, or password reset issue"/>
    <n v="506"/>
    <x v="0"/>
    <n v="1"/>
    <s v="Mar 2025"/>
    <n v="202503"/>
    <x v="20"/>
  </r>
  <r>
    <n v="3855588461"/>
    <n v="301126777"/>
    <s v="Christopher Knight"/>
    <s v="jillwebb@example.com"/>
    <n v="43744231"/>
    <m/>
    <x v="1064"/>
    <d v="2025-02-04T10:31:33"/>
    <x v="3"/>
    <x v="4"/>
    <x v="0"/>
    <x v="5"/>
    <n v="38"/>
    <n v="224"/>
    <n v="0"/>
    <s v="Login, OTP, or password reset issue"/>
    <n v="507"/>
    <x v="0"/>
    <n v="1"/>
    <s v="Feb 2025"/>
    <n v="202502"/>
    <x v="14"/>
  </r>
  <r>
    <n v="3891787217"/>
    <n v="169727803"/>
    <s v="Becky Young"/>
    <s v="ntodd@example.org"/>
    <n v="22981052"/>
    <m/>
    <x v="1065"/>
    <d v="2026-01-06T19:02:09"/>
    <x v="1"/>
    <x v="0"/>
    <x v="2"/>
    <x v="5"/>
    <n v="46"/>
    <n v="309"/>
    <n v="0"/>
    <s v="Customer reported intermittent service and repeat disruptions"/>
    <n v="509"/>
    <x v="0"/>
    <n v="1"/>
    <s v="Jan 2026"/>
    <n v="202601"/>
    <x v="0"/>
  </r>
  <r>
    <n v="3939032920"/>
    <n v="583156434"/>
    <s v="Alisha Martin"/>
    <s v="lisamcdaniel@example.org"/>
    <n v="45264581"/>
    <m/>
    <x v="1066"/>
    <d v="2024-04-20T04:30:12"/>
    <x v="3"/>
    <x v="5"/>
    <x v="2"/>
    <x v="5"/>
    <n v="35"/>
    <n v="492"/>
    <n v="0"/>
    <s v="App, network, or device troubleshooting requested"/>
    <n v="512"/>
    <x v="0"/>
    <n v="1"/>
    <s v="Apr 2024"/>
    <n v="202404"/>
    <x v="2"/>
  </r>
  <r>
    <n v="3956573197"/>
    <n v="920184955"/>
    <s v="Natalie Patrick"/>
    <s v="michaelbuckley@example.org"/>
    <n v="82383095"/>
    <n v="4498894110"/>
    <x v="1067"/>
    <d v="2024-08-09T16:33:04"/>
    <x v="3"/>
    <x v="3"/>
    <x v="2"/>
    <x v="5"/>
    <n v="22"/>
    <n v="576"/>
    <n v="0"/>
    <s v="Shipment or installation appointment delayed beyond ETA"/>
    <n v="514"/>
    <x v="0"/>
    <n v="1"/>
    <s v="Aug 2024"/>
    <n v="202408"/>
    <x v="18"/>
  </r>
  <r>
    <n v="3961353048"/>
    <n v="701818966"/>
    <s v="Victoria Guerra"/>
    <s v="kara01@example.org"/>
    <n v="52235350"/>
    <n v="7228098909"/>
    <x v="1068"/>
    <d v="2025-01-15T13:17:32"/>
    <x v="4"/>
    <x v="2"/>
    <x v="1"/>
    <x v="5"/>
    <n v="48"/>
    <n v="430"/>
    <n v="0"/>
    <s v="Customer questioned invoice amount and prorated charges"/>
    <n v="515"/>
    <x v="0"/>
    <n v="1"/>
    <s v="Jan 2025"/>
    <n v="202501"/>
    <x v="16"/>
  </r>
  <r>
    <n v="3973225507"/>
    <n v="405939035"/>
    <s v="Kenneth Lopez"/>
    <s v="millsmichael@example.net"/>
    <n v="13999315"/>
    <m/>
    <x v="1069"/>
    <d v="2025-07-29T11:04:14"/>
    <x v="1"/>
    <x v="0"/>
    <x v="3"/>
    <x v="5"/>
    <n v="15"/>
    <n v="460"/>
    <n v="0"/>
    <s v="Customer reported intermittent service and repeat disruptions"/>
    <n v="518"/>
    <x v="0"/>
    <n v="1"/>
    <s v="Jul 2025"/>
    <n v="202507"/>
    <x v="13"/>
  </r>
  <r>
    <n v="3978929005"/>
    <n v="867407868"/>
    <s v="Suzanne Yang"/>
    <s v="pwalker@example.com"/>
    <n v="58537831"/>
    <m/>
    <x v="1070"/>
    <d v="2025-01-11T08:33:05"/>
    <x v="0"/>
    <x v="0"/>
    <x v="0"/>
    <x v="5"/>
    <n v="13"/>
    <n v="362"/>
    <n v="0"/>
    <s v="Customer reported intermittent service and repeat disruptions"/>
    <n v="519"/>
    <x v="0"/>
    <n v="1"/>
    <s v="Jan 2025"/>
    <n v="202501"/>
    <x v="16"/>
  </r>
  <r>
    <n v="3984307117"/>
    <n v="616030284"/>
    <s v="Kristen Rowe"/>
    <s v="powens@example.com"/>
    <n v="70855700"/>
    <m/>
    <x v="1071"/>
    <d v="2025-10-02T19:54:30"/>
    <x v="6"/>
    <x v="3"/>
    <x v="1"/>
    <x v="5"/>
    <n v="43"/>
    <n v="309"/>
    <n v="0"/>
    <s v="Shipment or installation appointment delayed beyond ETA"/>
    <n v="520"/>
    <x v="0"/>
    <n v="1"/>
    <s v="Oct 2025"/>
    <n v="202510"/>
    <x v="8"/>
  </r>
  <r>
    <n v="3995201670"/>
    <n v="356022467"/>
    <s v="Breanna Rivas"/>
    <s v="huntchristine@example.com"/>
    <n v="45575298"/>
    <n v="5727349037"/>
    <x v="1072"/>
    <d v="2025-11-11T19:14:34"/>
    <x v="4"/>
    <x v="0"/>
    <x v="2"/>
    <x v="5"/>
    <n v="31"/>
    <n v="671"/>
    <n v="0"/>
    <s v="Customer reported intermittent service and repeat disruptions"/>
    <n v="521"/>
    <x v="0"/>
    <n v="1"/>
    <s v="Nov 2025"/>
    <n v="202511"/>
    <x v="4"/>
  </r>
  <r>
    <n v="3999214187"/>
    <n v="639026034"/>
    <s v="Kathleen Morris"/>
    <s v="matthew92@example.net"/>
    <n v="26879290"/>
    <m/>
    <x v="1073"/>
    <d v="2024-02-22T02:43:27"/>
    <x v="4"/>
    <x v="0"/>
    <x v="1"/>
    <x v="5"/>
    <n v="29"/>
    <n v="206"/>
    <n v="0"/>
    <s v="Customer reported intermittent service and repeat disruptions"/>
    <n v="522"/>
    <x v="0"/>
    <n v="1"/>
    <s v="Feb 2024"/>
    <n v="202402"/>
    <x v="7"/>
  </r>
  <r>
    <n v="4001612479"/>
    <n v="322562836"/>
    <s v="Michelle Cobb"/>
    <s v="obrienjames@example.net"/>
    <n v="82383095"/>
    <m/>
    <x v="1074"/>
    <d v="2024-09-30T04:55:53"/>
    <x v="4"/>
    <x v="2"/>
    <x v="3"/>
    <x v="5"/>
    <n v="64"/>
    <n v="69"/>
    <n v="0"/>
    <s v="Customer questioned invoice amount and prorated charges"/>
    <n v="523"/>
    <x v="0"/>
    <n v="1"/>
    <s v="Sep 2024"/>
    <n v="202409"/>
    <x v="3"/>
  </r>
  <r>
    <n v="4024824113"/>
    <n v="172191273"/>
    <s v="Michael Edwards"/>
    <s v="ctodd@example.net"/>
    <n v="43744231"/>
    <m/>
    <x v="1075"/>
    <d v="2025-04-17T21:08:48"/>
    <x v="4"/>
    <x v="3"/>
    <x v="2"/>
    <x v="5"/>
    <n v="64"/>
    <n v="584"/>
    <n v="0"/>
    <s v="Shipment or installation appointment delayed beyond ETA"/>
    <n v="526"/>
    <x v="0"/>
    <n v="1"/>
    <s v="Apr 2025"/>
    <n v="202504"/>
    <x v="6"/>
  </r>
  <r>
    <n v="4025007797"/>
    <n v="365713980"/>
    <s v="Shannon Carlson"/>
    <s v="figueroapreston@example.net"/>
    <n v="31429110"/>
    <n v="8309328395"/>
    <x v="1076"/>
    <d v="2025-04-08T22:15:09"/>
    <x v="3"/>
    <x v="3"/>
    <x v="0"/>
    <x v="5"/>
    <n v="48"/>
    <n v="854"/>
    <n v="0"/>
    <s v="Shipment or installation appointment delayed beyond ETA"/>
    <n v="527"/>
    <x v="0"/>
    <n v="1"/>
    <s v="Apr 2025"/>
    <n v="202504"/>
    <x v="6"/>
  </r>
  <r>
    <n v="4032971926"/>
    <n v="731130400"/>
    <s v="James Henderson"/>
    <s v="qspencer@example.net"/>
    <n v="45551614"/>
    <m/>
    <x v="1077"/>
    <d v="2025-02-26T08:22:49"/>
    <x v="2"/>
    <x v="0"/>
    <x v="0"/>
    <x v="5"/>
    <n v="45"/>
    <n v="538"/>
    <n v="0"/>
    <s v="Customer reported intermittent service and repeat disruptions"/>
    <n v="529"/>
    <x v="0"/>
    <n v="1"/>
    <s v="Feb 2025"/>
    <n v="202502"/>
    <x v="14"/>
  </r>
  <r>
    <n v="4036163346"/>
    <n v="997866344"/>
    <s v="Diana King DDS"/>
    <s v="jose60@example.net"/>
    <n v="50056581"/>
    <m/>
    <x v="1078"/>
    <d v="2024-12-09T21:41:50"/>
    <x v="6"/>
    <x v="4"/>
    <x v="2"/>
    <x v="5"/>
    <n v="44"/>
    <n v="233"/>
    <n v="0"/>
    <s v="Login, OTP, or password reset issue"/>
    <n v="530"/>
    <x v="0"/>
    <n v="1"/>
    <s v="Dec 2024"/>
    <n v="202412"/>
    <x v="12"/>
  </r>
  <r>
    <n v="4080259766"/>
    <n v="730104453"/>
    <s v="Lauren Bowman"/>
    <s v="angelathomas@example.org"/>
    <n v="20709497"/>
    <n v="2462222211"/>
    <x v="1079"/>
    <d v="2025-11-07T01:35:42"/>
    <x v="3"/>
    <x v="4"/>
    <x v="2"/>
    <x v="5"/>
    <n v="12"/>
    <n v="797"/>
    <n v="0"/>
    <s v="Login, OTP, or password reset issue"/>
    <n v="533"/>
    <x v="0"/>
    <n v="1"/>
    <s v="Nov 2025"/>
    <n v="202511"/>
    <x v="4"/>
  </r>
  <r>
    <n v="4096747609"/>
    <n v="120405269"/>
    <s v="Jennifer Nichols"/>
    <s v="parmstrong@example.com"/>
    <n v="13561597"/>
    <m/>
    <x v="1080"/>
    <d v="2024-12-19T19:18:11"/>
    <x v="4"/>
    <x v="4"/>
    <x v="0"/>
    <x v="5"/>
    <n v="47"/>
    <n v="202"/>
    <n v="0"/>
    <s v="Login, OTP, or password reset issue"/>
    <n v="535"/>
    <x v="0"/>
    <n v="1"/>
    <s v="Dec 2024"/>
    <n v="202412"/>
    <x v="12"/>
  </r>
  <r>
    <n v="4103801478"/>
    <n v="971339002"/>
    <s v="Courtney Powers"/>
    <s v="katherinejones@example.com"/>
    <n v="52339391"/>
    <m/>
    <x v="1081"/>
    <d v="2024-09-25T12:56:06"/>
    <x v="6"/>
    <x v="2"/>
    <x v="1"/>
    <x v="5"/>
    <n v="15"/>
    <n v="157"/>
    <n v="0"/>
    <s v="Customer questioned invoice amount and prorated charges"/>
    <n v="536"/>
    <x v="0"/>
    <n v="1"/>
    <s v="Sep 2024"/>
    <n v="202409"/>
    <x v="3"/>
  </r>
  <r>
    <n v="4118659296"/>
    <n v="774585778"/>
    <s v="Anna Wade"/>
    <s v="thomasmaldonado@example.com"/>
    <n v="17507864"/>
    <m/>
    <x v="1082"/>
    <d v="2025-04-05T02:01:09"/>
    <x v="5"/>
    <x v="3"/>
    <x v="2"/>
    <x v="5"/>
    <n v="22"/>
    <n v="228"/>
    <n v="0"/>
    <s v="Shipment or installation appointment delayed beyond ETA"/>
    <n v="540"/>
    <x v="0"/>
    <n v="1"/>
    <s v="Apr 2025"/>
    <n v="202504"/>
    <x v="6"/>
  </r>
  <r>
    <n v="4130767223"/>
    <n v="449019278"/>
    <s v="William Murphy"/>
    <s v="kanesarah@example.net"/>
    <n v="83140807"/>
    <m/>
    <x v="1083"/>
    <d v="2025-01-12T02:24:06"/>
    <x v="1"/>
    <x v="3"/>
    <x v="1"/>
    <x v="5"/>
    <n v="47"/>
    <n v="547"/>
    <n v="0"/>
    <s v="Shipment or installation appointment delayed beyond ETA"/>
    <n v="541"/>
    <x v="0"/>
    <n v="1"/>
    <s v="Jan 2025"/>
    <n v="202501"/>
    <x v="16"/>
  </r>
  <r>
    <n v="4186424477"/>
    <n v="919390458"/>
    <s v="Jerry Peters"/>
    <s v="fgarcia@example.com"/>
    <n v="45264581"/>
    <n v="1457261738"/>
    <x v="1084"/>
    <d v="2024-12-25T19:28:51"/>
    <x v="0"/>
    <x v="3"/>
    <x v="2"/>
    <x v="5"/>
    <n v="34"/>
    <n v="180"/>
    <n v="0"/>
    <s v="Shipment or installation appointment delayed beyond ETA"/>
    <n v="547"/>
    <x v="0"/>
    <n v="1"/>
    <s v="Dec 2024"/>
    <n v="202412"/>
    <x v="12"/>
  </r>
  <r>
    <n v="4224910465"/>
    <n v="579691987"/>
    <s v="Larry Scott"/>
    <s v="bsoto@example.com"/>
    <n v="42857966"/>
    <m/>
    <x v="1085"/>
    <d v="2024-09-29T22:57:40"/>
    <x v="2"/>
    <x v="0"/>
    <x v="2"/>
    <x v="5"/>
    <n v="31"/>
    <n v="151"/>
    <n v="0"/>
    <s v="Customer reported intermittent service and repeat disruptions"/>
    <n v="556"/>
    <x v="0"/>
    <n v="1"/>
    <s v="Sep 2024"/>
    <n v="202409"/>
    <x v="3"/>
  </r>
  <r>
    <n v="4250698831"/>
    <n v="500718660"/>
    <s v="Stephanie Mccarthy"/>
    <s v="williamolsen@example.com"/>
    <n v="85345555"/>
    <m/>
    <x v="1086"/>
    <d v="2025-11-19T23:05:49"/>
    <x v="6"/>
    <x v="5"/>
    <x v="0"/>
    <x v="5"/>
    <n v="29"/>
    <n v="753"/>
    <n v="0"/>
    <s v="App, network, or device troubleshooting requested"/>
    <n v="560"/>
    <x v="0"/>
    <n v="1"/>
    <s v="Nov 2025"/>
    <n v="202511"/>
    <x v="4"/>
  </r>
  <r>
    <n v="4258918001"/>
    <n v="749252434"/>
    <s v="James Hall"/>
    <s v="rreed@example.org"/>
    <n v="18526544"/>
    <m/>
    <x v="1087"/>
    <d v="2025-09-25T22:09:11"/>
    <x v="3"/>
    <x v="2"/>
    <x v="1"/>
    <x v="5"/>
    <n v="67"/>
    <n v="242"/>
    <n v="0"/>
    <s v="Customer questioned invoice amount and prorated charges"/>
    <n v="561"/>
    <x v="0"/>
    <n v="1"/>
    <s v="Sep 2025"/>
    <n v="202509"/>
    <x v="9"/>
  </r>
  <r>
    <n v="4270947149"/>
    <n v="785811060"/>
    <s v="Peter Haynes"/>
    <s v="phall@example.com"/>
    <n v="39345092"/>
    <m/>
    <x v="1088"/>
    <d v="2024-03-11T13:04:39"/>
    <x v="4"/>
    <x v="3"/>
    <x v="2"/>
    <x v="5"/>
    <n v="37"/>
    <n v="426"/>
    <n v="0"/>
    <s v="Shipment or installation appointment delayed beyond ETA"/>
    <n v="564"/>
    <x v="0"/>
    <n v="1"/>
    <s v="Mar 2024"/>
    <n v="202403"/>
    <x v="15"/>
  </r>
  <r>
    <n v="4284972830"/>
    <n v="843854609"/>
    <s v="Lori Franco"/>
    <s v="petersrussell@example.org"/>
    <n v="42868828"/>
    <m/>
    <x v="1089"/>
    <d v="2025-10-25T23:48:32"/>
    <x v="6"/>
    <x v="2"/>
    <x v="1"/>
    <x v="5"/>
    <n v="21"/>
    <n v="177"/>
    <n v="0"/>
    <s v="Customer questioned invoice amount and prorated charges"/>
    <n v="566"/>
    <x v="0"/>
    <n v="1"/>
    <s v="Oct 2025"/>
    <n v="202510"/>
    <x v="8"/>
  </r>
  <r>
    <n v="4291888618"/>
    <n v="612656440"/>
    <s v="Jacqueline Randolph"/>
    <s v="bryanjohnson@example.net"/>
    <n v="58537831"/>
    <m/>
    <x v="1090"/>
    <d v="2025-05-24T01:07:12"/>
    <x v="3"/>
    <x v="2"/>
    <x v="2"/>
    <x v="5"/>
    <n v="33"/>
    <n v="127"/>
    <n v="0"/>
    <s v="Customer questioned invoice amount and prorated charges"/>
    <n v="568"/>
    <x v="0"/>
    <n v="1"/>
    <s v="May 2025"/>
    <n v="202505"/>
    <x v="5"/>
  </r>
  <r>
    <n v="4304824415"/>
    <n v="992699085"/>
    <s v="Sylvia Anderson"/>
    <s v="william95@example.com"/>
    <n v="23556182"/>
    <m/>
    <x v="1091"/>
    <d v="2024-11-20T15:03:38"/>
    <x v="4"/>
    <x v="4"/>
    <x v="3"/>
    <x v="5"/>
    <n v="6"/>
    <n v="200"/>
    <n v="0"/>
    <s v="Login, OTP, or password reset issue"/>
    <n v="569"/>
    <x v="0"/>
    <n v="1"/>
    <s v="Nov 2024"/>
    <n v="202411"/>
    <x v="11"/>
  </r>
  <r>
    <n v="4315727014"/>
    <n v="635008544"/>
    <s v="James Spears"/>
    <s v="cooperluis@example.com"/>
    <n v="94374605"/>
    <m/>
    <x v="1092"/>
    <d v="2026-02-07T05:51:11"/>
    <x v="2"/>
    <x v="2"/>
    <x v="3"/>
    <x v="5"/>
    <n v="5"/>
    <n v="257"/>
    <n v="0"/>
    <s v="Customer questioned invoice amount and prorated charges"/>
    <n v="574"/>
    <x v="0"/>
    <n v="1"/>
    <s v="Feb 2026"/>
    <n v="202602"/>
    <x v="25"/>
  </r>
  <r>
    <n v="4327357022"/>
    <n v="227572362"/>
    <s v="Jesse Ryan"/>
    <s v="mark98@example.com"/>
    <n v="30514014"/>
    <n v="3880210528"/>
    <x v="1093"/>
    <d v="2024-07-02T17:46:06"/>
    <x v="6"/>
    <x v="5"/>
    <x v="3"/>
    <x v="5"/>
    <n v="87"/>
    <n v="570"/>
    <n v="0"/>
    <s v="App, network, or device troubleshooting requested"/>
    <n v="575"/>
    <x v="0"/>
    <n v="1"/>
    <s v="Jul 2024"/>
    <n v="202407"/>
    <x v="23"/>
  </r>
  <r>
    <n v="4333330668"/>
    <n v="735449477"/>
    <s v="Jeffrey Hernandez"/>
    <s v="dromero@example.com"/>
    <n v="30868105"/>
    <m/>
    <x v="1094"/>
    <d v="2025-05-29T03:17:58"/>
    <x v="1"/>
    <x v="0"/>
    <x v="2"/>
    <x v="5"/>
    <n v="19"/>
    <n v="330"/>
    <n v="0"/>
    <s v="Customer reported intermittent service and repeat disruptions"/>
    <n v="577"/>
    <x v="0"/>
    <n v="1"/>
    <s v="May 2025"/>
    <n v="202505"/>
    <x v="5"/>
  </r>
  <r>
    <n v="4388025609"/>
    <n v="830261466"/>
    <s v="John Sanchez"/>
    <s v="courtney10@example.org"/>
    <n v="95320121"/>
    <n v="4898595925"/>
    <x v="1095"/>
    <d v="2025-11-21T03:42:34"/>
    <x v="4"/>
    <x v="2"/>
    <x v="0"/>
    <x v="5"/>
    <n v="62"/>
    <n v="662"/>
    <n v="0"/>
    <s v="Customer questioned invoice amount and prorated charges"/>
    <n v="587"/>
    <x v="0"/>
    <n v="1"/>
    <s v="Nov 2025"/>
    <n v="202511"/>
    <x v="4"/>
  </r>
  <r>
    <n v="4394298135"/>
    <n v="941599226"/>
    <s v="Kelly Owen"/>
    <s v="mmiller@example.org"/>
    <n v="91756179"/>
    <n v="9804130816"/>
    <x v="1096"/>
    <d v="2024-05-30T05:33:06"/>
    <x v="1"/>
    <x v="0"/>
    <x v="0"/>
    <x v="5"/>
    <n v="24"/>
    <n v="527"/>
    <n v="0"/>
    <s v="Customer reported intermittent service and repeat disruptions"/>
    <n v="588"/>
    <x v="0"/>
    <n v="1"/>
    <s v="May 2024"/>
    <n v="202405"/>
    <x v="24"/>
  </r>
  <r>
    <n v="4397756972"/>
    <n v="442019016"/>
    <s v="Amy Campos"/>
    <s v="wmiller@example.net"/>
    <n v="45935572"/>
    <m/>
    <x v="1097"/>
    <d v="2024-07-30T06:05:25"/>
    <x v="6"/>
    <x v="5"/>
    <x v="0"/>
    <x v="5"/>
    <n v="67"/>
    <n v="933"/>
    <n v="0"/>
    <s v="App, network, or device troubleshooting requested"/>
    <n v="589"/>
    <x v="0"/>
    <n v="1"/>
    <s v="Jul 2024"/>
    <n v="202407"/>
    <x v="23"/>
  </r>
  <r>
    <n v="4403105235"/>
    <n v="866213410"/>
    <s v="Mary Giles"/>
    <s v="cwhite@example.org"/>
    <n v="93926371"/>
    <m/>
    <x v="1098"/>
    <d v="2024-02-21T02:57:03"/>
    <x v="3"/>
    <x v="4"/>
    <x v="3"/>
    <x v="5"/>
    <n v="29"/>
    <n v="476"/>
    <n v="0"/>
    <s v="Login, OTP, or password reset issue"/>
    <n v="591"/>
    <x v="0"/>
    <n v="1"/>
    <s v="Feb 2024"/>
    <n v="202402"/>
    <x v="7"/>
  </r>
  <r>
    <n v="4403348239"/>
    <n v="269587940"/>
    <s v="Bryan Perry"/>
    <s v="curtis61@example.org"/>
    <n v="17507864"/>
    <m/>
    <x v="1099"/>
    <d v="2025-07-22T20:25:38"/>
    <x v="2"/>
    <x v="4"/>
    <x v="1"/>
    <x v="5"/>
    <n v="64"/>
    <n v="507"/>
    <n v="0"/>
    <s v="Login, OTP, or password reset issue"/>
    <n v="592"/>
    <x v="0"/>
    <n v="1"/>
    <s v="Jul 2025"/>
    <n v="202507"/>
    <x v="13"/>
  </r>
  <r>
    <n v="4405560846"/>
    <n v="785826598"/>
    <s v="David Anderson"/>
    <s v="stacey25@example.net"/>
    <n v="90801586"/>
    <m/>
    <x v="1100"/>
    <d v="2026-03-23T03:41:38"/>
    <x v="4"/>
    <x v="5"/>
    <x v="2"/>
    <x v="5"/>
    <n v="92"/>
    <n v="97"/>
    <n v="0"/>
    <s v="App, network, or device troubleshooting requested"/>
    <n v="593"/>
    <x v="0"/>
    <n v="1"/>
    <s v="Mar 2026"/>
    <n v="202603"/>
    <x v="10"/>
  </r>
  <r>
    <n v="4411264586"/>
    <n v="699240979"/>
    <s v="Frank Stanley"/>
    <s v="kyle29@example.com"/>
    <n v="18883684"/>
    <m/>
    <x v="1101"/>
    <d v="2024-07-28T19:05:40"/>
    <x v="4"/>
    <x v="1"/>
    <x v="2"/>
    <x v="5"/>
    <n v="51"/>
    <n v="671"/>
    <n v="0"/>
    <s v="Refund status or reversal timeline inquiry"/>
    <n v="594"/>
    <x v="0"/>
    <n v="1"/>
    <s v="Jul 2024"/>
    <n v="202407"/>
    <x v="23"/>
  </r>
  <r>
    <n v="4411938731"/>
    <n v="493342201"/>
    <s v="Mr. Logan Gregory"/>
    <s v="dhall@example.net"/>
    <n v="63100814"/>
    <n v="2653821070"/>
    <x v="1102"/>
    <d v="2025-04-18T14:05:44"/>
    <x v="5"/>
    <x v="3"/>
    <x v="2"/>
    <x v="5"/>
    <n v="48"/>
    <n v="473"/>
    <n v="0"/>
    <s v="Shipment or installation appointment delayed beyond ETA"/>
    <n v="595"/>
    <x v="0"/>
    <n v="1"/>
    <s v="Apr 2025"/>
    <n v="202504"/>
    <x v="6"/>
  </r>
  <r>
    <n v="4423383964"/>
    <n v="470838810"/>
    <s v="Justin Day"/>
    <s v="douglas11@example.net"/>
    <n v="45264581"/>
    <n v="7003585379"/>
    <x v="1103"/>
    <d v="2024-01-20T17:01:45"/>
    <x v="0"/>
    <x v="3"/>
    <x v="1"/>
    <x v="5"/>
    <n v="27"/>
    <n v="57"/>
    <n v="0"/>
    <s v="Shipment or installation appointment delayed beyond ETA"/>
    <n v="598"/>
    <x v="0"/>
    <n v="1"/>
    <s v="Jan 2024"/>
    <n v="202401"/>
    <x v="17"/>
  </r>
  <r>
    <n v="4455149413"/>
    <n v="749715626"/>
    <s v="Pamela Jimenez"/>
    <s v="mooremichael@example.org"/>
    <n v="89254563"/>
    <m/>
    <x v="1104"/>
    <d v="2024-10-27T01:32:32"/>
    <x v="5"/>
    <x v="5"/>
    <x v="3"/>
    <x v="5"/>
    <n v="33"/>
    <n v="198"/>
    <n v="0"/>
    <s v="App, network, or device troubleshooting requested"/>
    <n v="602"/>
    <x v="0"/>
    <n v="1"/>
    <s v="Oct 2024"/>
    <n v="202410"/>
    <x v="1"/>
  </r>
  <r>
    <n v="4466811717"/>
    <n v="692326390"/>
    <s v="Courtney Smith"/>
    <s v="opetty@example.com"/>
    <n v="45351479"/>
    <m/>
    <x v="1105"/>
    <d v="2024-08-02T15:37:27"/>
    <x v="4"/>
    <x v="0"/>
    <x v="3"/>
    <x v="5"/>
    <n v="15"/>
    <n v="662"/>
    <n v="0"/>
    <s v="Customer reported intermittent service and repeat disruptions"/>
    <n v="604"/>
    <x v="0"/>
    <n v="1"/>
    <s v="Aug 2024"/>
    <n v="202408"/>
    <x v="18"/>
  </r>
  <r>
    <n v="4479410205"/>
    <n v="335287540"/>
    <s v="Christopher King"/>
    <s v="laurarodriguez@example.net"/>
    <n v="91734598"/>
    <n v="9640565939"/>
    <x v="1106"/>
    <d v="2024-09-09T00:43:50"/>
    <x v="1"/>
    <x v="2"/>
    <x v="2"/>
    <x v="5"/>
    <n v="4"/>
    <n v="596"/>
    <n v="0"/>
    <s v="Customer questioned invoice amount and prorated charges"/>
    <n v="606"/>
    <x v="0"/>
    <n v="1"/>
    <s v="Sep 2024"/>
    <n v="202409"/>
    <x v="3"/>
  </r>
  <r>
    <n v="4496307098"/>
    <n v="514838889"/>
    <s v="Jon Garza"/>
    <s v="dalton78@example.net"/>
    <n v="21668732"/>
    <m/>
    <x v="1107"/>
    <d v="2025-12-18T14:01:20"/>
    <x v="2"/>
    <x v="3"/>
    <x v="0"/>
    <x v="5"/>
    <n v="12"/>
    <n v="133"/>
    <n v="0"/>
    <s v="Shipment or installation appointment delayed beyond ETA"/>
    <n v="611"/>
    <x v="0"/>
    <n v="1"/>
    <s v="Dec 2025"/>
    <n v="202512"/>
    <x v="21"/>
  </r>
  <r>
    <n v="4507092820"/>
    <n v="545492166"/>
    <s v="Leah Bell"/>
    <s v="imartin@example.org"/>
    <n v="36697396"/>
    <n v="1456836428"/>
    <x v="1108"/>
    <d v="2025-11-15T04:37:27"/>
    <x v="6"/>
    <x v="4"/>
    <x v="2"/>
    <x v="5"/>
    <n v="2"/>
    <n v="582"/>
    <n v="0"/>
    <s v="Login, OTP, or password reset issue"/>
    <n v="612"/>
    <x v="0"/>
    <n v="1"/>
    <s v="Nov 2025"/>
    <n v="202511"/>
    <x v="4"/>
  </r>
  <r>
    <n v="4522669381"/>
    <n v="770529419"/>
    <s v="Harold Mckinney"/>
    <s v="rrodriguez@example.net"/>
    <n v="78387461"/>
    <n v="3624656441"/>
    <x v="1109"/>
    <d v="2025-09-14T16:16:16"/>
    <x v="4"/>
    <x v="5"/>
    <x v="2"/>
    <x v="5"/>
    <n v="50"/>
    <n v="665"/>
    <n v="0"/>
    <s v="App, network, or device troubleshooting requested"/>
    <n v="615"/>
    <x v="0"/>
    <n v="1"/>
    <s v="Sep 2025"/>
    <n v="202509"/>
    <x v="9"/>
  </r>
  <r>
    <n v="4523591080"/>
    <n v="968253265"/>
    <s v="Sheena Guerra"/>
    <s v="kevinmartin@example.net"/>
    <n v="13561597"/>
    <n v="1060931756"/>
    <x v="1110"/>
    <d v="2025-03-27T01:49:53"/>
    <x v="0"/>
    <x v="2"/>
    <x v="0"/>
    <x v="5"/>
    <n v="39"/>
    <n v="189"/>
    <n v="0"/>
    <s v="Customer questioned invoice amount and prorated charges"/>
    <n v="616"/>
    <x v="0"/>
    <n v="1"/>
    <s v="Mar 2025"/>
    <n v="202503"/>
    <x v="20"/>
  </r>
  <r>
    <n v="4543573768"/>
    <n v="618558050"/>
    <s v="Eric Guerrero"/>
    <s v="melanie77@example.org"/>
    <n v="16323852"/>
    <m/>
    <x v="1111"/>
    <d v="2024-01-11T15:07:53"/>
    <x v="3"/>
    <x v="5"/>
    <x v="2"/>
    <x v="5"/>
    <n v="60"/>
    <n v="374"/>
    <n v="0"/>
    <s v="App, network, or device troubleshooting requested"/>
    <n v="620"/>
    <x v="0"/>
    <n v="1"/>
    <s v="Jan 2024"/>
    <n v="202401"/>
    <x v="17"/>
  </r>
  <r>
    <n v="4559777402"/>
    <n v="964027324"/>
    <s v="Mitchell Brown"/>
    <s v="theresa05@example.net"/>
    <n v="84252722"/>
    <n v="1478384314"/>
    <x v="1112"/>
    <d v="2024-12-11T02:25:08"/>
    <x v="1"/>
    <x v="0"/>
    <x v="2"/>
    <x v="5"/>
    <n v="9"/>
    <n v="638"/>
    <n v="0"/>
    <s v="Customer reported intermittent service and repeat disruptions"/>
    <n v="622"/>
    <x v="0"/>
    <n v="1"/>
    <s v="Dec 2024"/>
    <n v="202412"/>
    <x v="12"/>
  </r>
  <r>
    <n v="4566698486"/>
    <n v="756102581"/>
    <s v="Zachary Johnson"/>
    <s v="dhansen@example.com"/>
    <n v="86149359"/>
    <m/>
    <x v="1113"/>
    <d v="2024-05-14T16:18:36"/>
    <x v="4"/>
    <x v="4"/>
    <x v="2"/>
    <x v="5"/>
    <n v="48"/>
    <n v="273"/>
    <n v="0"/>
    <s v="Login, OTP, or password reset issue"/>
    <n v="625"/>
    <x v="0"/>
    <n v="1"/>
    <s v="May 2024"/>
    <n v="202405"/>
    <x v="24"/>
  </r>
  <r>
    <n v="4633212294"/>
    <n v="950474042"/>
    <s v="Sarah Whitney"/>
    <s v="kelsey28@example.net"/>
    <n v="52235350"/>
    <n v="9917597402"/>
    <x v="1114"/>
    <d v="2024-05-25T11:02:23"/>
    <x v="2"/>
    <x v="1"/>
    <x v="1"/>
    <x v="5"/>
    <n v="54"/>
    <n v="1062"/>
    <n v="0"/>
    <s v="Refund status or reversal timeline inquiry"/>
    <n v="634"/>
    <x v="0"/>
    <n v="1"/>
    <s v="May 2024"/>
    <n v="202405"/>
    <x v="24"/>
  </r>
  <r>
    <n v="4644428470"/>
    <n v="813363254"/>
    <s v="Sierra Williams"/>
    <s v="dakota84@example.net"/>
    <n v="85345555"/>
    <m/>
    <x v="1115"/>
    <d v="2024-02-23T22:13:58"/>
    <x v="6"/>
    <x v="1"/>
    <x v="3"/>
    <x v="5"/>
    <n v="5"/>
    <n v="290"/>
    <n v="0"/>
    <s v="Refund status or reversal timeline inquiry"/>
    <n v="636"/>
    <x v="0"/>
    <n v="1"/>
    <s v="Feb 2024"/>
    <n v="202402"/>
    <x v="7"/>
  </r>
  <r>
    <n v="4652885723"/>
    <n v="945432844"/>
    <s v="Jennifer Russo"/>
    <s v="barkerjohn@example.net"/>
    <n v="38317637"/>
    <m/>
    <x v="1116"/>
    <d v="2024-03-17T22:47:18"/>
    <x v="3"/>
    <x v="1"/>
    <x v="3"/>
    <x v="5"/>
    <n v="52"/>
    <n v="225"/>
    <n v="0"/>
    <s v="Refund status or reversal timeline inquiry"/>
    <n v="639"/>
    <x v="0"/>
    <n v="1"/>
    <s v="Mar 2024"/>
    <n v="202403"/>
    <x v="15"/>
  </r>
  <r>
    <n v="4672445067"/>
    <n v="963949678"/>
    <s v="Anna Hill"/>
    <s v="youngjamie@example.com"/>
    <n v="59684848"/>
    <m/>
    <x v="1117"/>
    <d v="2024-01-12T22:24:52"/>
    <x v="3"/>
    <x v="5"/>
    <x v="1"/>
    <x v="5"/>
    <n v="12"/>
    <n v="1235"/>
    <n v="0"/>
    <s v="App, network, or device troubleshooting requested"/>
    <n v="641"/>
    <x v="0"/>
    <n v="1"/>
    <s v="Jan 2024"/>
    <n v="202401"/>
    <x v="17"/>
  </r>
  <r>
    <n v="4673315100"/>
    <n v="457599735"/>
    <s v="Oscar Farmer"/>
    <s v="wstewart@example.net"/>
    <n v="26879290"/>
    <m/>
    <x v="1118"/>
    <d v="2025-09-24T05:26:12"/>
    <x v="1"/>
    <x v="5"/>
    <x v="2"/>
    <x v="5"/>
    <n v="56"/>
    <n v="1077"/>
    <n v="0"/>
    <s v="App, network, or device troubleshooting requested"/>
    <n v="642"/>
    <x v="0"/>
    <n v="1"/>
    <s v="Sep 2025"/>
    <n v="202509"/>
    <x v="9"/>
  </r>
  <r>
    <n v="4682460683"/>
    <n v="667121569"/>
    <s v="Kenneth Schmidt"/>
    <s v="marissasutton@example.com"/>
    <n v="41244663"/>
    <m/>
    <x v="1119"/>
    <d v="2025-02-28T05:04:42"/>
    <x v="3"/>
    <x v="2"/>
    <x v="1"/>
    <x v="5"/>
    <n v="20"/>
    <n v="620"/>
    <n v="0"/>
    <s v="Customer questioned invoice amount and prorated charges"/>
    <n v="643"/>
    <x v="0"/>
    <n v="1"/>
    <s v="Feb 2025"/>
    <n v="202502"/>
    <x v="14"/>
  </r>
  <r>
    <n v="4687571157"/>
    <n v="353164777"/>
    <s v="Kelly Wallace"/>
    <s v="dominguezlisa@example.com"/>
    <n v="66792612"/>
    <m/>
    <x v="1120"/>
    <d v="2025-07-19T14:30:08"/>
    <x v="6"/>
    <x v="1"/>
    <x v="0"/>
    <x v="5"/>
    <n v="27"/>
    <n v="280"/>
    <n v="0"/>
    <s v="Refund status or reversal timeline inquiry"/>
    <n v="645"/>
    <x v="0"/>
    <n v="1"/>
    <s v="Jul 2025"/>
    <n v="202507"/>
    <x v="13"/>
  </r>
  <r>
    <n v="4693541056"/>
    <n v="607239833"/>
    <s v="Danielle Skinner"/>
    <s v="maryking@example.com"/>
    <n v="38119557"/>
    <m/>
    <x v="1121"/>
    <d v="2024-01-13T16:52:12"/>
    <x v="1"/>
    <x v="4"/>
    <x v="0"/>
    <x v="5"/>
    <n v="2"/>
    <n v="412"/>
    <n v="0"/>
    <s v="Login, OTP, or password reset issue"/>
    <n v="646"/>
    <x v="0"/>
    <n v="1"/>
    <s v="Jan 2024"/>
    <n v="202401"/>
    <x v="17"/>
  </r>
  <r>
    <n v="4703402229"/>
    <n v="385111130"/>
    <s v="Dennis Jones"/>
    <s v="brandiwilson@example.org"/>
    <n v="38427073"/>
    <n v="9736322281"/>
    <x v="1122"/>
    <d v="2024-01-29T17:38:26"/>
    <x v="4"/>
    <x v="1"/>
    <x v="3"/>
    <x v="5"/>
    <n v="65"/>
    <n v="433"/>
    <n v="0"/>
    <s v="Refund status or reversal timeline inquiry"/>
    <n v="647"/>
    <x v="0"/>
    <n v="1"/>
    <s v="Jan 2024"/>
    <n v="202401"/>
    <x v="17"/>
  </r>
  <r>
    <n v="4729541444"/>
    <n v="845156039"/>
    <s v="Laura Walls"/>
    <s v="jonathan12@example.org"/>
    <n v="16323852"/>
    <m/>
    <x v="1123"/>
    <d v="2025-06-18T20:15:40"/>
    <x v="1"/>
    <x v="2"/>
    <x v="1"/>
    <x v="5"/>
    <n v="9"/>
    <n v="673"/>
    <n v="0"/>
    <s v="Customer questioned invoice amount and prorated charges"/>
    <n v="653"/>
    <x v="0"/>
    <n v="1"/>
    <s v="Jun 2025"/>
    <n v="202506"/>
    <x v="19"/>
  </r>
  <r>
    <n v="4737946098"/>
    <n v="314179101"/>
    <s v="Maria Olson"/>
    <s v="imcclain@example.com"/>
    <n v="82394227"/>
    <n v="9057068336"/>
    <x v="1124"/>
    <d v="2024-03-02T21:30:07"/>
    <x v="5"/>
    <x v="5"/>
    <x v="2"/>
    <x v="5"/>
    <n v="49"/>
    <n v="54"/>
    <n v="0"/>
    <s v="App, network, or device troubleshooting requested"/>
    <n v="655"/>
    <x v="0"/>
    <n v="1"/>
    <s v="Mar 2024"/>
    <n v="202403"/>
    <x v="15"/>
  </r>
  <r>
    <n v="4753151327"/>
    <n v="510032406"/>
    <s v="Curtis Maynard"/>
    <s v="justin01@example.net"/>
    <n v="45503389"/>
    <m/>
    <x v="1125"/>
    <d v="2025-06-25T01:35:50"/>
    <x v="2"/>
    <x v="4"/>
    <x v="0"/>
    <x v="5"/>
    <n v="3"/>
    <n v="61"/>
    <n v="0"/>
    <s v="Login, OTP, or password reset issue"/>
    <n v="657"/>
    <x v="0"/>
    <n v="1"/>
    <s v="Jun 2025"/>
    <n v="202506"/>
    <x v="19"/>
  </r>
  <r>
    <n v="4756206293"/>
    <n v="903734960"/>
    <s v="Robert Kennedy"/>
    <s v="mullinsjames@example.com"/>
    <n v="96282117"/>
    <m/>
    <x v="1126"/>
    <d v="2024-05-03T19:57:35"/>
    <x v="6"/>
    <x v="3"/>
    <x v="0"/>
    <x v="5"/>
    <n v="65"/>
    <n v="523"/>
    <n v="0"/>
    <s v="Shipment or installation appointment delayed beyond ETA"/>
    <n v="658"/>
    <x v="0"/>
    <n v="1"/>
    <s v="May 2024"/>
    <n v="202405"/>
    <x v="24"/>
  </r>
  <r>
    <n v="4761696781"/>
    <n v="416779880"/>
    <s v="Miguel Hernandez"/>
    <s v="davidgonzales@example.com"/>
    <n v="60992979"/>
    <m/>
    <x v="1127"/>
    <d v="2024-04-27T19:53:46"/>
    <x v="1"/>
    <x v="5"/>
    <x v="2"/>
    <x v="5"/>
    <n v="16"/>
    <n v="373"/>
    <n v="0"/>
    <s v="App, network, or device troubleshooting requested"/>
    <n v="659"/>
    <x v="0"/>
    <n v="1"/>
    <s v="Apr 2024"/>
    <n v="202404"/>
    <x v="2"/>
  </r>
  <r>
    <n v="4767634417"/>
    <n v="206389694"/>
    <s v="Scott Jackson"/>
    <s v="jonathangarcia@example.net"/>
    <n v="40742311"/>
    <m/>
    <x v="1128"/>
    <d v="2025-08-05T23:58:03"/>
    <x v="1"/>
    <x v="4"/>
    <x v="0"/>
    <x v="5"/>
    <n v="1"/>
    <n v="340"/>
    <n v="0"/>
    <s v="Login, OTP, or password reset issue"/>
    <n v="660"/>
    <x v="0"/>
    <n v="1"/>
    <s v="Aug 2025"/>
    <n v="202508"/>
    <x v="22"/>
  </r>
  <r>
    <n v="4789040823"/>
    <n v="820678212"/>
    <s v="Ashley Gardner"/>
    <s v="rvega@example.org"/>
    <n v="95225343"/>
    <m/>
    <x v="1129"/>
    <d v="2025-11-30T20:58:22"/>
    <x v="2"/>
    <x v="2"/>
    <x v="1"/>
    <x v="5"/>
    <n v="66"/>
    <n v="203"/>
    <n v="0"/>
    <s v="Customer questioned invoice amount and prorated charges"/>
    <n v="665"/>
    <x v="0"/>
    <n v="1"/>
    <s v="Nov 2025"/>
    <n v="202511"/>
    <x v="4"/>
  </r>
  <r>
    <n v="4799325926"/>
    <n v="148578655"/>
    <s v="Brenda Hopkins"/>
    <s v="lovejustin@example.net"/>
    <n v="45833156"/>
    <m/>
    <x v="1130"/>
    <d v="2024-09-16T12:23:53"/>
    <x v="0"/>
    <x v="1"/>
    <x v="2"/>
    <x v="5"/>
    <n v="7"/>
    <n v="950"/>
    <n v="0"/>
    <s v="Refund status or reversal timeline inquiry"/>
    <n v="668"/>
    <x v="0"/>
    <n v="1"/>
    <s v="Sep 2024"/>
    <n v="202409"/>
    <x v="3"/>
  </r>
  <r>
    <n v="4815073363"/>
    <n v="927878967"/>
    <s v="Jeffery Johnson"/>
    <s v="ywilson@example.org"/>
    <n v="77005685"/>
    <n v="7747748543"/>
    <x v="1131"/>
    <d v="2026-02-19T20:27:07"/>
    <x v="6"/>
    <x v="5"/>
    <x v="2"/>
    <x v="5"/>
    <n v="3"/>
    <n v="138"/>
    <n v="0"/>
    <s v="App, network, or device troubleshooting requested"/>
    <n v="669"/>
    <x v="0"/>
    <n v="1"/>
    <s v="Feb 2026"/>
    <n v="202602"/>
    <x v="25"/>
  </r>
  <r>
    <n v="4820525427"/>
    <n v="603703167"/>
    <s v="Hayley Buchanan"/>
    <s v="williamssamuel@example.com"/>
    <n v="81691040"/>
    <m/>
    <x v="1132"/>
    <d v="2025-09-22T19:16:31"/>
    <x v="3"/>
    <x v="0"/>
    <x v="0"/>
    <x v="5"/>
    <n v="73"/>
    <n v="879"/>
    <n v="0"/>
    <s v="Customer reported intermittent service and repeat disruptions"/>
    <n v="670"/>
    <x v="0"/>
    <n v="1"/>
    <s v="Sep 2025"/>
    <n v="202509"/>
    <x v="9"/>
  </r>
  <r>
    <n v="4841584895"/>
    <n v="306442077"/>
    <s v="Steven Holland"/>
    <s v="cobbkaitlyn@example.net"/>
    <n v="81016525"/>
    <n v="9516613938"/>
    <x v="1133"/>
    <d v="2024-06-24T12:16:28"/>
    <x v="4"/>
    <x v="3"/>
    <x v="0"/>
    <x v="5"/>
    <n v="21"/>
    <n v="479"/>
    <n v="0"/>
    <s v="Shipment or installation appointment delayed beyond ETA"/>
    <n v="672"/>
    <x v="0"/>
    <n v="1"/>
    <s v="Jun 2024"/>
    <n v="202406"/>
    <x v="26"/>
  </r>
  <r>
    <n v="4854570434"/>
    <n v="572163615"/>
    <s v="Mark Moss"/>
    <s v="austinjohnson@example.net"/>
    <n v="55176955"/>
    <n v="5822166150"/>
    <x v="1134"/>
    <d v="2025-10-05T10:12:54"/>
    <x v="0"/>
    <x v="1"/>
    <x v="2"/>
    <x v="5"/>
    <n v="12"/>
    <n v="602"/>
    <n v="0"/>
    <s v="Refund status or reversal timeline inquiry"/>
    <n v="673"/>
    <x v="0"/>
    <n v="1"/>
    <s v="Oct 2025"/>
    <n v="202510"/>
    <x v="8"/>
  </r>
  <r>
    <n v="4860111577"/>
    <n v="460015275"/>
    <s v="Timothy Johnson"/>
    <s v="cynthia05@example.org"/>
    <n v="10076758"/>
    <n v="1185010792"/>
    <x v="1135"/>
    <d v="2024-04-27T02:56:56"/>
    <x v="5"/>
    <x v="1"/>
    <x v="1"/>
    <x v="5"/>
    <n v="41"/>
    <n v="414"/>
    <n v="0"/>
    <s v="Refund status or reversal timeline inquiry"/>
    <n v="674"/>
    <x v="0"/>
    <n v="1"/>
    <s v="Apr 2024"/>
    <n v="202404"/>
    <x v="2"/>
  </r>
  <r>
    <n v="4875741885"/>
    <n v="210163669"/>
    <s v="Jennifer Houston"/>
    <s v="thomaskevin@example.net"/>
    <n v="88461803"/>
    <n v="6520394348"/>
    <x v="1136"/>
    <d v="2024-07-21T17:10:23"/>
    <x v="6"/>
    <x v="0"/>
    <x v="3"/>
    <x v="5"/>
    <n v="13"/>
    <n v="488"/>
    <n v="0"/>
    <s v="Customer reported intermittent service and repeat disruptions"/>
    <n v="676"/>
    <x v="0"/>
    <n v="1"/>
    <s v="Jul 2024"/>
    <n v="202407"/>
    <x v="23"/>
  </r>
  <r>
    <n v="4881678710"/>
    <n v="148578655"/>
    <s v="Brenda Hopkins"/>
    <s v="lovejustin@example.net"/>
    <n v="59684848"/>
    <m/>
    <x v="1137"/>
    <d v="2025-02-20T15:05:19"/>
    <x v="0"/>
    <x v="0"/>
    <x v="2"/>
    <x v="5"/>
    <n v="44"/>
    <n v="449"/>
    <n v="0"/>
    <s v="Customer reported intermittent service and repeat disruptions"/>
    <n v="677"/>
    <x v="0"/>
    <n v="1"/>
    <s v="Feb 2025"/>
    <n v="202502"/>
    <x v="14"/>
  </r>
  <r>
    <n v="4899205837"/>
    <n v="771112648"/>
    <s v="Ashley Ramirez"/>
    <s v="berrydebbie@example.net"/>
    <n v="19289546"/>
    <n v="2334871184"/>
    <x v="1138"/>
    <d v="2025-07-03T00:13:05"/>
    <x v="2"/>
    <x v="1"/>
    <x v="1"/>
    <x v="5"/>
    <n v="50"/>
    <n v="643"/>
    <n v="0"/>
    <s v="Refund status or reversal timeline inquiry"/>
    <n v="680"/>
    <x v="0"/>
    <n v="1"/>
    <s v="Jul 2025"/>
    <n v="202507"/>
    <x v="13"/>
  </r>
  <r>
    <n v="4903144440"/>
    <n v="975903641"/>
    <s v="Travis Price"/>
    <s v="stephen69@example.org"/>
    <n v="82394227"/>
    <m/>
    <x v="1139"/>
    <d v="2024-06-11T16:46:54"/>
    <x v="5"/>
    <x v="3"/>
    <x v="2"/>
    <x v="5"/>
    <n v="26"/>
    <n v="426"/>
    <n v="0"/>
    <s v="Shipment or installation appointment delayed beyond ETA"/>
    <n v="681"/>
    <x v="0"/>
    <n v="1"/>
    <s v="Jun 2024"/>
    <n v="202406"/>
    <x v="26"/>
  </r>
  <r>
    <n v="4920767083"/>
    <n v="871336275"/>
    <s v="Amanda Campbell"/>
    <s v="hallkelsey@example.org"/>
    <n v="22201654"/>
    <m/>
    <x v="1140"/>
    <d v="2024-08-27T05:29:57"/>
    <x v="1"/>
    <x v="4"/>
    <x v="2"/>
    <x v="5"/>
    <n v="75"/>
    <n v="645"/>
    <n v="0"/>
    <s v="Login, OTP, or password reset issue"/>
    <n v="682"/>
    <x v="0"/>
    <n v="1"/>
    <s v="Aug 2024"/>
    <n v="202408"/>
    <x v="18"/>
  </r>
  <r>
    <n v="4926083695"/>
    <n v="247395716"/>
    <s v="Carrie Daniels"/>
    <s v="mclaughlinjames@example.org"/>
    <n v="81971316"/>
    <m/>
    <x v="1141"/>
    <d v="2025-05-24T17:54:05"/>
    <x v="0"/>
    <x v="1"/>
    <x v="0"/>
    <x v="5"/>
    <n v="48"/>
    <n v="125"/>
    <n v="0"/>
    <s v="Refund status or reversal timeline inquiry"/>
    <n v="683"/>
    <x v="0"/>
    <n v="1"/>
    <s v="May 2025"/>
    <n v="202505"/>
    <x v="5"/>
  </r>
  <r>
    <n v="4954163864"/>
    <n v="512477736"/>
    <s v="Elizabeth Arellano"/>
    <s v="kathrynsantana@example.net"/>
    <n v="70897765"/>
    <n v="3282647005"/>
    <x v="1142"/>
    <d v="2025-12-07T17:34:36"/>
    <x v="0"/>
    <x v="1"/>
    <x v="3"/>
    <x v="5"/>
    <n v="9"/>
    <n v="672"/>
    <n v="0"/>
    <s v="Refund status or reversal timeline inquiry"/>
    <n v="685"/>
    <x v="0"/>
    <n v="1"/>
    <s v="Dec 2025"/>
    <n v="202512"/>
    <x v="21"/>
  </r>
  <r>
    <n v="4958203860"/>
    <n v="156361897"/>
    <s v="Lori Taylor"/>
    <s v="michelle95@example.org"/>
    <n v="11540956"/>
    <m/>
    <x v="1143"/>
    <d v="2025-01-02T07:16:57"/>
    <x v="3"/>
    <x v="1"/>
    <x v="2"/>
    <x v="5"/>
    <n v="17"/>
    <n v="322"/>
    <n v="0"/>
    <s v="Refund status or reversal timeline inquiry"/>
    <n v="687"/>
    <x v="0"/>
    <n v="1"/>
    <s v="Jan 2025"/>
    <n v="202501"/>
    <x v="16"/>
  </r>
  <r>
    <n v="4964036872"/>
    <n v="579678614"/>
    <s v="Mary Jones"/>
    <s v="udavis@example.net"/>
    <n v="57683626"/>
    <n v="1912995701"/>
    <x v="1144"/>
    <d v="2024-06-09T22:21:40"/>
    <x v="3"/>
    <x v="4"/>
    <x v="3"/>
    <x v="5"/>
    <n v="32"/>
    <n v="540"/>
    <n v="0"/>
    <s v="Login, OTP, or password reset issue"/>
    <n v="690"/>
    <x v="0"/>
    <n v="1"/>
    <s v="Jun 2024"/>
    <n v="202406"/>
    <x v="26"/>
  </r>
  <r>
    <n v="4967909438"/>
    <n v="530121245"/>
    <s v="James Thomas"/>
    <s v="adkinslauren@example.net"/>
    <n v="40587988"/>
    <m/>
    <x v="1145"/>
    <d v="2025-12-11T09:09:36"/>
    <x v="6"/>
    <x v="5"/>
    <x v="2"/>
    <x v="5"/>
    <n v="44"/>
    <n v="774"/>
    <n v="0"/>
    <s v="App, network, or device troubleshooting requested"/>
    <n v="691"/>
    <x v="0"/>
    <n v="1"/>
    <s v="Dec 2025"/>
    <n v="202512"/>
    <x v="21"/>
  </r>
  <r>
    <n v="4979566431"/>
    <n v="798510601"/>
    <s v="Matthew Miller"/>
    <s v="williamporter@example.net"/>
    <n v="45351479"/>
    <m/>
    <x v="1146"/>
    <d v="2025-01-04T17:27:13"/>
    <x v="3"/>
    <x v="5"/>
    <x v="0"/>
    <x v="5"/>
    <n v="26"/>
    <n v="302"/>
    <n v="0"/>
    <s v="App, network, or device troubleshooting requested"/>
    <n v="692"/>
    <x v="0"/>
    <n v="1"/>
    <s v="Jan 2025"/>
    <n v="202501"/>
    <x v="16"/>
  </r>
  <r>
    <n v="4982778388"/>
    <n v="143223380"/>
    <s v="Amanda Gardner"/>
    <s v="banksrenee@example.net"/>
    <n v="82383095"/>
    <m/>
    <x v="1147"/>
    <d v="2024-09-23T03:02:21"/>
    <x v="6"/>
    <x v="2"/>
    <x v="0"/>
    <x v="5"/>
    <n v="59"/>
    <n v="411"/>
    <n v="0"/>
    <s v="Customer questioned invoice amount and prorated charges"/>
    <n v="693"/>
    <x v="0"/>
    <n v="1"/>
    <s v="Sep 2024"/>
    <n v="202409"/>
    <x v="3"/>
  </r>
  <r>
    <n v="4983352173"/>
    <n v="634764290"/>
    <s v="Christopher Williams"/>
    <s v="carrie34@example.org"/>
    <n v="85345555"/>
    <n v="8788600364"/>
    <x v="1148"/>
    <d v="2025-07-31T13:47:35"/>
    <x v="3"/>
    <x v="1"/>
    <x v="3"/>
    <x v="5"/>
    <n v="40"/>
    <n v="128"/>
    <n v="0"/>
    <s v="Refund status or reversal timeline inquiry"/>
    <n v="694"/>
    <x v="0"/>
    <n v="1"/>
    <s v="Jul 2025"/>
    <n v="202507"/>
    <x v="13"/>
  </r>
  <r>
    <n v="5007273049"/>
    <n v="163525343"/>
    <s v="Jennifer Bruce"/>
    <s v="ecampos@example.net"/>
    <n v="60185867"/>
    <n v="2850733732"/>
    <x v="1149"/>
    <d v="2024-08-10T09:37:28"/>
    <x v="1"/>
    <x v="1"/>
    <x v="1"/>
    <x v="5"/>
    <n v="84"/>
    <n v="491"/>
    <n v="0"/>
    <s v="Refund status or reversal timeline inquiry"/>
    <n v="697"/>
    <x v="0"/>
    <n v="1"/>
    <s v="Aug 2024"/>
    <n v="202408"/>
    <x v="18"/>
  </r>
  <r>
    <n v="5009619919"/>
    <n v="677155220"/>
    <s v="Kurt Wells"/>
    <s v="tranrobert@example.org"/>
    <n v="28728463"/>
    <n v="3130137051"/>
    <x v="1150"/>
    <d v="2024-11-19T19:15:30"/>
    <x v="2"/>
    <x v="2"/>
    <x v="3"/>
    <x v="5"/>
    <n v="33"/>
    <n v="493"/>
    <n v="0"/>
    <s v="Customer questioned invoice amount and prorated charges"/>
    <n v="698"/>
    <x v="0"/>
    <n v="1"/>
    <s v="Nov 2024"/>
    <n v="202411"/>
    <x v="11"/>
  </r>
  <r>
    <n v="5029830872"/>
    <n v="322562836"/>
    <s v="Michelle Cobb"/>
    <s v="obrienjames@example.net"/>
    <n v="72043515"/>
    <m/>
    <x v="1151"/>
    <d v="2025-06-17T18:27:24"/>
    <x v="2"/>
    <x v="1"/>
    <x v="1"/>
    <x v="5"/>
    <n v="21"/>
    <n v="222"/>
    <n v="0"/>
    <s v="Refund status or reversal timeline inquiry"/>
    <n v="700"/>
    <x v="0"/>
    <n v="1"/>
    <s v="Jun 2025"/>
    <n v="202506"/>
    <x v="19"/>
  </r>
  <r>
    <n v="5084320126"/>
    <n v="871880418"/>
    <s v="Jessica Taylor"/>
    <s v="tsmith@example.org"/>
    <n v="19335534"/>
    <m/>
    <x v="1152"/>
    <d v="2025-07-13T02:36:44"/>
    <x v="3"/>
    <x v="3"/>
    <x v="2"/>
    <x v="5"/>
    <n v="11"/>
    <n v="615"/>
    <n v="0"/>
    <s v="Shipment or installation appointment delayed beyond ETA"/>
    <n v="710"/>
    <x v="0"/>
    <n v="1"/>
    <s v="Jul 2025"/>
    <n v="202507"/>
    <x v="13"/>
  </r>
  <r>
    <n v="5086141034"/>
    <n v="782546314"/>
    <s v="Gregory Dalton"/>
    <s v="stephenmartinez@example.net"/>
    <n v="33978249"/>
    <n v="1966088651"/>
    <x v="1153"/>
    <d v="2024-02-28T17:42:15"/>
    <x v="4"/>
    <x v="0"/>
    <x v="3"/>
    <x v="5"/>
    <n v="33"/>
    <n v="568"/>
    <n v="0"/>
    <s v="Customer reported intermittent service and repeat disruptions"/>
    <n v="711"/>
    <x v="0"/>
    <n v="1"/>
    <s v="Feb 2024"/>
    <n v="202402"/>
    <x v="7"/>
  </r>
  <r>
    <n v="5091875722"/>
    <n v="709844411"/>
    <s v="Laura Mosley"/>
    <s v="steelejoel@example.org"/>
    <n v="31472420"/>
    <m/>
    <x v="1154"/>
    <d v="2024-12-13T17:37:19"/>
    <x v="4"/>
    <x v="3"/>
    <x v="0"/>
    <x v="5"/>
    <n v="57"/>
    <n v="297"/>
    <n v="0"/>
    <s v="Shipment or installation appointment delayed beyond ETA"/>
    <n v="712"/>
    <x v="0"/>
    <n v="1"/>
    <s v="Dec 2024"/>
    <n v="202412"/>
    <x v="12"/>
  </r>
  <r>
    <n v="5115068398"/>
    <n v="251266214"/>
    <s v="Jennifer Conley"/>
    <s v="nicole24@example.com"/>
    <n v="45833156"/>
    <m/>
    <x v="1155"/>
    <d v="2024-07-22T23:04:18"/>
    <x v="0"/>
    <x v="4"/>
    <x v="2"/>
    <x v="5"/>
    <n v="35"/>
    <n v="714"/>
    <n v="0"/>
    <s v="Login, OTP, or password reset issue"/>
    <n v="714"/>
    <x v="0"/>
    <n v="1"/>
    <s v="Jul 2024"/>
    <n v="202407"/>
    <x v="23"/>
  </r>
  <r>
    <n v="5137490437"/>
    <n v="868847524"/>
    <s v="Kevin Marquez"/>
    <s v="nicoledavis@example.com"/>
    <n v="60185867"/>
    <m/>
    <x v="1156"/>
    <d v="2025-04-17T03:58:38"/>
    <x v="2"/>
    <x v="1"/>
    <x v="0"/>
    <x v="5"/>
    <n v="29"/>
    <n v="351"/>
    <n v="0"/>
    <s v="Refund status or reversal timeline inquiry"/>
    <n v="716"/>
    <x v="0"/>
    <n v="1"/>
    <s v="Apr 2025"/>
    <n v="202504"/>
    <x v="6"/>
  </r>
  <r>
    <n v="5145032329"/>
    <n v="423358638"/>
    <s v="Shawn Collins"/>
    <s v="reyesbrianna@example.org"/>
    <n v="24972279"/>
    <m/>
    <x v="1157"/>
    <d v="2025-07-26T15:08:29"/>
    <x v="0"/>
    <x v="4"/>
    <x v="0"/>
    <x v="5"/>
    <n v="15"/>
    <n v="23"/>
    <n v="0"/>
    <s v="Login, OTP, or password reset issue"/>
    <n v="719"/>
    <x v="0"/>
    <n v="1"/>
    <s v="Jul 2025"/>
    <n v="202507"/>
    <x v="13"/>
  </r>
  <r>
    <n v="5147636412"/>
    <n v="541156077"/>
    <s v="Kevin Thomas"/>
    <s v="kyle62@example.net"/>
    <n v="96977837"/>
    <n v="3584862196"/>
    <x v="1158"/>
    <d v="2024-04-25T05:38:07"/>
    <x v="3"/>
    <x v="4"/>
    <x v="2"/>
    <x v="5"/>
    <n v="57"/>
    <n v="563"/>
    <n v="0"/>
    <s v="Login, OTP, or password reset issue"/>
    <n v="720"/>
    <x v="0"/>
    <n v="1"/>
    <s v="Apr 2024"/>
    <n v="202404"/>
    <x v="2"/>
  </r>
  <r>
    <n v="5180830447"/>
    <n v="601873197"/>
    <s v="Jennifer Pierce"/>
    <s v="patrick26@example.com"/>
    <n v="45351479"/>
    <n v="8212634244"/>
    <x v="1159"/>
    <d v="2025-07-20T10:37:54"/>
    <x v="1"/>
    <x v="4"/>
    <x v="2"/>
    <x v="5"/>
    <n v="65"/>
    <n v="863"/>
    <n v="0"/>
    <s v="Login, OTP, or password reset issue"/>
    <n v="728"/>
    <x v="0"/>
    <n v="1"/>
    <s v="Jul 2025"/>
    <n v="202507"/>
    <x v="13"/>
  </r>
  <r>
    <n v="5197173007"/>
    <n v="590822013"/>
    <s v="Matthew Wright"/>
    <s v="elizabeth62@example.net"/>
    <n v="91734598"/>
    <n v="4393042281"/>
    <x v="1160"/>
    <d v="2025-12-02T02:49:02"/>
    <x v="3"/>
    <x v="5"/>
    <x v="0"/>
    <x v="5"/>
    <n v="43"/>
    <n v="430"/>
    <n v="0"/>
    <s v="App, network, or device troubleshooting requested"/>
    <n v="731"/>
    <x v="0"/>
    <n v="1"/>
    <s v="Dec 2025"/>
    <n v="202512"/>
    <x v="21"/>
  </r>
  <r>
    <n v="5204291609"/>
    <n v="794604127"/>
    <s v="Samantha Howard"/>
    <s v="michelle36@example.net"/>
    <n v="82394227"/>
    <m/>
    <x v="1161"/>
    <d v="2024-12-20T02:40:52"/>
    <x v="2"/>
    <x v="2"/>
    <x v="1"/>
    <x v="5"/>
    <n v="39"/>
    <n v="170"/>
    <n v="0"/>
    <s v="Customer questioned invoice amount and prorated charges"/>
    <n v="733"/>
    <x v="0"/>
    <n v="1"/>
    <s v="Dec 2024"/>
    <n v="202412"/>
    <x v="12"/>
  </r>
  <r>
    <n v="5241083889"/>
    <n v="391651334"/>
    <s v="Katherine Porter DVM"/>
    <s v="rodneynolan@example.com"/>
    <n v="70897765"/>
    <m/>
    <x v="1162"/>
    <d v="2024-01-02T03:27:56"/>
    <x v="1"/>
    <x v="5"/>
    <x v="1"/>
    <x v="5"/>
    <n v="36"/>
    <n v="41"/>
    <n v="0"/>
    <s v="App, network, or device troubleshooting requested"/>
    <n v="741"/>
    <x v="0"/>
    <n v="1"/>
    <s v="Jan 2024"/>
    <n v="202401"/>
    <x v="17"/>
  </r>
  <r>
    <n v="5241605559"/>
    <n v="330393232"/>
    <s v="Daniel Bryant"/>
    <s v="lisa28@example.net"/>
    <n v="42138745"/>
    <n v="2973065509"/>
    <x v="1163"/>
    <d v="2025-08-29T00:29:33"/>
    <x v="4"/>
    <x v="5"/>
    <x v="2"/>
    <x v="5"/>
    <n v="39"/>
    <n v="815"/>
    <n v="0"/>
    <s v="App, network, or device troubleshooting requested"/>
    <n v="742"/>
    <x v="0"/>
    <n v="1"/>
    <s v="Aug 2025"/>
    <n v="202508"/>
    <x v="22"/>
  </r>
  <r>
    <n v="5258488042"/>
    <n v="384172112"/>
    <s v="Laura Pennington"/>
    <s v="david59@example.net"/>
    <n v="89978790"/>
    <n v="4242668018"/>
    <x v="1164"/>
    <d v="2025-01-19T11:15:55"/>
    <x v="2"/>
    <x v="0"/>
    <x v="0"/>
    <x v="5"/>
    <n v="55"/>
    <n v="583"/>
    <n v="0"/>
    <s v="Customer reported intermittent service and repeat disruptions"/>
    <n v="743"/>
    <x v="0"/>
    <n v="1"/>
    <s v="Jan 2025"/>
    <n v="202501"/>
    <x v="16"/>
  </r>
  <r>
    <n v="5269267449"/>
    <n v="358480413"/>
    <s v="Nathan Mcgee"/>
    <s v="kwoods@example.com"/>
    <n v="20570592"/>
    <n v="1423644452"/>
    <x v="1165"/>
    <d v="2024-07-19T22:44:02"/>
    <x v="4"/>
    <x v="5"/>
    <x v="2"/>
    <x v="5"/>
    <n v="23"/>
    <n v="739"/>
    <n v="0"/>
    <s v="App, network, or device troubleshooting requested"/>
    <n v="746"/>
    <x v="0"/>
    <n v="1"/>
    <s v="Jul 2024"/>
    <n v="202407"/>
    <x v="23"/>
  </r>
  <r>
    <n v="5291841958"/>
    <n v="304853117"/>
    <s v="Sonya Simmons"/>
    <s v="veronica30@example.org"/>
    <n v="45551614"/>
    <n v="1267698902"/>
    <x v="1166"/>
    <d v="2025-02-01T10:11:41"/>
    <x v="4"/>
    <x v="3"/>
    <x v="0"/>
    <x v="5"/>
    <n v="5"/>
    <n v="708"/>
    <n v="0"/>
    <s v="Shipment or installation appointment delayed beyond ETA"/>
    <n v="750"/>
    <x v="0"/>
    <n v="1"/>
    <s v="Jan 2025"/>
    <n v="202501"/>
    <x v="16"/>
  </r>
  <r>
    <n v="5303521830"/>
    <n v="366338529"/>
    <s v="William Brandt"/>
    <s v="donaldmartin@example.net"/>
    <n v="20570592"/>
    <m/>
    <x v="1167"/>
    <d v="2024-11-01T19:33:00"/>
    <x v="6"/>
    <x v="1"/>
    <x v="2"/>
    <x v="5"/>
    <n v="51"/>
    <n v="79"/>
    <n v="0"/>
    <s v="Refund status or reversal timeline inquiry"/>
    <n v="751"/>
    <x v="0"/>
    <n v="1"/>
    <s v="Nov 2024"/>
    <n v="202411"/>
    <x v="11"/>
  </r>
  <r>
    <n v="5309841250"/>
    <n v="662982736"/>
    <s v="Kevin Berry"/>
    <s v="mcooper@example.com"/>
    <n v="39436733"/>
    <m/>
    <x v="1168"/>
    <d v="2024-11-21T04:45:11"/>
    <x v="6"/>
    <x v="0"/>
    <x v="2"/>
    <x v="5"/>
    <n v="73"/>
    <n v="739"/>
    <n v="0"/>
    <s v="Customer reported intermittent service and repeat disruptions"/>
    <n v="753"/>
    <x v="0"/>
    <n v="1"/>
    <s v="Nov 2024"/>
    <n v="202411"/>
    <x v="11"/>
  </r>
  <r>
    <n v="5311497955"/>
    <n v="502559419"/>
    <s v="Jonathan Wheeler"/>
    <s v="hatfieldsarah@example.org"/>
    <n v="19583482"/>
    <n v="6211814586"/>
    <x v="1169"/>
    <d v="2025-07-28T11:31:09"/>
    <x v="3"/>
    <x v="5"/>
    <x v="0"/>
    <x v="5"/>
    <n v="31"/>
    <n v="272"/>
    <n v="0"/>
    <s v="App, network, or device troubleshooting requested"/>
    <n v="754"/>
    <x v="0"/>
    <n v="1"/>
    <s v="Jul 2025"/>
    <n v="202507"/>
    <x v="13"/>
  </r>
  <r>
    <n v="5315093457"/>
    <n v="243247463"/>
    <s v="Anne Hardy"/>
    <s v="hlopez@example.net"/>
    <n v="73791320"/>
    <m/>
    <x v="1170"/>
    <d v="2024-05-02T13:31:22"/>
    <x v="2"/>
    <x v="1"/>
    <x v="3"/>
    <x v="5"/>
    <n v="4"/>
    <n v="332"/>
    <n v="0"/>
    <s v="Refund status or reversal timeline inquiry"/>
    <n v="756"/>
    <x v="0"/>
    <n v="1"/>
    <s v="May 2024"/>
    <n v="202405"/>
    <x v="24"/>
  </r>
  <r>
    <n v="5318085572"/>
    <n v="723464439"/>
    <s v="Kelly Rodriguez"/>
    <s v="lucassusan@example.org"/>
    <n v="38898923"/>
    <n v="9483870638"/>
    <x v="1171"/>
    <d v="2025-01-30T13:29:57"/>
    <x v="3"/>
    <x v="5"/>
    <x v="0"/>
    <x v="5"/>
    <n v="52"/>
    <n v="577"/>
    <n v="0"/>
    <s v="App, network, or device troubleshooting requested"/>
    <n v="757"/>
    <x v="0"/>
    <n v="1"/>
    <s v="Jan 2025"/>
    <n v="202501"/>
    <x v="16"/>
  </r>
  <r>
    <n v="5321976913"/>
    <n v="288436227"/>
    <s v="Larry Jackson"/>
    <s v="davidjackson@example.org"/>
    <n v="80823176"/>
    <n v="2393982645"/>
    <x v="1172"/>
    <d v="2024-01-05T02:03:41"/>
    <x v="6"/>
    <x v="3"/>
    <x v="0"/>
    <x v="5"/>
    <n v="11"/>
    <n v="245"/>
    <n v="0"/>
    <s v="Shipment or installation appointment delayed beyond ETA"/>
    <n v="760"/>
    <x v="0"/>
    <n v="1"/>
    <s v="Jan 2024"/>
    <n v="202401"/>
    <x v="17"/>
  </r>
  <r>
    <n v="5326418506"/>
    <n v="139019611"/>
    <s v="Kathryn Thomas"/>
    <s v="markperez@example.com"/>
    <n v="77187530"/>
    <m/>
    <x v="1173"/>
    <d v="2025-05-03T12:02:14"/>
    <x v="0"/>
    <x v="0"/>
    <x v="2"/>
    <x v="5"/>
    <n v="16"/>
    <n v="391"/>
    <n v="0"/>
    <s v="Customer reported intermittent service and repeat disruptions"/>
    <n v="762"/>
    <x v="0"/>
    <n v="1"/>
    <s v="May 2025"/>
    <n v="202505"/>
    <x v="5"/>
  </r>
  <r>
    <n v="5332911486"/>
    <n v="822113500"/>
    <s v="Theresa Harrington"/>
    <s v="twatts@example.com"/>
    <n v="57683626"/>
    <m/>
    <x v="1174"/>
    <d v="2025-07-26T07:21:42"/>
    <x v="1"/>
    <x v="5"/>
    <x v="1"/>
    <x v="5"/>
    <n v="13"/>
    <n v="437"/>
    <n v="0"/>
    <s v="App, network, or device troubleshooting requested"/>
    <n v="764"/>
    <x v="0"/>
    <n v="1"/>
    <s v="Jul 2025"/>
    <n v="202507"/>
    <x v="13"/>
  </r>
  <r>
    <n v="5338857120"/>
    <n v="602533479"/>
    <s v="James Harris"/>
    <s v="jessicasmith@example.org"/>
    <n v="45351479"/>
    <n v="9657101385"/>
    <x v="1175"/>
    <d v="2026-02-05T10:15:46"/>
    <x v="3"/>
    <x v="1"/>
    <x v="2"/>
    <x v="5"/>
    <n v="80"/>
    <n v="146"/>
    <n v="0"/>
    <s v="Refund status or reversal timeline inquiry"/>
    <n v="767"/>
    <x v="0"/>
    <n v="1"/>
    <s v="Feb 2026"/>
    <n v="202602"/>
    <x v="25"/>
  </r>
  <r>
    <n v="5358661821"/>
    <n v="148814238"/>
    <s v="Barbara Davis"/>
    <s v="dalejohnson@example.net"/>
    <n v="61220073"/>
    <m/>
    <x v="1176"/>
    <d v="2026-01-11T12:49:10"/>
    <x v="1"/>
    <x v="2"/>
    <x v="0"/>
    <x v="5"/>
    <n v="49"/>
    <n v="468"/>
    <n v="0"/>
    <s v="Customer questioned invoice amount and prorated charges"/>
    <n v="771"/>
    <x v="0"/>
    <n v="1"/>
    <s v="Jan 2026"/>
    <n v="202601"/>
    <x v="0"/>
  </r>
  <r>
    <n v="5374517318"/>
    <n v="288000513"/>
    <s v="Ricardo Morris"/>
    <s v="rodriguezrobert@example.com"/>
    <n v="58537831"/>
    <m/>
    <x v="1177"/>
    <d v="2025-07-29T07:55:12"/>
    <x v="2"/>
    <x v="5"/>
    <x v="0"/>
    <x v="5"/>
    <n v="56"/>
    <n v="145"/>
    <n v="0"/>
    <s v="App, network, or device troubleshooting requested"/>
    <n v="774"/>
    <x v="0"/>
    <n v="1"/>
    <s v="Jul 2025"/>
    <n v="202507"/>
    <x v="13"/>
  </r>
  <r>
    <n v="5377604860"/>
    <n v="108780419"/>
    <s v="Valerie Norman"/>
    <s v="laurenmathis@example.org"/>
    <n v="58718453"/>
    <m/>
    <x v="1178"/>
    <d v="2024-01-12T05:08:31"/>
    <x v="2"/>
    <x v="3"/>
    <x v="3"/>
    <x v="5"/>
    <n v="34"/>
    <n v="634"/>
    <n v="0"/>
    <s v="Shipment or installation appointment delayed beyond ETA"/>
    <n v="775"/>
    <x v="0"/>
    <n v="1"/>
    <s v="Jan 2024"/>
    <n v="202401"/>
    <x v="17"/>
  </r>
  <r>
    <n v="5379942591"/>
    <n v="417440983"/>
    <s v="Eugene Kirk"/>
    <s v="joseph51@example.net"/>
    <n v="28566572"/>
    <n v="4468132414"/>
    <x v="1179"/>
    <d v="2024-10-15T22:49:36"/>
    <x v="0"/>
    <x v="5"/>
    <x v="2"/>
    <x v="5"/>
    <n v="29"/>
    <n v="550"/>
    <n v="0"/>
    <s v="App, network, or device troubleshooting requested"/>
    <n v="776"/>
    <x v="0"/>
    <n v="1"/>
    <s v="Oct 2024"/>
    <n v="202410"/>
    <x v="1"/>
  </r>
  <r>
    <n v="5434046660"/>
    <n v="804344630"/>
    <s v="Manuel Jennings"/>
    <s v="johnsondavid@example.com"/>
    <n v="36998038"/>
    <n v="3029665156"/>
    <x v="1180"/>
    <d v="2025-07-22T20:38:33"/>
    <x v="1"/>
    <x v="4"/>
    <x v="1"/>
    <x v="5"/>
    <n v="91"/>
    <n v="755"/>
    <n v="0"/>
    <s v="Login, OTP, or password reset issue"/>
    <n v="787"/>
    <x v="0"/>
    <n v="1"/>
    <s v="Jul 2025"/>
    <n v="202507"/>
    <x v="13"/>
  </r>
  <r>
    <n v="5460836206"/>
    <n v="871588919"/>
    <s v="Cynthia Lambert"/>
    <s v="lauradyer@example.org"/>
    <n v="98753260"/>
    <n v="9506361521"/>
    <x v="1181"/>
    <d v="2024-12-11T09:24:39"/>
    <x v="4"/>
    <x v="2"/>
    <x v="0"/>
    <x v="5"/>
    <n v="37"/>
    <n v="327"/>
    <n v="0"/>
    <s v="Customer questioned invoice amount and prorated charges"/>
    <n v="793"/>
    <x v="0"/>
    <n v="1"/>
    <s v="Dec 2024"/>
    <n v="202412"/>
    <x v="12"/>
  </r>
  <r>
    <n v="5471700951"/>
    <n v="494435754"/>
    <s v="Anthony Medina"/>
    <s v="kristenwashington@example.org"/>
    <n v="52339391"/>
    <n v="5739956073"/>
    <x v="1182"/>
    <d v="2026-03-25T06:51:53"/>
    <x v="5"/>
    <x v="2"/>
    <x v="1"/>
    <x v="5"/>
    <n v="68"/>
    <n v="387"/>
    <n v="0"/>
    <s v="Customer questioned invoice amount and prorated charges"/>
    <n v="794"/>
    <x v="0"/>
    <n v="1"/>
    <s v="Mar 2026"/>
    <n v="202603"/>
    <x v="10"/>
  </r>
  <r>
    <n v="5478433261"/>
    <n v="599714064"/>
    <s v="Adam Johnson"/>
    <s v="jonmcdonald@example.org"/>
    <n v="10872248"/>
    <n v="9766195466"/>
    <x v="1183"/>
    <d v="2025-05-28T19:36:12"/>
    <x v="3"/>
    <x v="4"/>
    <x v="0"/>
    <x v="5"/>
    <n v="12"/>
    <n v="238"/>
    <n v="0"/>
    <s v="Login, OTP, or password reset issue"/>
    <n v="797"/>
    <x v="0"/>
    <n v="1"/>
    <s v="May 2025"/>
    <n v="202505"/>
    <x v="5"/>
  </r>
  <r>
    <n v="5478557378"/>
    <n v="644738967"/>
    <s v="Eric Cooper"/>
    <s v="qfitzgerald@example.org"/>
    <n v="40587988"/>
    <m/>
    <x v="1184"/>
    <d v="2024-06-04T13:59:52"/>
    <x v="3"/>
    <x v="1"/>
    <x v="0"/>
    <x v="5"/>
    <n v="14"/>
    <n v="382"/>
    <n v="0"/>
    <s v="Refund status or reversal timeline inquiry"/>
    <n v="798"/>
    <x v="0"/>
    <n v="1"/>
    <s v="Jun 2024"/>
    <n v="202406"/>
    <x v="26"/>
  </r>
  <r>
    <n v="5491218283"/>
    <n v="478918222"/>
    <s v="Morgan Lowery"/>
    <s v="alexandrabrown@example.org"/>
    <n v="51273847"/>
    <m/>
    <x v="1185"/>
    <d v="2025-01-10T13:36:46"/>
    <x v="1"/>
    <x v="4"/>
    <x v="0"/>
    <x v="5"/>
    <n v="38"/>
    <n v="61"/>
    <n v="0"/>
    <s v="Login, OTP, or password reset issue"/>
    <n v="801"/>
    <x v="0"/>
    <n v="1"/>
    <s v="Jan 2025"/>
    <n v="202501"/>
    <x v="16"/>
  </r>
  <r>
    <n v="5500086353"/>
    <n v="788755699"/>
    <s v="Charles Smith"/>
    <s v="lorisandoval@example.org"/>
    <n v="51837852"/>
    <m/>
    <x v="1186"/>
    <d v="2025-11-25T15:24:07"/>
    <x v="0"/>
    <x v="4"/>
    <x v="1"/>
    <x v="5"/>
    <n v="21"/>
    <n v="450"/>
    <n v="0"/>
    <s v="Login, OTP, or password reset issue"/>
    <n v="805"/>
    <x v="0"/>
    <n v="1"/>
    <s v="Nov 2025"/>
    <n v="202511"/>
    <x v="4"/>
  </r>
  <r>
    <n v="5532828602"/>
    <n v="665359037"/>
    <s v="Keith Jennings"/>
    <s v="lozanojulie@example.com"/>
    <n v="88320463"/>
    <n v="8469337898"/>
    <x v="1187"/>
    <d v="2024-03-22T20:08:55"/>
    <x v="5"/>
    <x v="3"/>
    <x v="2"/>
    <x v="5"/>
    <n v="59"/>
    <n v="755"/>
    <n v="0"/>
    <s v="Shipment or installation appointment delayed beyond ETA"/>
    <n v="808"/>
    <x v="0"/>
    <n v="1"/>
    <s v="Mar 2024"/>
    <n v="202403"/>
    <x v="15"/>
  </r>
  <r>
    <n v="5546178608"/>
    <n v="747233283"/>
    <s v="Paige Baird"/>
    <s v="sarah17@example.com"/>
    <n v="33978249"/>
    <m/>
    <x v="1188"/>
    <d v="2026-01-27T19:08:06"/>
    <x v="1"/>
    <x v="4"/>
    <x v="3"/>
    <x v="5"/>
    <n v="24"/>
    <n v="493"/>
    <n v="0"/>
    <s v="Login, OTP, or password reset issue"/>
    <n v="811"/>
    <x v="0"/>
    <n v="1"/>
    <s v="Jan 2026"/>
    <n v="202601"/>
    <x v="0"/>
  </r>
  <r>
    <n v="5555027660"/>
    <n v="527385805"/>
    <s v="Alexander Rice"/>
    <s v="hscott@example.org"/>
    <n v="47338124"/>
    <m/>
    <x v="1189"/>
    <d v="2024-08-22T10:55:37"/>
    <x v="0"/>
    <x v="3"/>
    <x v="0"/>
    <x v="5"/>
    <n v="17"/>
    <n v="152"/>
    <n v="0"/>
    <s v="Shipment or installation appointment delayed beyond ETA"/>
    <n v="813"/>
    <x v="0"/>
    <n v="1"/>
    <s v="Aug 2024"/>
    <n v="202408"/>
    <x v="18"/>
  </r>
  <r>
    <n v="5564668052"/>
    <n v="470838810"/>
    <s v="Justin Day"/>
    <s v="douglas11@example.net"/>
    <n v="38538251"/>
    <m/>
    <x v="1190"/>
    <d v="2025-07-15T14:39:35"/>
    <x v="6"/>
    <x v="3"/>
    <x v="0"/>
    <x v="5"/>
    <n v="35"/>
    <n v="446"/>
    <n v="0"/>
    <s v="Shipment or installation appointment delayed beyond ETA"/>
    <n v="815"/>
    <x v="0"/>
    <n v="1"/>
    <s v="Jul 2025"/>
    <n v="202507"/>
    <x v="13"/>
  </r>
  <r>
    <n v="5593301898"/>
    <n v="830261466"/>
    <s v="John Sanchez"/>
    <s v="courtney10@example.org"/>
    <n v="53524491"/>
    <m/>
    <x v="1191"/>
    <d v="2024-04-15T04:35:24"/>
    <x v="1"/>
    <x v="5"/>
    <x v="0"/>
    <x v="5"/>
    <n v="54"/>
    <n v="365"/>
    <n v="0"/>
    <s v="App, network, or device troubleshooting requested"/>
    <n v="820"/>
    <x v="0"/>
    <n v="1"/>
    <s v="Apr 2024"/>
    <n v="202404"/>
    <x v="2"/>
  </r>
  <r>
    <n v="5594447367"/>
    <n v="975903641"/>
    <s v="Travis Price"/>
    <s v="stephen69@example.org"/>
    <n v="43101783"/>
    <n v="1477886699"/>
    <x v="1192"/>
    <d v="2025-07-14T14:43:36"/>
    <x v="5"/>
    <x v="3"/>
    <x v="0"/>
    <x v="5"/>
    <n v="28"/>
    <n v="465"/>
    <n v="0"/>
    <s v="Shipment or installation appointment delayed beyond ETA"/>
    <n v="821"/>
    <x v="0"/>
    <n v="1"/>
    <s v="Jul 2025"/>
    <n v="202507"/>
    <x v="13"/>
  </r>
  <r>
    <n v="5601062139"/>
    <n v="802506364"/>
    <s v="Allison Simmons"/>
    <s v="jnguyen@example.net"/>
    <n v="19289546"/>
    <m/>
    <x v="1193"/>
    <d v="2024-11-04T02:39:26"/>
    <x v="4"/>
    <x v="0"/>
    <x v="2"/>
    <x v="5"/>
    <n v="77"/>
    <n v="503"/>
    <n v="0"/>
    <s v="Customer reported intermittent service and repeat disruptions"/>
    <n v="823"/>
    <x v="0"/>
    <n v="1"/>
    <s v="Nov 2024"/>
    <n v="202411"/>
    <x v="11"/>
  </r>
  <r>
    <n v="5612511036"/>
    <n v="956084565"/>
    <s v="Jason Gonzalez"/>
    <s v="charlesrichards@example.org"/>
    <n v="13356886"/>
    <n v="8634689853"/>
    <x v="1194"/>
    <d v="2025-05-28T14:57:06"/>
    <x v="2"/>
    <x v="2"/>
    <x v="2"/>
    <x v="5"/>
    <n v="19"/>
    <n v="721"/>
    <n v="0"/>
    <s v="Customer questioned invoice amount and prorated charges"/>
    <n v="825"/>
    <x v="0"/>
    <n v="1"/>
    <s v="May 2025"/>
    <n v="202505"/>
    <x v="5"/>
  </r>
  <r>
    <n v="5618570260"/>
    <n v="613962746"/>
    <s v="Joshua Marsh"/>
    <s v="markduran@example.com"/>
    <n v="47338124"/>
    <m/>
    <x v="1195"/>
    <d v="2024-07-13T08:43:18"/>
    <x v="4"/>
    <x v="4"/>
    <x v="1"/>
    <x v="5"/>
    <n v="52"/>
    <n v="141"/>
    <n v="0"/>
    <s v="Login, OTP, or password reset issue"/>
    <n v="827"/>
    <x v="0"/>
    <n v="1"/>
    <s v="Jul 2024"/>
    <n v="202407"/>
    <x v="23"/>
  </r>
  <r>
    <n v="5646936821"/>
    <n v="893112954"/>
    <s v="Tony Huerta"/>
    <s v="danielle64@example.com"/>
    <n v="52235350"/>
    <n v="8591506799"/>
    <x v="1196"/>
    <d v="2024-07-12T12:38:32"/>
    <x v="6"/>
    <x v="1"/>
    <x v="0"/>
    <x v="5"/>
    <n v="25"/>
    <n v="281"/>
    <n v="0"/>
    <s v="Refund status or reversal timeline inquiry"/>
    <n v="829"/>
    <x v="0"/>
    <n v="1"/>
    <s v="Jul 2024"/>
    <n v="202407"/>
    <x v="23"/>
  </r>
  <r>
    <n v="5655887998"/>
    <n v="756569565"/>
    <s v="James Rice"/>
    <s v="ryandodson@example.org"/>
    <n v="39345092"/>
    <m/>
    <x v="1197"/>
    <d v="2024-11-01T08:37:24"/>
    <x v="2"/>
    <x v="2"/>
    <x v="0"/>
    <x v="5"/>
    <n v="42"/>
    <n v="397"/>
    <n v="0"/>
    <s v="Customer questioned invoice amount and prorated charges"/>
    <n v="830"/>
    <x v="0"/>
    <n v="1"/>
    <s v="Nov 2024"/>
    <n v="202411"/>
    <x v="11"/>
  </r>
  <r>
    <n v="5668116847"/>
    <n v="527589822"/>
    <s v="Fernando Thomas"/>
    <s v="audrey21@example.com"/>
    <n v="75228535"/>
    <n v="3390012828"/>
    <x v="1198"/>
    <d v="2025-12-01T12:13:46"/>
    <x v="1"/>
    <x v="1"/>
    <x v="0"/>
    <x v="5"/>
    <n v="46"/>
    <n v="524"/>
    <n v="0"/>
    <s v="Refund status or reversal timeline inquiry"/>
    <n v="831"/>
    <x v="0"/>
    <n v="1"/>
    <s v="Dec 2025"/>
    <n v="202512"/>
    <x v="21"/>
  </r>
  <r>
    <n v="5681718803"/>
    <n v="586989309"/>
    <s v="Lisa Flynn"/>
    <s v="lee16@example.com"/>
    <n v="81016525"/>
    <m/>
    <x v="1199"/>
    <d v="2024-07-19T14:51:04"/>
    <x v="1"/>
    <x v="5"/>
    <x v="0"/>
    <x v="5"/>
    <n v="16"/>
    <n v="125"/>
    <n v="0"/>
    <s v="App, network, or device troubleshooting requested"/>
    <n v="832"/>
    <x v="0"/>
    <n v="1"/>
    <s v="Jul 2024"/>
    <n v="202407"/>
    <x v="23"/>
  </r>
  <r>
    <n v="5683391352"/>
    <n v="768737754"/>
    <s v="Peggy Carr"/>
    <s v="timothyfreeman@example.com"/>
    <n v="42868828"/>
    <m/>
    <x v="1200"/>
    <d v="2025-07-24T01:52:35"/>
    <x v="1"/>
    <x v="0"/>
    <x v="2"/>
    <x v="5"/>
    <n v="22"/>
    <n v="400"/>
    <n v="0"/>
    <s v="Customer reported intermittent service and repeat disruptions"/>
    <n v="834"/>
    <x v="0"/>
    <n v="1"/>
    <s v="Jul 2025"/>
    <n v="202507"/>
    <x v="13"/>
  </r>
  <r>
    <n v="5695059044"/>
    <n v="855438611"/>
    <s v="Lisa King"/>
    <s v="gregory51@example.com"/>
    <n v="97971488"/>
    <m/>
    <x v="1201"/>
    <d v="2024-01-05T22:17:53"/>
    <x v="6"/>
    <x v="5"/>
    <x v="0"/>
    <x v="5"/>
    <n v="31"/>
    <n v="482"/>
    <n v="0"/>
    <s v="App, network, or device troubleshooting requested"/>
    <n v="836"/>
    <x v="0"/>
    <n v="1"/>
    <s v="Jan 2024"/>
    <n v="202401"/>
    <x v="17"/>
  </r>
  <r>
    <n v="5717859996"/>
    <n v="644738967"/>
    <s v="Eric Cooper"/>
    <s v="qfitzgerald@example.org"/>
    <n v="52339391"/>
    <n v="6717968085"/>
    <x v="1202"/>
    <d v="2024-10-28T17:14:54"/>
    <x v="1"/>
    <x v="4"/>
    <x v="0"/>
    <x v="5"/>
    <n v="6"/>
    <n v="743"/>
    <n v="0"/>
    <s v="Login, OTP, or password reset issue"/>
    <n v="838"/>
    <x v="0"/>
    <n v="1"/>
    <s v="Oct 2024"/>
    <n v="202410"/>
    <x v="1"/>
  </r>
  <r>
    <n v="5720777989"/>
    <n v="426551245"/>
    <s v="Steven White"/>
    <s v="davisrachel@example.com"/>
    <n v="87490893"/>
    <m/>
    <x v="1203"/>
    <d v="2024-10-18T14:39:57"/>
    <x v="1"/>
    <x v="3"/>
    <x v="3"/>
    <x v="5"/>
    <n v="62"/>
    <n v="286"/>
    <n v="0"/>
    <s v="Shipment or installation appointment delayed beyond ETA"/>
    <n v="839"/>
    <x v="0"/>
    <n v="1"/>
    <s v="Oct 2024"/>
    <n v="202410"/>
    <x v="1"/>
  </r>
  <r>
    <n v="5737160587"/>
    <n v="230833665"/>
    <s v="Carmen Meadows"/>
    <s v="osmith@example.net"/>
    <n v="78387461"/>
    <m/>
    <x v="1204"/>
    <d v="2026-01-05T00:23:28"/>
    <x v="4"/>
    <x v="0"/>
    <x v="2"/>
    <x v="5"/>
    <n v="43"/>
    <n v="510"/>
    <n v="0"/>
    <s v="Customer reported intermittent service and repeat disruptions"/>
    <n v="842"/>
    <x v="0"/>
    <n v="1"/>
    <s v="Jan 2026"/>
    <n v="202601"/>
    <x v="0"/>
  </r>
  <r>
    <n v="5749304490"/>
    <n v="419367188"/>
    <s v="Jill Rosario"/>
    <s v="wcox@example.net"/>
    <n v="59684848"/>
    <m/>
    <x v="1205"/>
    <d v="2026-02-04T04:55:03"/>
    <x v="2"/>
    <x v="5"/>
    <x v="0"/>
    <x v="5"/>
    <n v="32"/>
    <n v="700"/>
    <n v="0"/>
    <s v="App, network, or device troubleshooting requested"/>
    <n v="844"/>
    <x v="0"/>
    <n v="1"/>
    <s v="Feb 2026"/>
    <n v="202602"/>
    <x v="25"/>
  </r>
  <r>
    <n v="5756160606"/>
    <n v="415429295"/>
    <s v="Anthony Davidson"/>
    <s v="kimberlywang@example.org"/>
    <n v="40742311"/>
    <n v="6780272082"/>
    <x v="1206"/>
    <d v="2025-05-30T13:32:05"/>
    <x v="0"/>
    <x v="2"/>
    <x v="0"/>
    <x v="5"/>
    <n v="35"/>
    <n v="971"/>
    <n v="0"/>
    <s v="Customer questioned invoice amount and prorated charges"/>
    <n v="846"/>
    <x v="0"/>
    <n v="1"/>
    <s v="May 2025"/>
    <n v="202505"/>
    <x v="5"/>
  </r>
  <r>
    <n v="5764802229"/>
    <n v="449019278"/>
    <s v="William Murphy"/>
    <s v="kanesarah@example.net"/>
    <n v="96282117"/>
    <m/>
    <x v="1207"/>
    <d v="2026-03-27T09:00:52"/>
    <x v="4"/>
    <x v="1"/>
    <x v="1"/>
    <x v="5"/>
    <n v="84"/>
    <n v="89"/>
    <n v="0"/>
    <s v="Refund status or reversal timeline inquiry"/>
    <n v="847"/>
    <x v="0"/>
    <n v="1"/>
    <s v="Mar 2026"/>
    <n v="202603"/>
    <x v="10"/>
  </r>
  <r>
    <n v="5769303937"/>
    <n v="912477810"/>
    <s v="Amanda Pace"/>
    <s v="morganharris@example.com"/>
    <n v="25014631"/>
    <m/>
    <x v="1208"/>
    <d v="2025-03-22T14:39:08"/>
    <x v="5"/>
    <x v="2"/>
    <x v="2"/>
    <x v="5"/>
    <n v="10"/>
    <n v="451"/>
    <n v="0"/>
    <s v="Customer questioned invoice amount and prorated charges"/>
    <n v="848"/>
    <x v="0"/>
    <n v="1"/>
    <s v="Mar 2025"/>
    <n v="202503"/>
    <x v="20"/>
  </r>
  <r>
    <n v="5770287032"/>
    <n v="694018597"/>
    <s v="Jeanne Lee"/>
    <s v="chad42@example.com"/>
    <n v="17774584"/>
    <n v="8621906659"/>
    <x v="1209"/>
    <d v="2024-09-08T08:20:28"/>
    <x v="2"/>
    <x v="0"/>
    <x v="2"/>
    <x v="5"/>
    <n v="44"/>
    <n v="554"/>
    <n v="0"/>
    <s v="Customer reported intermittent service and repeat disruptions"/>
    <n v="849"/>
    <x v="0"/>
    <n v="1"/>
    <s v="Sep 2024"/>
    <n v="202409"/>
    <x v="3"/>
  </r>
  <r>
    <n v="5779301737"/>
    <n v="253308283"/>
    <s v="Christopher Mcdonald"/>
    <s v="carneysara@example.org"/>
    <n v="12614124"/>
    <n v="1446939534"/>
    <x v="1210"/>
    <d v="2024-04-03T13:03:23"/>
    <x v="1"/>
    <x v="4"/>
    <x v="2"/>
    <x v="5"/>
    <n v="51"/>
    <n v="510"/>
    <n v="0"/>
    <s v="Login, OTP, or password reset issue"/>
    <n v="853"/>
    <x v="0"/>
    <n v="1"/>
    <s v="Apr 2024"/>
    <n v="202404"/>
    <x v="2"/>
  </r>
  <r>
    <n v="5796744687"/>
    <n v="739750911"/>
    <s v="Richard Murray"/>
    <s v="beverly97@example.org"/>
    <n v="28728463"/>
    <m/>
    <x v="1211"/>
    <d v="2026-01-03T18:56:29"/>
    <x v="0"/>
    <x v="4"/>
    <x v="0"/>
    <x v="5"/>
    <n v="5"/>
    <n v="551"/>
    <n v="0"/>
    <s v="Login, OTP, or password reset issue"/>
    <n v="857"/>
    <x v="0"/>
    <n v="1"/>
    <s v="Jan 2026"/>
    <n v="202601"/>
    <x v="0"/>
  </r>
  <r>
    <n v="5853407612"/>
    <n v="271784435"/>
    <s v="Brandi Mcclain"/>
    <s v="carpenterjorge@example.net"/>
    <n v="30513739"/>
    <n v="8206651996"/>
    <x v="1212"/>
    <d v="2024-12-19T17:58:37"/>
    <x v="6"/>
    <x v="5"/>
    <x v="2"/>
    <x v="5"/>
    <n v="47"/>
    <n v="499"/>
    <n v="0"/>
    <s v="App, network, or device troubleshooting requested"/>
    <n v="862"/>
    <x v="0"/>
    <n v="1"/>
    <s v="Dec 2024"/>
    <n v="202412"/>
    <x v="12"/>
  </r>
  <r>
    <n v="5872391496"/>
    <n v="636954564"/>
    <s v="Austin Holmes"/>
    <s v="montgomerygeoffrey@example.com"/>
    <n v="77827638"/>
    <m/>
    <x v="1213"/>
    <d v="2024-01-21T05:43:49"/>
    <x v="6"/>
    <x v="0"/>
    <x v="2"/>
    <x v="5"/>
    <n v="23"/>
    <n v="1021"/>
    <n v="0"/>
    <s v="Customer reported intermittent service and repeat disruptions"/>
    <n v="866"/>
    <x v="0"/>
    <n v="1"/>
    <s v="Jan 2024"/>
    <n v="202401"/>
    <x v="17"/>
  </r>
  <r>
    <n v="5889232540"/>
    <n v="778556450"/>
    <s v="Joshua Howard"/>
    <s v="rgarcia@example.net"/>
    <n v="20570592"/>
    <m/>
    <x v="1214"/>
    <d v="2025-11-24T03:00:34"/>
    <x v="6"/>
    <x v="0"/>
    <x v="1"/>
    <x v="5"/>
    <n v="22"/>
    <n v="448"/>
    <n v="0"/>
    <s v="Customer reported intermittent service and repeat disruptions"/>
    <n v="872"/>
    <x v="0"/>
    <n v="1"/>
    <s v="Nov 2025"/>
    <n v="202511"/>
    <x v="4"/>
  </r>
  <r>
    <n v="5907901744"/>
    <n v="546270451"/>
    <s v="Jeremy Martinez"/>
    <s v="hphillips@example.net"/>
    <n v="84252722"/>
    <m/>
    <x v="1215"/>
    <d v="2024-01-07T17:37:22"/>
    <x v="0"/>
    <x v="1"/>
    <x v="2"/>
    <x v="5"/>
    <n v="40"/>
    <n v="533"/>
    <n v="0"/>
    <s v="Refund status or reversal timeline inquiry"/>
    <n v="875"/>
    <x v="0"/>
    <n v="1"/>
    <s v="Jan 2024"/>
    <n v="202401"/>
    <x v="17"/>
  </r>
  <r>
    <n v="5911579270"/>
    <n v="233654018"/>
    <s v="Megan Kaiser"/>
    <s v="amy01@example.org"/>
    <n v="94374605"/>
    <m/>
    <x v="1216"/>
    <d v="2024-09-29T03:52:16"/>
    <x v="0"/>
    <x v="2"/>
    <x v="2"/>
    <x v="5"/>
    <n v="2"/>
    <n v="617"/>
    <n v="0"/>
    <s v="Customer questioned invoice amount and prorated charges"/>
    <n v="876"/>
    <x v="0"/>
    <n v="1"/>
    <s v="Sep 2024"/>
    <n v="202409"/>
    <x v="3"/>
  </r>
  <r>
    <n v="5927294039"/>
    <n v="478918222"/>
    <s v="Morgan Lowery"/>
    <s v="alexandrabrown@example.org"/>
    <n v="15831819"/>
    <n v="3217337132"/>
    <x v="1217"/>
    <d v="2024-09-14T13:54:33"/>
    <x v="5"/>
    <x v="0"/>
    <x v="2"/>
    <x v="5"/>
    <n v="20"/>
    <n v="442"/>
    <n v="0"/>
    <s v="Customer reported intermittent service and repeat disruptions"/>
    <n v="877"/>
    <x v="0"/>
    <n v="1"/>
    <s v="Sep 2024"/>
    <n v="202409"/>
    <x v="3"/>
  </r>
  <r>
    <n v="5934491213"/>
    <n v="869801588"/>
    <s v="Jeffrey Gonzalez"/>
    <s v="robertgentry@example.org"/>
    <n v="16150444"/>
    <n v="6252965310"/>
    <x v="1218"/>
    <d v="2024-06-14T23:31:58"/>
    <x v="2"/>
    <x v="3"/>
    <x v="0"/>
    <x v="5"/>
    <n v="1"/>
    <n v="280"/>
    <n v="0"/>
    <s v="Shipment or installation appointment delayed beyond ETA"/>
    <n v="878"/>
    <x v="0"/>
    <n v="1"/>
    <s v="Jun 2024"/>
    <n v="202406"/>
    <x v="26"/>
  </r>
  <r>
    <n v="5963057354"/>
    <n v="488149273"/>
    <s v="Henry Rivera"/>
    <s v="smithmonica@example.com"/>
    <n v="83793389"/>
    <m/>
    <x v="1219"/>
    <d v="2025-10-29T04:44:55"/>
    <x v="6"/>
    <x v="2"/>
    <x v="0"/>
    <x v="5"/>
    <n v="72"/>
    <n v="774"/>
    <n v="0"/>
    <s v="Customer questioned invoice amount and prorated charges"/>
    <n v="882"/>
    <x v="0"/>
    <n v="1"/>
    <s v="Oct 2025"/>
    <n v="202510"/>
    <x v="8"/>
  </r>
  <r>
    <n v="5965308273"/>
    <n v="523625992"/>
    <s v="Jeanette Brown"/>
    <s v="umcclure@example.com"/>
    <n v="52339391"/>
    <m/>
    <x v="1220"/>
    <d v="2025-04-19T01:18:13"/>
    <x v="3"/>
    <x v="5"/>
    <x v="2"/>
    <x v="5"/>
    <n v="26"/>
    <n v="31"/>
    <n v="0"/>
    <s v="App, network, or device troubleshooting requested"/>
    <n v="883"/>
    <x v="0"/>
    <n v="1"/>
    <s v="Apr 2025"/>
    <n v="202504"/>
    <x v="6"/>
  </r>
  <r>
    <n v="5969504517"/>
    <n v="768737754"/>
    <s v="Peggy Carr"/>
    <s v="timothyfreeman@example.com"/>
    <n v="75579548"/>
    <m/>
    <x v="1221"/>
    <d v="2024-12-03T04:13:05"/>
    <x v="1"/>
    <x v="0"/>
    <x v="2"/>
    <x v="5"/>
    <n v="67"/>
    <n v="205"/>
    <n v="0"/>
    <s v="Customer reported intermittent service and repeat disruptions"/>
    <n v="885"/>
    <x v="0"/>
    <n v="1"/>
    <s v="Dec 2024"/>
    <n v="202412"/>
    <x v="12"/>
  </r>
  <r>
    <n v="5979301743"/>
    <n v="841419015"/>
    <s v="Samuel Moore"/>
    <s v="crawfordjeffrey@example.com"/>
    <n v="88461803"/>
    <m/>
    <x v="1222"/>
    <d v="2025-11-11T15:37:04"/>
    <x v="2"/>
    <x v="4"/>
    <x v="0"/>
    <x v="5"/>
    <n v="39"/>
    <n v="577"/>
    <n v="0"/>
    <s v="Login, OTP, or password reset issue"/>
    <n v="886"/>
    <x v="0"/>
    <n v="1"/>
    <s v="Nov 2025"/>
    <n v="202511"/>
    <x v="4"/>
  </r>
  <r>
    <n v="5980276724"/>
    <n v="495521185"/>
    <s v="Jesus Randolph"/>
    <s v="davidfields@example.net"/>
    <n v="60992979"/>
    <m/>
    <x v="1223"/>
    <d v="2024-06-06T12:18:16"/>
    <x v="2"/>
    <x v="5"/>
    <x v="2"/>
    <x v="5"/>
    <n v="45"/>
    <n v="913"/>
    <n v="0"/>
    <s v="App, network, or device troubleshooting requested"/>
    <n v="887"/>
    <x v="0"/>
    <n v="1"/>
    <s v="Jun 2024"/>
    <n v="202406"/>
    <x v="26"/>
  </r>
  <r>
    <n v="5991616188"/>
    <n v="855438611"/>
    <s v="Lisa King"/>
    <s v="gregory51@example.com"/>
    <n v="94214382"/>
    <m/>
    <x v="1224"/>
    <d v="2025-03-02T04:02:07"/>
    <x v="3"/>
    <x v="5"/>
    <x v="1"/>
    <x v="5"/>
    <n v="46"/>
    <n v="707"/>
    <n v="0"/>
    <s v="App, network, or device troubleshooting requested"/>
    <n v="889"/>
    <x v="0"/>
    <n v="1"/>
    <s v="Mar 2025"/>
    <n v="202503"/>
    <x v="20"/>
  </r>
  <r>
    <n v="6017731924"/>
    <n v="604803700"/>
    <s v="Debra Valentine"/>
    <s v="victorgonzalez@example.net"/>
    <n v="55176955"/>
    <n v="2112658672"/>
    <x v="1225"/>
    <d v="2024-08-02T07:05:09"/>
    <x v="3"/>
    <x v="3"/>
    <x v="1"/>
    <x v="5"/>
    <n v="36"/>
    <n v="997"/>
    <n v="0"/>
    <s v="Shipment or installation appointment delayed beyond ETA"/>
    <n v="893"/>
    <x v="0"/>
    <n v="1"/>
    <s v="Aug 2024"/>
    <n v="202408"/>
    <x v="18"/>
  </r>
  <r>
    <n v="6032178997"/>
    <n v="447464644"/>
    <s v="Brett Newman"/>
    <s v="patriciagrant@example.net"/>
    <n v="63606628"/>
    <m/>
    <x v="1226"/>
    <d v="2025-02-13T17:10:54"/>
    <x v="4"/>
    <x v="4"/>
    <x v="0"/>
    <x v="5"/>
    <n v="87"/>
    <n v="456"/>
    <n v="0"/>
    <s v="Login, OTP, or password reset issue"/>
    <n v="894"/>
    <x v="0"/>
    <n v="1"/>
    <s v="Feb 2025"/>
    <n v="202502"/>
    <x v="14"/>
  </r>
  <r>
    <n v="6055318806"/>
    <n v="442648079"/>
    <s v="Raymond Mccarthy"/>
    <s v="larry85@example.net"/>
    <n v="99949389"/>
    <m/>
    <x v="1227"/>
    <d v="2025-09-14T11:44:28"/>
    <x v="1"/>
    <x v="3"/>
    <x v="2"/>
    <x v="5"/>
    <n v="36"/>
    <n v="98"/>
    <n v="0"/>
    <s v="Shipment or installation appointment delayed beyond ETA"/>
    <n v="896"/>
    <x v="0"/>
    <n v="1"/>
    <s v="Sep 2025"/>
    <n v="202509"/>
    <x v="9"/>
  </r>
  <r>
    <n v="6064374162"/>
    <n v="817029885"/>
    <s v="Valerie Kim"/>
    <s v="caleb43@example.org"/>
    <n v="58966946"/>
    <m/>
    <x v="1228"/>
    <d v="2026-03-08T06:26:06"/>
    <x v="5"/>
    <x v="0"/>
    <x v="3"/>
    <x v="5"/>
    <n v="20"/>
    <n v="855"/>
    <n v="0"/>
    <s v="Customer reported intermittent service and repeat disruptions"/>
    <n v="899"/>
    <x v="0"/>
    <n v="1"/>
    <s v="Mar 2026"/>
    <n v="202603"/>
    <x v="10"/>
  </r>
  <r>
    <n v="6065743990"/>
    <n v="217687031"/>
    <s v="Jacqueline Winters"/>
    <s v="malikfowler@example.com"/>
    <n v="28566572"/>
    <n v="3065210717"/>
    <x v="1229"/>
    <d v="2025-09-25T22:42:58"/>
    <x v="5"/>
    <x v="4"/>
    <x v="3"/>
    <x v="5"/>
    <n v="17"/>
    <n v="344"/>
    <n v="0"/>
    <s v="Login, OTP, or password reset issue"/>
    <n v="900"/>
    <x v="0"/>
    <n v="1"/>
    <s v="Sep 2025"/>
    <n v="202509"/>
    <x v="9"/>
  </r>
  <r>
    <n v="6072045757"/>
    <n v="470585534"/>
    <s v="Joshua Miller"/>
    <s v="harriswendy@example.org"/>
    <n v="14308421"/>
    <m/>
    <x v="1230"/>
    <d v="2025-05-21T06:30:24"/>
    <x v="1"/>
    <x v="1"/>
    <x v="1"/>
    <x v="5"/>
    <n v="33"/>
    <n v="236"/>
    <n v="0"/>
    <s v="Refund status or reversal timeline inquiry"/>
    <n v="902"/>
    <x v="0"/>
    <n v="1"/>
    <s v="May 2025"/>
    <n v="202505"/>
    <x v="5"/>
  </r>
  <r>
    <n v="6073103831"/>
    <n v="208599066"/>
    <s v="Kyle Francis"/>
    <s v="michellehill@example.com"/>
    <n v="42329237"/>
    <m/>
    <x v="1231"/>
    <d v="2024-07-04T10:26:21"/>
    <x v="2"/>
    <x v="4"/>
    <x v="2"/>
    <x v="5"/>
    <n v="38"/>
    <n v="669"/>
    <n v="0"/>
    <s v="Login, OTP, or password reset issue"/>
    <n v="904"/>
    <x v="0"/>
    <n v="1"/>
    <s v="Jul 2024"/>
    <n v="202407"/>
    <x v="23"/>
  </r>
  <r>
    <n v="6083264777"/>
    <n v="855954847"/>
    <s v="John Tate"/>
    <s v="lindsay63@example.com"/>
    <n v="42329237"/>
    <m/>
    <x v="1232"/>
    <d v="2025-04-04T20:19:07"/>
    <x v="5"/>
    <x v="2"/>
    <x v="3"/>
    <x v="5"/>
    <n v="69"/>
    <n v="1007"/>
    <n v="0"/>
    <s v="Customer questioned invoice amount and prorated charges"/>
    <n v="907"/>
    <x v="0"/>
    <n v="1"/>
    <s v="Apr 2025"/>
    <n v="202504"/>
    <x v="6"/>
  </r>
  <r>
    <n v="6122407316"/>
    <n v="675583372"/>
    <s v="Stacey Hunt"/>
    <s v="jennifer83@example.org"/>
    <n v="31429110"/>
    <n v="5842292127"/>
    <x v="1233"/>
    <d v="2025-12-15T16:44:20"/>
    <x v="3"/>
    <x v="3"/>
    <x v="0"/>
    <x v="5"/>
    <n v="53"/>
    <n v="413"/>
    <n v="0"/>
    <s v="Shipment or installation appointment delayed beyond ETA"/>
    <n v="914"/>
    <x v="0"/>
    <n v="1"/>
    <s v="Dec 2025"/>
    <n v="202512"/>
    <x v="21"/>
  </r>
  <r>
    <n v="6139331578"/>
    <n v="831424323"/>
    <s v="Andrew Chavez"/>
    <s v="brianmarquez@example.com"/>
    <n v="99949389"/>
    <m/>
    <x v="1234"/>
    <d v="2024-01-07T00:23:25"/>
    <x v="2"/>
    <x v="2"/>
    <x v="2"/>
    <x v="5"/>
    <n v="3"/>
    <n v="472"/>
    <n v="0"/>
    <s v="Customer questioned invoice amount and prorated charges"/>
    <n v="915"/>
    <x v="0"/>
    <n v="1"/>
    <s v="Jan 2024"/>
    <n v="202401"/>
    <x v="17"/>
  </r>
  <r>
    <n v="6145222573"/>
    <n v="856975382"/>
    <s v="Alexis Barker"/>
    <s v="thomas74@example.net"/>
    <n v="43744231"/>
    <n v="6499884316"/>
    <x v="1235"/>
    <d v="2025-12-16T17:38:04"/>
    <x v="2"/>
    <x v="4"/>
    <x v="0"/>
    <x v="5"/>
    <n v="41"/>
    <n v="568"/>
    <n v="0"/>
    <s v="Login, OTP, or password reset issue"/>
    <n v="917"/>
    <x v="0"/>
    <n v="1"/>
    <s v="Dec 2025"/>
    <n v="202512"/>
    <x v="21"/>
  </r>
  <r>
    <n v="6151550425"/>
    <n v="982252092"/>
    <s v="Christopher Rodriguez"/>
    <s v="fernandoobrien@example.org"/>
    <n v="71586053"/>
    <m/>
    <x v="1236"/>
    <d v="2024-02-19T21:08:00"/>
    <x v="6"/>
    <x v="4"/>
    <x v="0"/>
    <x v="5"/>
    <n v="9"/>
    <n v="495"/>
    <n v="0"/>
    <s v="Login, OTP, or password reset issue"/>
    <n v="918"/>
    <x v="0"/>
    <n v="1"/>
    <s v="Feb 2024"/>
    <n v="202402"/>
    <x v="7"/>
  </r>
  <r>
    <n v="6160832745"/>
    <n v="369085407"/>
    <s v="Dennis White"/>
    <s v="snydermichael@example.org"/>
    <n v="32162965"/>
    <n v="6427666706"/>
    <x v="1237"/>
    <d v="2024-03-16T13:08:33"/>
    <x v="4"/>
    <x v="0"/>
    <x v="2"/>
    <x v="5"/>
    <n v="75"/>
    <n v="492"/>
    <n v="0"/>
    <s v="Customer reported intermittent service and repeat disruptions"/>
    <n v="919"/>
    <x v="0"/>
    <n v="1"/>
    <s v="Mar 2024"/>
    <n v="202403"/>
    <x v="15"/>
  </r>
  <r>
    <n v="6174309086"/>
    <n v="193133974"/>
    <s v="Kristin Flores"/>
    <s v="michaelmontes@example.com"/>
    <n v="39476249"/>
    <n v="2431229740"/>
    <x v="1238"/>
    <d v="2024-10-27T19:26:05"/>
    <x v="4"/>
    <x v="2"/>
    <x v="2"/>
    <x v="5"/>
    <n v="53"/>
    <n v="523"/>
    <n v="0"/>
    <s v="Customer questioned invoice amount and prorated charges"/>
    <n v="921"/>
    <x v="0"/>
    <n v="1"/>
    <s v="Oct 2024"/>
    <n v="202410"/>
    <x v="1"/>
  </r>
  <r>
    <n v="6180205939"/>
    <n v="590687732"/>
    <s v="Tiffany Miller"/>
    <s v="lsmith@example.com"/>
    <n v="91030736"/>
    <n v="7506506106"/>
    <x v="1239"/>
    <d v="2024-03-24T20:04:43"/>
    <x v="2"/>
    <x v="0"/>
    <x v="0"/>
    <x v="5"/>
    <n v="32"/>
    <n v="451"/>
    <n v="0"/>
    <s v="Customer reported intermittent service and repeat disruptions"/>
    <n v="922"/>
    <x v="0"/>
    <n v="1"/>
    <s v="Mar 2024"/>
    <n v="202403"/>
    <x v="15"/>
  </r>
  <r>
    <n v="6230296253"/>
    <n v="496115351"/>
    <s v="Erik Bartlett DVM"/>
    <s v="haileybates@example.org"/>
    <n v="42868828"/>
    <m/>
    <x v="1240"/>
    <d v="2025-04-29T15:03:27"/>
    <x v="3"/>
    <x v="0"/>
    <x v="3"/>
    <x v="5"/>
    <n v="65"/>
    <n v="230"/>
    <n v="0"/>
    <s v="Customer reported intermittent service and repeat disruptions"/>
    <n v="926"/>
    <x v="0"/>
    <n v="1"/>
    <s v="Apr 2025"/>
    <n v="202504"/>
    <x v="6"/>
  </r>
  <r>
    <n v="6235669481"/>
    <n v="581682167"/>
    <s v="Amanda Smith"/>
    <s v="stephanie15@example.org"/>
    <n v="72043515"/>
    <m/>
    <x v="1241"/>
    <d v="2025-01-01T21:54:08"/>
    <x v="5"/>
    <x v="1"/>
    <x v="2"/>
    <x v="5"/>
    <n v="76"/>
    <n v="348"/>
    <n v="0"/>
    <s v="Refund status or reversal timeline inquiry"/>
    <n v="927"/>
    <x v="0"/>
    <n v="1"/>
    <s v="Jan 2025"/>
    <n v="202501"/>
    <x v="16"/>
  </r>
  <r>
    <n v="6241468593"/>
    <n v="356805216"/>
    <s v="Elijah Moore"/>
    <s v="laurahicks@example.org"/>
    <n v="80823176"/>
    <m/>
    <x v="1242"/>
    <d v="2024-06-23T17:25:15"/>
    <x v="0"/>
    <x v="2"/>
    <x v="2"/>
    <x v="5"/>
    <n v="37"/>
    <n v="503"/>
    <n v="0"/>
    <s v="Customer questioned invoice amount and prorated charges"/>
    <n v="929"/>
    <x v="0"/>
    <n v="1"/>
    <s v="Jun 2024"/>
    <n v="202406"/>
    <x v="26"/>
  </r>
  <r>
    <n v="6254707267"/>
    <n v="480412754"/>
    <s v="Nicholas Le"/>
    <s v="zking@example.com"/>
    <n v="45551614"/>
    <m/>
    <x v="1243"/>
    <d v="2025-04-19T07:39:48"/>
    <x v="2"/>
    <x v="3"/>
    <x v="1"/>
    <x v="5"/>
    <n v="93"/>
    <n v="161"/>
    <n v="0"/>
    <s v="Shipment or installation appointment delayed beyond ETA"/>
    <n v="931"/>
    <x v="0"/>
    <n v="1"/>
    <s v="Apr 2025"/>
    <n v="202504"/>
    <x v="6"/>
  </r>
  <r>
    <n v="6262297731"/>
    <n v="423358638"/>
    <s v="Shawn Collins"/>
    <s v="reyesbrianna@example.org"/>
    <n v="76238574"/>
    <m/>
    <x v="1244"/>
    <d v="2026-03-16T19:36:49"/>
    <x v="5"/>
    <x v="5"/>
    <x v="2"/>
    <x v="5"/>
    <n v="58"/>
    <n v="149"/>
    <n v="0"/>
    <s v="App, network, or device troubleshooting requested"/>
    <n v="932"/>
    <x v="0"/>
    <n v="1"/>
    <s v="Mar 2026"/>
    <n v="202603"/>
    <x v="10"/>
  </r>
  <r>
    <n v="6262826596"/>
    <n v="958287383"/>
    <s v="Kristopher Shannon"/>
    <s v="stephanielittle@example.net"/>
    <n v="28740864"/>
    <n v="4102194933"/>
    <x v="1245"/>
    <d v="2025-11-21T19:00:28"/>
    <x v="1"/>
    <x v="3"/>
    <x v="0"/>
    <x v="5"/>
    <n v="18"/>
    <n v="775"/>
    <n v="0"/>
    <s v="Shipment or installation appointment delayed beyond ETA"/>
    <n v="933"/>
    <x v="0"/>
    <n v="1"/>
    <s v="Nov 2025"/>
    <n v="202511"/>
    <x v="4"/>
  </r>
  <r>
    <n v="6275375921"/>
    <n v="117439966"/>
    <s v="Erik Delgado"/>
    <s v="catherine64@example.com"/>
    <n v="52339391"/>
    <m/>
    <x v="1246"/>
    <d v="2024-03-27T18:16:44"/>
    <x v="6"/>
    <x v="5"/>
    <x v="0"/>
    <x v="5"/>
    <n v="8"/>
    <n v="348"/>
    <n v="0"/>
    <s v="App, network, or device troubleshooting requested"/>
    <n v="935"/>
    <x v="0"/>
    <n v="1"/>
    <s v="Mar 2024"/>
    <n v="202403"/>
    <x v="15"/>
  </r>
  <r>
    <n v="6284790737"/>
    <n v="645127678"/>
    <s v="Phillip Bennett"/>
    <s v="molly39@example.com"/>
    <n v="27232410"/>
    <m/>
    <x v="1247"/>
    <d v="2026-02-14T01:14:15"/>
    <x v="4"/>
    <x v="1"/>
    <x v="3"/>
    <x v="5"/>
    <n v="13"/>
    <n v="119"/>
    <n v="0"/>
    <s v="Refund status or reversal timeline inquiry"/>
    <n v="936"/>
    <x v="0"/>
    <n v="1"/>
    <s v="Feb 2026"/>
    <n v="202602"/>
    <x v="25"/>
  </r>
  <r>
    <n v="6286787774"/>
    <n v="190060226"/>
    <s v="Luke Yates"/>
    <s v="millereric@example.net"/>
    <n v="70855700"/>
    <m/>
    <x v="1248"/>
    <d v="2024-02-28T15:31:56"/>
    <x v="6"/>
    <x v="5"/>
    <x v="0"/>
    <x v="5"/>
    <n v="78"/>
    <n v="753"/>
    <n v="0"/>
    <s v="App, network, or device troubleshooting requested"/>
    <n v="937"/>
    <x v="0"/>
    <n v="1"/>
    <s v="Feb 2024"/>
    <n v="202402"/>
    <x v="7"/>
  </r>
  <r>
    <n v="6296431102"/>
    <n v="893158610"/>
    <s v="Anthony Neal"/>
    <s v="lmartin@example.org"/>
    <n v="94214382"/>
    <m/>
    <x v="1249"/>
    <d v="2025-04-09T15:44:13"/>
    <x v="4"/>
    <x v="2"/>
    <x v="2"/>
    <x v="5"/>
    <n v="38"/>
    <n v="166"/>
    <n v="0"/>
    <s v="Customer questioned invoice amount and prorated charges"/>
    <n v="939"/>
    <x v="0"/>
    <n v="1"/>
    <s v="Apr 2025"/>
    <n v="202504"/>
    <x v="6"/>
  </r>
  <r>
    <n v="6303762545"/>
    <n v="245737277"/>
    <s v="Shane Torres"/>
    <s v="porterdonna@example.com"/>
    <n v="46913810"/>
    <m/>
    <x v="1250"/>
    <d v="2024-10-02T19:20:45"/>
    <x v="1"/>
    <x v="0"/>
    <x v="1"/>
    <x v="5"/>
    <n v="63"/>
    <n v="362"/>
    <n v="0"/>
    <s v="Customer reported intermittent service and repeat disruptions"/>
    <n v="943"/>
    <x v="0"/>
    <n v="1"/>
    <s v="Oct 2024"/>
    <n v="202410"/>
    <x v="1"/>
  </r>
  <r>
    <n v="6325691567"/>
    <n v="219385981"/>
    <s v="Karen Shepard"/>
    <s v="william28@example.org"/>
    <n v="95320121"/>
    <m/>
    <x v="1251"/>
    <d v="2024-05-20T23:33:21"/>
    <x v="3"/>
    <x v="4"/>
    <x v="0"/>
    <x v="5"/>
    <n v="25"/>
    <n v="561"/>
    <n v="0"/>
    <s v="Login, OTP, or password reset issue"/>
    <n v="948"/>
    <x v="0"/>
    <n v="1"/>
    <s v="May 2024"/>
    <n v="202405"/>
    <x v="24"/>
  </r>
  <r>
    <n v="6346712044"/>
    <n v="694875990"/>
    <s v="Kimberly Burnett"/>
    <s v="lbrown@example.net"/>
    <n v="84252722"/>
    <m/>
    <x v="1252"/>
    <d v="2025-06-07T02:24:23"/>
    <x v="6"/>
    <x v="5"/>
    <x v="0"/>
    <x v="5"/>
    <n v="32"/>
    <n v="423"/>
    <n v="0"/>
    <s v="App, network, or device troubleshooting requested"/>
    <n v="949"/>
    <x v="0"/>
    <n v="1"/>
    <s v="Jun 2025"/>
    <n v="202506"/>
    <x v="19"/>
  </r>
  <r>
    <n v="6370353498"/>
    <n v="480412754"/>
    <s v="Nicholas Le"/>
    <s v="zking@example.com"/>
    <n v="43101783"/>
    <m/>
    <x v="1253"/>
    <d v="2024-05-27T14:20:48"/>
    <x v="4"/>
    <x v="0"/>
    <x v="2"/>
    <x v="5"/>
    <n v="42"/>
    <n v="397"/>
    <n v="0"/>
    <s v="Customer reported intermittent service and repeat disruptions"/>
    <n v="953"/>
    <x v="0"/>
    <n v="1"/>
    <s v="May 2024"/>
    <n v="202405"/>
    <x v="24"/>
  </r>
  <r>
    <n v="6376760111"/>
    <n v="438868427"/>
    <s v="Elizabeth Warren"/>
    <s v="danielglover@example.org"/>
    <n v="33978249"/>
    <n v="8604576329"/>
    <x v="1254"/>
    <d v="2025-07-09T19:03:39"/>
    <x v="0"/>
    <x v="1"/>
    <x v="3"/>
    <x v="5"/>
    <n v="48"/>
    <n v="636"/>
    <n v="0"/>
    <s v="Refund status or reversal timeline inquiry"/>
    <n v="955"/>
    <x v="0"/>
    <n v="1"/>
    <s v="Jul 2025"/>
    <n v="202507"/>
    <x v="13"/>
  </r>
  <r>
    <n v="6380145199"/>
    <n v="881155839"/>
    <s v="Jordan Duffy"/>
    <s v="smithlinda@example.com"/>
    <n v="22981052"/>
    <m/>
    <x v="1255"/>
    <d v="2024-03-03T14:58:19"/>
    <x v="6"/>
    <x v="4"/>
    <x v="2"/>
    <x v="5"/>
    <n v="61"/>
    <n v="125"/>
    <n v="0"/>
    <s v="Login, OTP, or password reset issue"/>
    <n v="956"/>
    <x v="0"/>
    <n v="1"/>
    <s v="Mar 2024"/>
    <n v="202403"/>
    <x v="15"/>
  </r>
  <r>
    <n v="6384338030"/>
    <n v="402550088"/>
    <s v="Rebecca Hill"/>
    <s v="berryamy@example.com"/>
    <n v="19583482"/>
    <m/>
    <x v="1256"/>
    <d v="2024-01-19T03:15:07"/>
    <x v="1"/>
    <x v="4"/>
    <x v="0"/>
    <x v="5"/>
    <n v="2"/>
    <n v="231"/>
    <n v="0"/>
    <s v="Login, OTP, or password reset issue"/>
    <n v="957"/>
    <x v="0"/>
    <n v="1"/>
    <s v="Jan 2024"/>
    <n v="202401"/>
    <x v="17"/>
  </r>
  <r>
    <n v="6389700417"/>
    <n v="488149273"/>
    <s v="Henry Rivera"/>
    <s v="smithmonica@example.com"/>
    <n v="57683626"/>
    <n v="1240504531"/>
    <x v="1257"/>
    <d v="2024-12-08T20:36:33"/>
    <x v="6"/>
    <x v="1"/>
    <x v="1"/>
    <x v="5"/>
    <n v="36"/>
    <n v="346"/>
    <n v="0"/>
    <s v="Refund status or reversal timeline inquiry"/>
    <n v="958"/>
    <x v="0"/>
    <n v="1"/>
    <s v="Dec 2024"/>
    <n v="202412"/>
    <x v="12"/>
  </r>
  <r>
    <n v="6398066617"/>
    <n v="288000513"/>
    <s v="Ricardo Morris"/>
    <s v="rodriguezrobert@example.com"/>
    <n v="38317637"/>
    <n v="5513609342"/>
    <x v="1258"/>
    <d v="2024-05-20T23:50:01"/>
    <x v="4"/>
    <x v="3"/>
    <x v="2"/>
    <x v="5"/>
    <n v="63"/>
    <n v="454"/>
    <n v="0"/>
    <s v="Shipment or installation appointment delayed beyond ETA"/>
    <n v="960"/>
    <x v="0"/>
    <n v="1"/>
    <s v="May 2024"/>
    <n v="202405"/>
    <x v="24"/>
  </r>
  <r>
    <n v="6407956109"/>
    <n v="151329185"/>
    <s v="Anthony Mooney"/>
    <s v="mitchellchristopher@example.net"/>
    <n v="12614124"/>
    <m/>
    <x v="1259"/>
    <d v="2024-06-10T09:53:13"/>
    <x v="0"/>
    <x v="3"/>
    <x v="3"/>
    <x v="5"/>
    <n v="33"/>
    <n v="274"/>
    <n v="0"/>
    <s v="Shipment or installation appointment delayed beyond ETA"/>
    <n v="962"/>
    <x v="0"/>
    <n v="1"/>
    <s v="Jun 2024"/>
    <n v="202406"/>
    <x v="26"/>
  </r>
  <r>
    <n v="6409861789"/>
    <n v="271092615"/>
    <s v="Mary Hill"/>
    <s v="ogeorge@example.com"/>
    <n v="17507864"/>
    <m/>
    <x v="1260"/>
    <d v="2024-12-06T04:01:00"/>
    <x v="5"/>
    <x v="3"/>
    <x v="0"/>
    <x v="5"/>
    <n v="25"/>
    <n v="675"/>
    <n v="0"/>
    <s v="Shipment or installation appointment delayed beyond ETA"/>
    <n v="963"/>
    <x v="0"/>
    <n v="1"/>
    <s v="Dec 2024"/>
    <n v="202412"/>
    <x v="12"/>
  </r>
  <r>
    <n v="6413591995"/>
    <n v="676267306"/>
    <s v="Jason Foster"/>
    <s v="hyates@example.org"/>
    <n v="72043515"/>
    <m/>
    <x v="1261"/>
    <d v="2024-07-04T22:43:29"/>
    <x v="5"/>
    <x v="4"/>
    <x v="2"/>
    <x v="5"/>
    <n v="80"/>
    <n v="403"/>
    <n v="0"/>
    <s v="Login, OTP, or password reset issue"/>
    <n v="964"/>
    <x v="0"/>
    <n v="1"/>
    <s v="Jul 2024"/>
    <n v="202407"/>
    <x v="23"/>
  </r>
  <r>
    <n v="6434083257"/>
    <n v="695016134"/>
    <s v="Kelly Mclaughlin"/>
    <s v="calhounandrea@example.net"/>
    <n v="81498611"/>
    <n v="9667651430"/>
    <x v="1262"/>
    <d v="2025-08-08T19:30:00"/>
    <x v="4"/>
    <x v="3"/>
    <x v="2"/>
    <x v="5"/>
    <n v="43"/>
    <n v="241"/>
    <n v="0"/>
    <s v="Shipment or installation appointment delayed beyond ETA"/>
    <n v="965"/>
    <x v="0"/>
    <n v="1"/>
    <s v="Aug 2025"/>
    <n v="202508"/>
    <x v="22"/>
  </r>
  <r>
    <n v="6451319739"/>
    <n v="340777602"/>
    <s v="Michelle Kane"/>
    <s v="andersonlaura@example.com"/>
    <n v="66661351"/>
    <m/>
    <x v="1263"/>
    <d v="2025-01-02T19:31:04"/>
    <x v="0"/>
    <x v="2"/>
    <x v="1"/>
    <x v="5"/>
    <n v="73"/>
    <n v="627"/>
    <n v="0"/>
    <s v="Customer questioned invoice amount and prorated charges"/>
    <n v="968"/>
    <x v="0"/>
    <n v="1"/>
    <s v="Jan 2025"/>
    <n v="202501"/>
    <x v="16"/>
  </r>
  <r>
    <n v="6458740756"/>
    <n v="691957561"/>
    <s v="Michele Bennett"/>
    <s v="hortonroger@example.org"/>
    <n v="81971316"/>
    <n v="3080288209"/>
    <x v="1264"/>
    <d v="2025-08-20T08:18:54"/>
    <x v="4"/>
    <x v="2"/>
    <x v="1"/>
    <x v="5"/>
    <n v="30"/>
    <n v="278"/>
    <n v="0"/>
    <s v="Customer questioned invoice amount and prorated charges"/>
    <n v="970"/>
    <x v="0"/>
    <n v="1"/>
    <s v="Aug 2025"/>
    <n v="202508"/>
    <x v="22"/>
  </r>
  <r>
    <n v="6460522214"/>
    <n v="605288784"/>
    <s v="Chad Brady"/>
    <s v="tiffany62@example.org"/>
    <n v="41227216"/>
    <m/>
    <x v="1265"/>
    <d v="2024-04-29T12:17:24"/>
    <x v="2"/>
    <x v="3"/>
    <x v="2"/>
    <x v="5"/>
    <n v="57"/>
    <n v="509"/>
    <n v="0"/>
    <s v="Shipment or installation appointment delayed beyond ETA"/>
    <n v="971"/>
    <x v="0"/>
    <n v="1"/>
    <s v="Apr 2024"/>
    <n v="202404"/>
    <x v="2"/>
  </r>
  <r>
    <n v="6472086746"/>
    <n v="690404558"/>
    <s v="Scott Washington"/>
    <s v="linda52@example.org"/>
    <n v="60806024"/>
    <n v="6473572695"/>
    <x v="1266"/>
    <d v="2025-09-17T11:26:21"/>
    <x v="4"/>
    <x v="0"/>
    <x v="1"/>
    <x v="5"/>
    <n v="32"/>
    <n v="488"/>
    <n v="0"/>
    <s v="Customer reported intermittent service and repeat disruptions"/>
    <n v="972"/>
    <x v="0"/>
    <n v="1"/>
    <s v="Sep 2025"/>
    <n v="202509"/>
    <x v="9"/>
  </r>
  <r>
    <n v="6473167257"/>
    <n v="559242868"/>
    <s v="Elizabeth Miller"/>
    <s v="jacob69@example.org"/>
    <n v="81016525"/>
    <m/>
    <x v="1267"/>
    <d v="2025-09-30T04:09:43"/>
    <x v="0"/>
    <x v="2"/>
    <x v="0"/>
    <x v="5"/>
    <n v="35"/>
    <n v="178"/>
    <n v="0"/>
    <s v="Customer questioned invoice amount and prorated charges"/>
    <n v="973"/>
    <x v="0"/>
    <n v="1"/>
    <s v="Sep 2025"/>
    <n v="202509"/>
    <x v="9"/>
  </r>
  <r>
    <n v="6498979427"/>
    <n v="685698675"/>
    <s v="Dylan Raymond"/>
    <s v="laurenchandler@example.com"/>
    <n v="22575562"/>
    <n v="5993358302"/>
    <x v="1268"/>
    <d v="2025-07-06T01:48:57"/>
    <x v="3"/>
    <x v="5"/>
    <x v="2"/>
    <x v="5"/>
    <n v="68"/>
    <n v="701"/>
    <n v="0"/>
    <s v="App, network, or device troubleshooting requested"/>
    <n v="974"/>
    <x v="0"/>
    <n v="1"/>
    <s v="Jul 2025"/>
    <n v="202507"/>
    <x v="13"/>
  </r>
  <r>
    <n v="6543950854"/>
    <n v="741288486"/>
    <s v="Anthony Harmon"/>
    <s v="reesethomas@example.com"/>
    <n v="30868105"/>
    <m/>
    <x v="1269"/>
    <d v="2026-02-02T03:52:43"/>
    <x v="5"/>
    <x v="4"/>
    <x v="2"/>
    <x v="5"/>
    <n v="6"/>
    <n v="303"/>
    <n v="0"/>
    <s v="Login, OTP, or password reset issue"/>
    <n v="978"/>
    <x v="0"/>
    <n v="1"/>
    <s v="Feb 2026"/>
    <n v="202602"/>
    <x v="25"/>
  </r>
  <r>
    <n v="6559524388"/>
    <n v="198476695"/>
    <s v="Tina Hall"/>
    <s v="lsoto@example.net"/>
    <n v="28728463"/>
    <m/>
    <x v="1270"/>
    <d v="2025-03-27T13:47:23"/>
    <x v="4"/>
    <x v="1"/>
    <x v="1"/>
    <x v="5"/>
    <n v="37"/>
    <n v="793"/>
    <n v="0"/>
    <s v="Refund status or reversal timeline inquiry"/>
    <n v="980"/>
    <x v="0"/>
    <n v="1"/>
    <s v="Mar 2025"/>
    <n v="202503"/>
    <x v="20"/>
  </r>
  <r>
    <n v="6582795032"/>
    <n v="514838889"/>
    <s v="Jon Garza"/>
    <s v="dalton78@example.net"/>
    <n v="96977837"/>
    <m/>
    <x v="1271"/>
    <d v="2024-02-13T05:06:49"/>
    <x v="3"/>
    <x v="4"/>
    <x v="0"/>
    <x v="5"/>
    <n v="38"/>
    <n v="299"/>
    <n v="0"/>
    <s v="Login, OTP, or password reset issue"/>
    <n v="983"/>
    <x v="0"/>
    <n v="1"/>
    <s v="Feb 2024"/>
    <n v="202402"/>
    <x v="7"/>
  </r>
  <r>
    <n v="6599445068"/>
    <n v="760725160"/>
    <s v="Brian Harris"/>
    <s v="robertspencer@example.net"/>
    <n v="22575562"/>
    <m/>
    <x v="1272"/>
    <d v="2026-01-14T18:48:10"/>
    <x v="3"/>
    <x v="2"/>
    <x v="0"/>
    <x v="5"/>
    <n v="44"/>
    <n v="895"/>
    <n v="0"/>
    <s v="Customer questioned invoice amount and prorated charges"/>
    <n v="984"/>
    <x v="0"/>
    <n v="1"/>
    <s v="Jan 2026"/>
    <n v="202601"/>
    <x v="0"/>
  </r>
  <r>
    <n v="6614623134"/>
    <n v="902425085"/>
    <s v="Richard Kelly"/>
    <s v="champton@example.org"/>
    <n v="16150444"/>
    <m/>
    <x v="1273"/>
    <d v="2025-03-06T21:50:36"/>
    <x v="4"/>
    <x v="4"/>
    <x v="3"/>
    <x v="5"/>
    <n v="67"/>
    <n v="192"/>
    <n v="0"/>
    <s v="Login, OTP, or password reset issue"/>
    <n v="987"/>
    <x v="0"/>
    <n v="1"/>
    <s v="Mar 2025"/>
    <n v="202503"/>
    <x v="20"/>
  </r>
  <r>
    <n v="6635240019"/>
    <n v="411612760"/>
    <s v="Ariel Gentry"/>
    <s v="francisco82@example.org"/>
    <n v="63551839"/>
    <m/>
    <x v="1274"/>
    <d v="2025-03-03T01:30:36"/>
    <x v="5"/>
    <x v="5"/>
    <x v="2"/>
    <x v="5"/>
    <n v="22"/>
    <n v="91"/>
    <n v="0"/>
    <s v="App, network, or device troubleshooting requested"/>
    <n v="989"/>
    <x v="0"/>
    <n v="1"/>
    <s v="Mar 2025"/>
    <n v="202503"/>
    <x v="20"/>
  </r>
  <r>
    <n v="6654463618"/>
    <n v="318927025"/>
    <s v="Christine Murray"/>
    <s v="benjaminbrown@example.org"/>
    <n v="45264581"/>
    <n v="9682559090"/>
    <x v="1275"/>
    <d v="2026-01-27T02:09:50"/>
    <x v="6"/>
    <x v="3"/>
    <x v="2"/>
    <x v="5"/>
    <n v="27"/>
    <n v="377"/>
    <n v="0"/>
    <s v="Shipment or installation appointment delayed beyond ETA"/>
    <n v="991"/>
    <x v="0"/>
    <n v="1"/>
    <s v="Jan 2026"/>
    <n v="202601"/>
    <x v="0"/>
  </r>
  <r>
    <n v="6669602939"/>
    <n v="874305759"/>
    <s v="Kyle Wood"/>
    <s v="srogers@example.org"/>
    <n v="45833156"/>
    <m/>
    <x v="1276"/>
    <d v="2025-06-15T08:52:02"/>
    <x v="2"/>
    <x v="4"/>
    <x v="2"/>
    <x v="5"/>
    <n v="50"/>
    <n v="333"/>
    <n v="0"/>
    <s v="Login, OTP, or password reset issue"/>
    <n v="993"/>
    <x v="0"/>
    <n v="1"/>
    <s v="Jun 2025"/>
    <n v="202506"/>
    <x v="19"/>
  </r>
  <r>
    <n v="6676450587"/>
    <n v="726553348"/>
    <s v="Jeffrey Edwards"/>
    <s v="herbertward@example.org"/>
    <n v="13999315"/>
    <n v="1336923353"/>
    <x v="1277"/>
    <d v="2025-09-08T17:21:43"/>
    <x v="4"/>
    <x v="4"/>
    <x v="0"/>
    <x v="5"/>
    <n v="67"/>
    <n v="473"/>
    <n v="0"/>
    <s v="Login, OTP, or password reset issue"/>
    <n v="994"/>
    <x v="0"/>
    <n v="1"/>
    <s v="Sep 2025"/>
    <n v="202509"/>
    <x v="9"/>
  </r>
  <r>
    <n v="6691245684"/>
    <n v="148644109"/>
    <s v="Heather Thomas"/>
    <s v="sylviaprice@example.com"/>
    <n v="47295260"/>
    <n v="8015937115"/>
    <x v="1278"/>
    <d v="2026-03-07T02:13:31"/>
    <x v="6"/>
    <x v="4"/>
    <x v="3"/>
    <x v="5"/>
    <n v="4"/>
    <n v="583"/>
    <n v="0"/>
    <s v="Login, OTP, or password reset issue"/>
    <n v="997"/>
    <x v="0"/>
    <n v="1"/>
    <s v="Mar 2026"/>
    <n v="202603"/>
    <x v="10"/>
  </r>
  <r>
    <n v="6693753548"/>
    <n v="416779880"/>
    <s v="Miguel Hernandez"/>
    <s v="davidgonzales@example.com"/>
    <n v="41227216"/>
    <m/>
    <x v="1279"/>
    <d v="2024-11-12T12:12:30"/>
    <x v="1"/>
    <x v="3"/>
    <x v="2"/>
    <x v="5"/>
    <n v="56"/>
    <n v="500"/>
    <n v="0"/>
    <s v="Shipment or installation appointment delayed beyond ETA"/>
    <n v="998"/>
    <x v="0"/>
    <n v="1"/>
    <s v="Nov 2024"/>
    <n v="202411"/>
    <x v="11"/>
  </r>
  <r>
    <n v="6702392602"/>
    <n v="855438611"/>
    <s v="Lisa King"/>
    <s v="gregory51@example.com"/>
    <n v="50056581"/>
    <m/>
    <x v="1280"/>
    <d v="2026-02-02T19:09:14"/>
    <x v="5"/>
    <x v="5"/>
    <x v="3"/>
    <x v="5"/>
    <n v="38"/>
    <n v="425"/>
    <n v="0"/>
    <s v="App, network, or device troubleshooting requested"/>
    <n v="1000"/>
    <x v="0"/>
    <n v="1"/>
    <s v="Feb 2026"/>
    <n v="202602"/>
    <x v="25"/>
  </r>
  <r>
    <n v="6742199636"/>
    <n v="567013808"/>
    <s v="Kenneth Ballard"/>
    <s v="robbinsbelinda@example.net"/>
    <n v="58718453"/>
    <n v="2149575829"/>
    <x v="1281"/>
    <d v="2025-01-18T21:52:05"/>
    <x v="4"/>
    <x v="3"/>
    <x v="3"/>
    <x v="5"/>
    <n v="111"/>
    <n v="273"/>
    <n v="0"/>
    <s v="Shipment or installation appointment delayed beyond ETA"/>
    <n v="1002"/>
    <x v="0"/>
    <n v="1"/>
    <s v="Jan 2025"/>
    <n v="202501"/>
    <x v="16"/>
  </r>
  <r>
    <n v="6745139935"/>
    <n v="920772671"/>
    <s v="Nicole Norman"/>
    <s v="megangates@example.com"/>
    <n v="45833156"/>
    <m/>
    <x v="1282"/>
    <d v="2025-06-05T22:02:16"/>
    <x v="0"/>
    <x v="1"/>
    <x v="1"/>
    <x v="5"/>
    <n v="30"/>
    <n v="262"/>
    <n v="0"/>
    <s v="Refund status or reversal timeline inquiry"/>
    <n v="1003"/>
    <x v="0"/>
    <n v="1"/>
    <s v="Jun 2025"/>
    <n v="202506"/>
    <x v="19"/>
  </r>
  <r>
    <n v="6756515920"/>
    <n v="442863363"/>
    <s v="Kimberly Ellison"/>
    <s v="fitzgeraldlaura@example.org"/>
    <n v="42868828"/>
    <n v="3484110392"/>
    <x v="1283"/>
    <d v="2025-04-15T06:27:34"/>
    <x v="2"/>
    <x v="1"/>
    <x v="1"/>
    <x v="5"/>
    <n v="3"/>
    <n v="356"/>
    <n v="0"/>
    <s v="Refund status or reversal timeline inquiry"/>
    <n v="1005"/>
    <x v="0"/>
    <n v="1"/>
    <s v="Apr 2025"/>
    <n v="202504"/>
    <x v="6"/>
  </r>
  <r>
    <n v="6778236202"/>
    <n v="426551245"/>
    <s v="Steven White"/>
    <s v="davisrachel@example.com"/>
    <n v="63843426"/>
    <n v="8607593563"/>
    <x v="1284"/>
    <d v="2025-01-26T16:29:34"/>
    <x v="4"/>
    <x v="5"/>
    <x v="2"/>
    <x v="5"/>
    <n v="23"/>
    <n v="287"/>
    <n v="0"/>
    <s v="App, network, or device troubleshooting requested"/>
    <n v="1006"/>
    <x v="0"/>
    <n v="1"/>
    <s v="Jan 2025"/>
    <n v="202501"/>
    <x v="16"/>
  </r>
  <r>
    <n v="6793765059"/>
    <n v="251266214"/>
    <s v="Jennifer Conley"/>
    <s v="nicole24@example.com"/>
    <n v="14265799"/>
    <m/>
    <x v="1285"/>
    <d v="2024-12-24T16:32:02"/>
    <x v="6"/>
    <x v="3"/>
    <x v="0"/>
    <x v="5"/>
    <n v="45"/>
    <n v="379"/>
    <n v="0"/>
    <s v="Shipment or installation appointment delayed beyond ETA"/>
    <n v="1008"/>
    <x v="0"/>
    <n v="1"/>
    <s v="Dec 2024"/>
    <n v="202412"/>
    <x v="12"/>
  </r>
  <r>
    <n v="6811615780"/>
    <n v="760756497"/>
    <s v="William Walton"/>
    <s v="elizabethkramer@example.org"/>
    <n v="83793389"/>
    <n v="5747956127"/>
    <x v="1286"/>
    <d v="2024-07-22T15:16:35"/>
    <x v="6"/>
    <x v="1"/>
    <x v="1"/>
    <x v="5"/>
    <n v="32"/>
    <n v="395"/>
    <n v="0"/>
    <s v="Refund status or reversal timeline inquiry"/>
    <n v="1010"/>
    <x v="0"/>
    <n v="1"/>
    <s v="Jul 2024"/>
    <n v="202407"/>
    <x v="23"/>
  </r>
  <r>
    <n v="6824402929"/>
    <n v="512477736"/>
    <s v="Elizabeth Arellano"/>
    <s v="kathrynsantana@example.net"/>
    <n v="58181396"/>
    <n v="3282647005"/>
    <x v="1287"/>
    <d v="2026-01-22T06:33:12"/>
    <x v="4"/>
    <x v="3"/>
    <x v="3"/>
    <x v="5"/>
    <n v="33"/>
    <n v="648"/>
    <n v="0"/>
    <s v="Shipment or installation appointment delayed beyond ETA"/>
    <n v="1011"/>
    <x v="0"/>
    <n v="1"/>
    <s v="Jan 2026"/>
    <n v="202601"/>
    <x v="0"/>
  </r>
  <r>
    <n v="6846766925"/>
    <n v="579691987"/>
    <s v="Larry Scott"/>
    <s v="bsoto@example.com"/>
    <n v="58966946"/>
    <n v="1801248380"/>
    <x v="1288"/>
    <d v="2026-01-01T23:45:42"/>
    <x v="4"/>
    <x v="4"/>
    <x v="0"/>
    <x v="5"/>
    <n v="17"/>
    <n v="646"/>
    <n v="0"/>
    <s v="Login, OTP, or password reset issue"/>
    <n v="1014"/>
    <x v="0"/>
    <n v="1"/>
    <s v="Jan 2026"/>
    <n v="202601"/>
    <x v="0"/>
  </r>
  <r>
    <n v="6848258538"/>
    <n v="379484009"/>
    <s v="Melissa Holden"/>
    <s v="melissa95@example.net"/>
    <n v="17507864"/>
    <m/>
    <x v="1289"/>
    <d v="2025-04-17T06:34:05"/>
    <x v="6"/>
    <x v="3"/>
    <x v="3"/>
    <x v="5"/>
    <n v="46"/>
    <n v="830"/>
    <n v="0"/>
    <s v="Shipment or installation appointment delayed beyond ETA"/>
    <n v="1015"/>
    <x v="0"/>
    <n v="1"/>
    <s v="Apr 2025"/>
    <n v="202504"/>
    <x v="6"/>
  </r>
  <r>
    <n v="6885851229"/>
    <n v="610778600"/>
    <s v="Jeremy Johnson"/>
    <s v="sarah80@example.org"/>
    <n v="21496211"/>
    <m/>
    <x v="1290"/>
    <d v="2025-04-27T02:17:57"/>
    <x v="0"/>
    <x v="0"/>
    <x v="2"/>
    <x v="5"/>
    <n v="51"/>
    <n v="271"/>
    <n v="0"/>
    <s v="Customer reported intermittent service and repeat disruptions"/>
    <n v="1017"/>
    <x v="0"/>
    <n v="1"/>
    <s v="Apr 2025"/>
    <n v="202504"/>
    <x v="6"/>
  </r>
  <r>
    <n v="6919368238"/>
    <n v="774585778"/>
    <s v="Anna Wade"/>
    <s v="thomasmaldonado@example.com"/>
    <n v="22448136"/>
    <n v="2690591366"/>
    <x v="1291"/>
    <d v="2024-10-19T22:42:49"/>
    <x v="6"/>
    <x v="3"/>
    <x v="2"/>
    <x v="5"/>
    <n v="31"/>
    <n v="1041"/>
    <n v="0"/>
    <s v="Shipment or installation appointment delayed beyond ETA"/>
    <n v="1019"/>
    <x v="0"/>
    <n v="1"/>
    <s v="Oct 2024"/>
    <n v="202410"/>
    <x v="1"/>
  </r>
  <r>
    <n v="6964840426"/>
    <n v="576676179"/>
    <s v="Heather Garcia"/>
    <s v="fpoole@example.org"/>
    <n v="84752529"/>
    <n v="1995162447"/>
    <x v="1292"/>
    <d v="2025-05-26T01:50:01"/>
    <x v="1"/>
    <x v="4"/>
    <x v="1"/>
    <x v="5"/>
    <n v="57"/>
    <n v="62"/>
    <n v="0"/>
    <s v="Login, OTP, or password reset issue"/>
    <n v="1022"/>
    <x v="0"/>
    <n v="1"/>
    <s v="May 2025"/>
    <n v="202505"/>
    <x v="5"/>
  </r>
  <r>
    <n v="6973965856"/>
    <n v="582750043"/>
    <s v="Lee Barker"/>
    <s v="vthompson@example.org"/>
    <n v="61019678"/>
    <n v="8376160226"/>
    <x v="1293"/>
    <d v="2025-05-30T11:32:31"/>
    <x v="4"/>
    <x v="4"/>
    <x v="1"/>
    <x v="5"/>
    <n v="22"/>
    <n v="298"/>
    <n v="0"/>
    <s v="Login, OTP, or password reset issue"/>
    <n v="1025"/>
    <x v="0"/>
    <n v="1"/>
    <s v="May 2025"/>
    <n v="202505"/>
    <x v="5"/>
  </r>
  <r>
    <n v="6988219883"/>
    <n v="483426624"/>
    <s v="Brendan Zuniga"/>
    <s v="bkelley@example.com"/>
    <n v="86149359"/>
    <m/>
    <x v="1294"/>
    <d v="2024-06-11T15:43:51"/>
    <x v="6"/>
    <x v="5"/>
    <x v="1"/>
    <x v="5"/>
    <n v="45"/>
    <n v="921"/>
    <n v="0"/>
    <s v="App, network, or device troubleshooting requested"/>
    <n v="1027"/>
    <x v="0"/>
    <n v="1"/>
    <s v="Jun 2024"/>
    <n v="202406"/>
    <x v="26"/>
  </r>
  <r>
    <n v="6997312145"/>
    <n v="366338529"/>
    <s v="William Brandt"/>
    <s v="donaldmartin@example.net"/>
    <n v="97226012"/>
    <m/>
    <x v="1295"/>
    <d v="2025-01-11T19:36:16"/>
    <x v="3"/>
    <x v="5"/>
    <x v="0"/>
    <x v="5"/>
    <n v="37"/>
    <n v="372"/>
    <n v="0"/>
    <s v="App, network, or device troubleshooting requested"/>
    <n v="1029"/>
    <x v="0"/>
    <n v="1"/>
    <s v="Jan 2025"/>
    <n v="202501"/>
    <x v="16"/>
  </r>
  <r>
    <n v="6998813562"/>
    <n v="172191273"/>
    <s v="Michael Edwards"/>
    <s v="ctodd@example.net"/>
    <n v="38427073"/>
    <m/>
    <x v="1296"/>
    <d v="2025-11-17T18:55:43"/>
    <x v="5"/>
    <x v="4"/>
    <x v="0"/>
    <x v="5"/>
    <n v="59"/>
    <n v="208"/>
    <n v="0"/>
    <s v="Login, OTP, or password reset issue"/>
    <n v="1030"/>
    <x v="0"/>
    <n v="1"/>
    <s v="Nov 2025"/>
    <n v="202511"/>
    <x v="4"/>
  </r>
  <r>
    <n v="7003928703"/>
    <n v="747060047"/>
    <s v="Bryan King"/>
    <s v="turneralex@example.org"/>
    <n v="21668732"/>
    <n v="9127754416"/>
    <x v="1297"/>
    <d v="2024-10-03T06:39:56"/>
    <x v="3"/>
    <x v="3"/>
    <x v="1"/>
    <x v="5"/>
    <n v="77"/>
    <n v="139"/>
    <n v="0"/>
    <s v="Shipment or installation appointment delayed beyond ETA"/>
    <n v="1032"/>
    <x v="0"/>
    <n v="1"/>
    <s v="Oct 2024"/>
    <n v="202410"/>
    <x v="1"/>
  </r>
  <r>
    <n v="7010189505"/>
    <n v="359779090"/>
    <s v="Michael Fox"/>
    <s v="abigailhartman@example.org"/>
    <n v="36687537"/>
    <m/>
    <x v="1298"/>
    <d v="2025-04-11T11:01:00"/>
    <x v="0"/>
    <x v="5"/>
    <x v="0"/>
    <x v="5"/>
    <n v="86"/>
    <n v="570"/>
    <n v="0"/>
    <s v="App, network, or device troubleshooting requested"/>
    <n v="1033"/>
    <x v="0"/>
    <n v="1"/>
    <s v="Apr 2025"/>
    <n v="202504"/>
    <x v="6"/>
  </r>
  <r>
    <n v="7016762718"/>
    <n v="352889019"/>
    <s v="Timothy Davis"/>
    <s v="nvargas@example.net"/>
    <n v="38898923"/>
    <m/>
    <x v="1299"/>
    <d v="2024-03-24T04:49:15"/>
    <x v="5"/>
    <x v="4"/>
    <x v="0"/>
    <x v="5"/>
    <n v="21"/>
    <n v="308"/>
    <n v="0"/>
    <s v="Login, OTP, or password reset issue"/>
    <n v="1035"/>
    <x v="0"/>
    <n v="1"/>
    <s v="Mar 2024"/>
    <n v="202403"/>
    <x v="15"/>
  </r>
  <r>
    <n v="7027153899"/>
    <n v="409883716"/>
    <s v="Linda Hall"/>
    <s v="hevans@example.net"/>
    <n v="42857966"/>
    <n v="6361566970"/>
    <x v="1300"/>
    <d v="2025-06-30T22:31:32"/>
    <x v="1"/>
    <x v="2"/>
    <x v="2"/>
    <x v="5"/>
    <n v="31"/>
    <n v="361"/>
    <n v="0"/>
    <s v="Customer questioned invoice amount and prorated charges"/>
    <n v="1036"/>
    <x v="0"/>
    <n v="1"/>
    <s v="Jun 2025"/>
    <n v="202506"/>
    <x v="19"/>
  </r>
  <r>
    <n v="7032502823"/>
    <n v="871880418"/>
    <s v="Jessica Taylor"/>
    <s v="tsmith@example.org"/>
    <n v="58966946"/>
    <m/>
    <x v="1301"/>
    <d v="2024-03-30T01:26:03"/>
    <x v="0"/>
    <x v="0"/>
    <x v="2"/>
    <x v="5"/>
    <n v="46"/>
    <n v="154"/>
    <n v="0"/>
    <s v="Customer reported intermittent service and repeat disruptions"/>
    <n v="1037"/>
    <x v="0"/>
    <n v="1"/>
    <s v="Mar 2024"/>
    <n v="202403"/>
    <x v="15"/>
  </r>
  <r>
    <n v="7033153366"/>
    <n v="440419907"/>
    <s v="Angel Hayes"/>
    <s v="matthew11@example.com"/>
    <n v="89978790"/>
    <m/>
    <x v="1302"/>
    <d v="2025-06-21T20:36:11"/>
    <x v="1"/>
    <x v="3"/>
    <x v="2"/>
    <x v="5"/>
    <n v="33"/>
    <n v="225"/>
    <n v="0"/>
    <s v="Shipment or installation appointment delayed beyond ETA"/>
    <n v="1038"/>
    <x v="0"/>
    <n v="1"/>
    <s v="Jun 2025"/>
    <n v="202506"/>
    <x v="19"/>
  </r>
  <r>
    <n v="7035080212"/>
    <n v="145478504"/>
    <s v="Erik Price"/>
    <s v="carrolltracy@example.net"/>
    <n v="66792612"/>
    <m/>
    <x v="1303"/>
    <d v="2024-10-27T23:16:15"/>
    <x v="1"/>
    <x v="4"/>
    <x v="0"/>
    <x v="5"/>
    <n v="24"/>
    <n v="29"/>
    <n v="0"/>
    <s v="Login, OTP, or password reset issue"/>
    <n v="1039"/>
    <x v="0"/>
    <n v="1"/>
    <s v="Oct 2024"/>
    <n v="202410"/>
    <x v="1"/>
  </r>
  <r>
    <n v="7056842024"/>
    <n v="536913550"/>
    <s v="Michael Robertson"/>
    <s v="brandi19@example.com"/>
    <n v="26879290"/>
    <n v="2981199619"/>
    <x v="1304"/>
    <d v="2024-12-25T01:19:01"/>
    <x v="1"/>
    <x v="1"/>
    <x v="0"/>
    <x v="5"/>
    <n v="83"/>
    <n v="684"/>
    <n v="0"/>
    <s v="Refund status or reversal timeline inquiry"/>
    <n v="1041"/>
    <x v="0"/>
    <n v="1"/>
    <s v="Dec 2024"/>
    <n v="202412"/>
    <x v="12"/>
  </r>
  <r>
    <n v="7084334248"/>
    <n v="117439966"/>
    <s v="Erik Delgado"/>
    <s v="catherine64@example.com"/>
    <n v="86149359"/>
    <m/>
    <x v="1305"/>
    <d v="2025-08-15T17:17:12"/>
    <x v="2"/>
    <x v="2"/>
    <x v="2"/>
    <x v="5"/>
    <n v="46"/>
    <n v="537"/>
    <n v="0"/>
    <s v="Customer questioned invoice amount and prorated charges"/>
    <n v="1045"/>
    <x v="0"/>
    <n v="1"/>
    <s v="Aug 2025"/>
    <n v="202508"/>
    <x v="22"/>
  </r>
  <r>
    <n v="7092612073"/>
    <n v="576954730"/>
    <s v="Brenda Mitchell"/>
    <s v="ihorton@example.net"/>
    <n v="63100814"/>
    <m/>
    <x v="1306"/>
    <d v="2026-03-27T18:40:56"/>
    <x v="5"/>
    <x v="1"/>
    <x v="0"/>
    <x v="5"/>
    <n v="35"/>
    <n v="190"/>
    <n v="0"/>
    <s v="Refund status or reversal timeline inquiry"/>
    <n v="1046"/>
    <x v="0"/>
    <n v="1"/>
    <s v="Mar 2026"/>
    <n v="202603"/>
    <x v="10"/>
  </r>
  <r>
    <n v="7097914256"/>
    <n v="843854609"/>
    <s v="Lori Franco"/>
    <s v="petersrussell@example.org"/>
    <n v="88461803"/>
    <m/>
    <x v="1307"/>
    <d v="2024-07-18T23:16:50"/>
    <x v="1"/>
    <x v="4"/>
    <x v="1"/>
    <x v="5"/>
    <n v="59"/>
    <n v="263"/>
    <n v="0"/>
    <s v="Login, OTP, or password reset issue"/>
    <n v="1047"/>
    <x v="0"/>
    <n v="1"/>
    <s v="Jul 2024"/>
    <n v="202407"/>
    <x v="23"/>
  </r>
  <r>
    <n v="7108510082"/>
    <n v="470585534"/>
    <s v="Joshua Miller"/>
    <s v="harriswendy@example.org"/>
    <n v="23756669"/>
    <m/>
    <x v="1308"/>
    <d v="2024-07-22T08:44:00"/>
    <x v="0"/>
    <x v="0"/>
    <x v="1"/>
    <x v="5"/>
    <n v="47"/>
    <n v="459"/>
    <n v="0"/>
    <s v="Customer reported intermittent service and repeat disruptions"/>
    <n v="1048"/>
    <x v="0"/>
    <n v="1"/>
    <s v="Jul 2024"/>
    <n v="202407"/>
    <x v="23"/>
  </r>
  <r>
    <n v="7126644332"/>
    <n v="416794215"/>
    <s v="Michael Morgan"/>
    <s v="jamierodriguez@example.net"/>
    <n v="51273847"/>
    <n v="9312541476"/>
    <x v="1309"/>
    <d v="2024-09-19T02:11:09"/>
    <x v="6"/>
    <x v="0"/>
    <x v="3"/>
    <x v="5"/>
    <n v="33"/>
    <n v="453"/>
    <n v="0"/>
    <s v="Customer reported intermittent service and repeat disruptions"/>
    <n v="1049"/>
    <x v="0"/>
    <n v="1"/>
    <s v="Sep 2024"/>
    <n v="202409"/>
    <x v="3"/>
  </r>
  <r>
    <n v="7141853160"/>
    <n v="281071418"/>
    <s v="Christopher Parker"/>
    <s v="thomasnancy@example.net"/>
    <n v="66306997"/>
    <m/>
    <x v="1310"/>
    <d v="2025-09-08T17:45:01"/>
    <x v="4"/>
    <x v="4"/>
    <x v="0"/>
    <x v="5"/>
    <n v="79"/>
    <n v="444"/>
    <n v="0"/>
    <s v="Login, OTP, or password reset issue"/>
    <n v="1052"/>
    <x v="0"/>
    <n v="1"/>
    <s v="Sep 2025"/>
    <n v="202509"/>
    <x v="9"/>
  </r>
  <r>
    <n v="7164449870"/>
    <n v="436824737"/>
    <s v="Jennifer Rivera"/>
    <s v="sanchezcindy@example.net"/>
    <n v="94374605"/>
    <m/>
    <x v="1311"/>
    <d v="2025-07-28T06:31:48"/>
    <x v="5"/>
    <x v="4"/>
    <x v="1"/>
    <x v="5"/>
    <n v="63"/>
    <n v="68"/>
    <n v="0"/>
    <s v="Login, OTP, or password reset issue"/>
    <n v="1057"/>
    <x v="0"/>
    <n v="1"/>
    <s v="Jul 2025"/>
    <n v="202507"/>
    <x v="13"/>
  </r>
  <r>
    <n v="7172654918"/>
    <n v="872649234"/>
    <s v="Douglas Reyes"/>
    <s v="mburch@example.net"/>
    <n v="42868828"/>
    <m/>
    <x v="1312"/>
    <d v="2024-11-19T22:52:19"/>
    <x v="4"/>
    <x v="0"/>
    <x v="2"/>
    <x v="5"/>
    <n v="45"/>
    <n v="296"/>
    <n v="0"/>
    <s v="Customer reported intermittent service and repeat disruptions"/>
    <n v="1058"/>
    <x v="0"/>
    <n v="1"/>
    <s v="Nov 2024"/>
    <n v="202411"/>
    <x v="11"/>
  </r>
  <r>
    <n v="7191696152"/>
    <n v="757074545"/>
    <s v="Margaret Wood"/>
    <s v="erikabarnes@example.com"/>
    <n v="97971488"/>
    <n v="6188202204"/>
    <x v="1313"/>
    <d v="2024-11-10T09:09:59"/>
    <x v="4"/>
    <x v="5"/>
    <x v="3"/>
    <x v="5"/>
    <n v="46"/>
    <n v="457"/>
    <n v="0"/>
    <s v="App, network, or device troubleshooting requested"/>
    <n v="1061"/>
    <x v="0"/>
    <n v="1"/>
    <s v="Nov 2024"/>
    <n v="202411"/>
    <x v="11"/>
  </r>
  <r>
    <n v="7194633463"/>
    <n v="657162259"/>
    <s v="Cheryl Newman"/>
    <s v="solisbecky@example.org"/>
    <n v="96028436"/>
    <n v="1511545211"/>
    <x v="1314"/>
    <d v="2025-09-29T07:58:23"/>
    <x v="1"/>
    <x v="4"/>
    <x v="2"/>
    <x v="5"/>
    <n v="12"/>
    <n v="421"/>
    <n v="0"/>
    <s v="Login, OTP, or password reset issue"/>
    <n v="1062"/>
    <x v="0"/>
    <n v="1"/>
    <s v="Sep 2025"/>
    <n v="202509"/>
    <x v="9"/>
  </r>
  <r>
    <n v="7200220223"/>
    <n v="931726993"/>
    <s v="Dawn Hernandez"/>
    <s v="micheleramirez@example.org"/>
    <n v="89254563"/>
    <m/>
    <x v="1315"/>
    <d v="2024-06-17T13:38:00"/>
    <x v="0"/>
    <x v="2"/>
    <x v="2"/>
    <x v="5"/>
    <n v="15"/>
    <n v="665"/>
    <n v="0"/>
    <s v="Customer questioned invoice amount and prorated charges"/>
    <n v="1063"/>
    <x v="0"/>
    <n v="1"/>
    <s v="Jun 2024"/>
    <n v="202406"/>
    <x v="26"/>
  </r>
  <r>
    <n v="7230180559"/>
    <n v="249027517"/>
    <s v="Christopher Lang"/>
    <s v="brian29@example.net"/>
    <n v="39587039"/>
    <n v="5851013429"/>
    <x v="1316"/>
    <d v="2024-07-10T01:56:06"/>
    <x v="3"/>
    <x v="3"/>
    <x v="0"/>
    <x v="5"/>
    <n v="2"/>
    <n v="762"/>
    <n v="0"/>
    <s v="Shipment or installation appointment delayed beyond ETA"/>
    <n v="1066"/>
    <x v="0"/>
    <n v="1"/>
    <s v="Jul 2024"/>
    <n v="202407"/>
    <x v="23"/>
  </r>
  <r>
    <n v="7254736171"/>
    <n v="140048684"/>
    <s v="Wendy Anderson"/>
    <s v="thompsoncaitlin@example.com"/>
    <n v="11540956"/>
    <m/>
    <x v="1317"/>
    <d v="2025-09-27T04:18:18"/>
    <x v="0"/>
    <x v="1"/>
    <x v="2"/>
    <x v="5"/>
    <n v="51"/>
    <n v="399"/>
    <n v="0"/>
    <s v="Refund status or reversal timeline inquiry"/>
    <n v="1071"/>
    <x v="0"/>
    <n v="1"/>
    <s v="Sep 2025"/>
    <n v="202509"/>
    <x v="9"/>
  </r>
  <r>
    <n v="7284887617"/>
    <n v="717452511"/>
    <s v="Jeffrey Hawkins"/>
    <s v="eugenesingleton@example.org"/>
    <n v="88461803"/>
    <n v="1595132228"/>
    <x v="1318"/>
    <d v="2024-06-10T18:48:08"/>
    <x v="0"/>
    <x v="5"/>
    <x v="2"/>
    <x v="5"/>
    <n v="57"/>
    <n v="189"/>
    <n v="0"/>
    <s v="App, network, or device troubleshooting requested"/>
    <n v="1073"/>
    <x v="0"/>
    <n v="1"/>
    <s v="Jun 2024"/>
    <n v="202406"/>
    <x v="26"/>
  </r>
  <r>
    <n v="7291467110"/>
    <n v="549661921"/>
    <s v="Shawn Vasquez"/>
    <s v="zchapman@example.com"/>
    <n v="50056581"/>
    <n v="6817218959"/>
    <x v="1319"/>
    <d v="2024-05-08T19:37:30"/>
    <x v="4"/>
    <x v="3"/>
    <x v="2"/>
    <x v="5"/>
    <n v="53"/>
    <n v="59"/>
    <n v="0"/>
    <s v="Shipment or installation appointment delayed beyond ETA"/>
    <n v="1075"/>
    <x v="0"/>
    <n v="1"/>
    <s v="May 2024"/>
    <n v="202405"/>
    <x v="24"/>
  </r>
  <r>
    <n v="7314996751"/>
    <n v="394801573"/>
    <s v="Emily Perry"/>
    <s v="colleen78@example.org"/>
    <n v="61019678"/>
    <m/>
    <x v="1320"/>
    <d v="2025-11-20T16:01:25"/>
    <x v="3"/>
    <x v="1"/>
    <x v="1"/>
    <x v="5"/>
    <n v="60"/>
    <n v="254"/>
    <n v="0"/>
    <s v="Refund status or reversal timeline inquiry"/>
    <n v="1077"/>
    <x v="0"/>
    <n v="1"/>
    <s v="Nov 2025"/>
    <n v="202511"/>
    <x v="4"/>
  </r>
  <r>
    <n v="7327796724"/>
    <n v="603601664"/>
    <s v="Kimberly May"/>
    <s v="timothy64@example.com"/>
    <n v="53524491"/>
    <m/>
    <x v="1321"/>
    <d v="2025-12-27T17:49:07"/>
    <x v="1"/>
    <x v="0"/>
    <x v="1"/>
    <x v="5"/>
    <n v="59"/>
    <n v="447"/>
    <n v="0"/>
    <s v="Customer reported intermittent service and repeat disruptions"/>
    <n v="1079"/>
    <x v="0"/>
    <n v="1"/>
    <s v="Dec 2025"/>
    <n v="202512"/>
    <x v="21"/>
  </r>
  <r>
    <n v="7361371066"/>
    <n v="750407244"/>
    <s v="Mark Michael"/>
    <s v="chaselisa@example.org"/>
    <n v="51273847"/>
    <m/>
    <x v="1322"/>
    <d v="2026-03-16T22:42:14"/>
    <x v="5"/>
    <x v="0"/>
    <x v="3"/>
    <x v="5"/>
    <n v="21"/>
    <n v="509"/>
    <n v="0"/>
    <s v="Customer reported intermittent service and repeat disruptions"/>
    <n v="1083"/>
    <x v="0"/>
    <n v="1"/>
    <s v="Mar 2026"/>
    <n v="202603"/>
    <x v="10"/>
  </r>
  <r>
    <n v="7363499049"/>
    <n v="635844374"/>
    <s v="Margaret Hahn"/>
    <s v="nashmarcus@example.com"/>
    <n v="95225343"/>
    <m/>
    <x v="1323"/>
    <d v="2026-03-18T01:53:10"/>
    <x v="6"/>
    <x v="1"/>
    <x v="2"/>
    <x v="5"/>
    <n v="110"/>
    <n v="154"/>
    <n v="0"/>
    <s v="Refund status or reversal timeline inquiry"/>
    <n v="1084"/>
    <x v="0"/>
    <n v="1"/>
    <s v="Mar 2026"/>
    <n v="202603"/>
    <x v="10"/>
  </r>
  <r>
    <n v="7366337616"/>
    <n v="470838810"/>
    <s v="Justin Day"/>
    <s v="douglas11@example.net"/>
    <n v="25374874"/>
    <m/>
    <x v="1324"/>
    <d v="2024-04-27T03:34:00"/>
    <x v="6"/>
    <x v="4"/>
    <x v="2"/>
    <x v="5"/>
    <n v="36"/>
    <n v="326"/>
    <n v="0"/>
    <s v="Login, OTP, or password reset issue"/>
    <n v="1085"/>
    <x v="0"/>
    <n v="1"/>
    <s v="Apr 2024"/>
    <n v="202404"/>
    <x v="2"/>
  </r>
  <r>
    <n v="7367149900"/>
    <n v="265564833"/>
    <s v="Daniel Holloway"/>
    <s v="tyler23@example.com"/>
    <n v="88320463"/>
    <m/>
    <x v="1325"/>
    <d v="2025-10-27T11:41:19"/>
    <x v="4"/>
    <x v="0"/>
    <x v="2"/>
    <x v="5"/>
    <n v="32"/>
    <n v="468"/>
    <n v="0"/>
    <s v="Customer reported intermittent service and repeat disruptions"/>
    <n v="1086"/>
    <x v="0"/>
    <n v="1"/>
    <s v="Oct 2025"/>
    <n v="202510"/>
    <x v="8"/>
  </r>
  <r>
    <n v="7385224704"/>
    <n v="855663125"/>
    <s v="Elizabeth Potter"/>
    <s v="caguilar@example.org"/>
    <n v="22448136"/>
    <n v="2023176784"/>
    <x v="1326"/>
    <d v="2024-02-01T02:06:57"/>
    <x v="2"/>
    <x v="5"/>
    <x v="2"/>
    <x v="5"/>
    <n v="14"/>
    <n v="602"/>
    <n v="0"/>
    <s v="App, network, or device troubleshooting requested"/>
    <n v="1089"/>
    <x v="0"/>
    <n v="1"/>
    <s v="Jan 2024"/>
    <n v="202401"/>
    <x v="17"/>
  </r>
  <r>
    <n v="7422252188"/>
    <n v="942211135"/>
    <s v="Caroline David"/>
    <s v="georgeweber@example.net"/>
    <n v="85345555"/>
    <m/>
    <x v="1327"/>
    <d v="2024-01-28T02:46:18"/>
    <x v="6"/>
    <x v="2"/>
    <x v="0"/>
    <x v="5"/>
    <n v="34"/>
    <n v="1262"/>
    <n v="0"/>
    <s v="Customer questioned invoice amount and prorated charges"/>
    <n v="1092"/>
    <x v="0"/>
    <n v="1"/>
    <s v="Jan 2024"/>
    <n v="202401"/>
    <x v="17"/>
  </r>
  <r>
    <n v="7427044790"/>
    <n v="478278218"/>
    <s v="Jillian Sanders"/>
    <s v="birdcaitlin@example.net"/>
    <n v="95822412"/>
    <m/>
    <x v="1328"/>
    <d v="2024-05-18T13:49:15"/>
    <x v="6"/>
    <x v="4"/>
    <x v="2"/>
    <x v="5"/>
    <n v="8"/>
    <n v="454"/>
    <n v="0"/>
    <s v="Login, OTP, or password reset issue"/>
    <n v="1093"/>
    <x v="0"/>
    <n v="1"/>
    <s v="May 2024"/>
    <n v="202405"/>
    <x v="24"/>
  </r>
  <r>
    <n v="7436733989"/>
    <n v="932111777"/>
    <s v="Brittany Parker"/>
    <s v="kelly08@example.net"/>
    <n v="36687537"/>
    <n v="2052463740"/>
    <x v="1329"/>
    <d v="2026-03-09T00:08:07"/>
    <x v="5"/>
    <x v="1"/>
    <x v="1"/>
    <x v="5"/>
    <n v="41"/>
    <n v="224"/>
    <n v="0"/>
    <s v="Refund status or reversal timeline inquiry"/>
    <n v="1096"/>
    <x v="0"/>
    <n v="1"/>
    <s v="Mar 2026"/>
    <n v="202603"/>
    <x v="10"/>
  </r>
  <r>
    <n v="7437743422"/>
    <n v="865975088"/>
    <s v="Adam Thomas"/>
    <s v="summerscassidy@example.org"/>
    <n v="23756669"/>
    <n v="2442364344"/>
    <x v="1330"/>
    <d v="2024-02-03T08:50:07"/>
    <x v="1"/>
    <x v="3"/>
    <x v="2"/>
    <x v="5"/>
    <n v="18"/>
    <n v="32"/>
    <n v="0"/>
    <s v="Shipment or installation appointment delayed beyond ETA"/>
    <n v="1097"/>
    <x v="0"/>
    <n v="1"/>
    <s v="Feb 2024"/>
    <n v="202402"/>
    <x v="7"/>
  </r>
  <r>
    <n v="7454380175"/>
    <n v="771112648"/>
    <s v="Ashley Ramirez"/>
    <s v="berrydebbie@example.net"/>
    <n v="55657579"/>
    <m/>
    <x v="1331"/>
    <d v="2025-06-15T21:47:39"/>
    <x v="1"/>
    <x v="3"/>
    <x v="1"/>
    <x v="5"/>
    <n v="29"/>
    <n v="369"/>
    <n v="0"/>
    <s v="Shipment or installation appointment delayed beyond ETA"/>
    <n v="1098"/>
    <x v="0"/>
    <n v="1"/>
    <s v="Jun 2025"/>
    <n v="202506"/>
    <x v="19"/>
  </r>
  <r>
    <n v="7476447244"/>
    <n v="366338529"/>
    <s v="William Brandt"/>
    <s v="donaldmartin@example.net"/>
    <n v="66661351"/>
    <m/>
    <x v="1332"/>
    <d v="2025-12-26T16:29:03"/>
    <x v="3"/>
    <x v="5"/>
    <x v="1"/>
    <x v="5"/>
    <n v="5"/>
    <n v="89"/>
    <n v="0"/>
    <s v="App, network, or device troubleshooting requested"/>
    <n v="1101"/>
    <x v="0"/>
    <n v="1"/>
    <s v="Dec 2025"/>
    <n v="202512"/>
    <x v="21"/>
  </r>
  <r>
    <n v="7482463235"/>
    <n v="664852025"/>
    <s v="Cesar Woods"/>
    <s v="reneemiller@example.net"/>
    <n v="41244663"/>
    <m/>
    <x v="1333"/>
    <d v="2025-11-30T02:26:14"/>
    <x v="2"/>
    <x v="4"/>
    <x v="0"/>
    <x v="5"/>
    <n v="30"/>
    <n v="544"/>
    <n v="0"/>
    <s v="Login, OTP, or password reset issue"/>
    <n v="1102"/>
    <x v="0"/>
    <n v="1"/>
    <s v="Nov 2025"/>
    <n v="202511"/>
    <x v="4"/>
  </r>
  <r>
    <n v="7484805812"/>
    <n v="247604106"/>
    <s v="Stacy Kim"/>
    <s v="christianrichards@example.net"/>
    <n v="48840994"/>
    <m/>
    <x v="1334"/>
    <d v="2024-07-24T08:11:03"/>
    <x v="1"/>
    <x v="1"/>
    <x v="0"/>
    <x v="5"/>
    <n v="43"/>
    <n v="836"/>
    <n v="0"/>
    <s v="Refund status or reversal timeline inquiry"/>
    <n v="1104"/>
    <x v="0"/>
    <n v="1"/>
    <s v="Jul 2024"/>
    <n v="202407"/>
    <x v="23"/>
  </r>
  <r>
    <n v="7507090175"/>
    <n v="442185272"/>
    <s v="Carla Benton"/>
    <s v="gary24@example.net"/>
    <n v="38119557"/>
    <n v="2842980985"/>
    <x v="1335"/>
    <d v="2024-08-29T18:25:02"/>
    <x v="5"/>
    <x v="0"/>
    <x v="0"/>
    <x v="5"/>
    <n v="33"/>
    <n v="281"/>
    <n v="0"/>
    <s v="Customer reported intermittent service and repeat disruptions"/>
    <n v="1107"/>
    <x v="0"/>
    <n v="1"/>
    <s v="Aug 2024"/>
    <n v="202408"/>
    <x v="18"/>
  </r>
  <r>
    <n v="7509957922"/>
    <n v="880862406"/>
    <s v="John Griffin"/>
    <s v="wmatthews@example.com"/>
    <n v="45812670"/>
    <m/>
    <x v="1336"/>
    <d v="2025-05-11T01:21:17"/>
    <x v="3"/>
    <x v="4"/>
    <x v="2"/>
    <x v="5"/>
    <n v="12"/>
    <n v="813"/>
    <n v="0"/>
    <s v="Login, OTP, or password reset issue"/>
    <n v="1108"/>
    <x v="0"/>
    <n v="1"/>
    <s v="May 2025"/>
    <n v="202505"/>
    <x v="5"/>
  </r>
  <r>
    <n v="7539303689"/>
    <n v="847508242"/>
    <s v="Andrea Smith"/>
    <s v="timothy83@example.net"/>
    <n v="98550256"/>
    <n v="2949306060"/>
    <x v="1337"/>
    <d v="2025-01-28T07:46:38"/>
    <x v="6"/>
    <x v="2"/>
    <x v="2"/>
    <x v="5"/>
    <n v="25"/>
    <n v="342"/>
    <n v="0"/>
    <s v="Customer questioned invoice amount and prorated charges"/>
    <n v="1114"/>
    <x v="0"/>
    <n v="1"/>
    <s v="Jan 2025"/>
    <n v="202501"/>
    <x v="16"/>
  </r>
  <r>
    <n v="7542776656"/>
    <n v="161587757"/>
    <s v="Sharon Lester"/>
    <s v="qmosley@example.net"/>
    <n v="42857966"/>
    <m/>
    <x v="1338"/>
    <d v="2024-09-22T06:38:49"/>
    <x v="1"/>
    <x v="4"/>
    <x v="1"/>
    <x v="5"/>
    <n v="1"/>
    <n v="213"/>
    <n v="0"/>
    <s v="Login, OTP, or password reset issue"/>
    <n v="1115"/>
    <x v="0"/>
    <n v="1"/>
    <s v="Sep 2024"/>
    <n v="202409"/>
    <x v="3"/>
  </r>
  <r>
    <n v="7558280812"/>
    <n v="590687732"/>
    <s v="Tiffany Miller"/>
    <s v="lsmith@example.com"/>
    <n v="86125617"/>
    <n v="7506506106"/>
    <x v="1339"/>
    <d v="2025-04-12T00:20:36"/>
    <x v="0"/>
    <x v="5"/>
    <x v="0"/>
    <x v="5"/>
    <n v="57"/>
    <n v="603"/>
    <n v="0"/>
    <s v="App, network, or device troubleshooting requested"/>
    <n v="1116"/>
    <x v="0"/>
    <n v="1"/>
    <s v="Apr 2025"/>
    <n v="202504"/>
    <x v="6"/>
  </r>
  <r>
    <n v="7567064362"/>
    <n v="802506364"/>
    <s v="Allison Simmons"/>
    <s v="jnguyen@example.net"/>
    <n v="52339391"/>
    <m/>
    <x v="1340"/>
    <d v="2024-01-20T23:51:08"/>
    <x v="0"/>
    <x v="0"/>
    <x v="2"/>
    <x v="5"/>
    <n v="28"/>
    <n v="33"/>
    <n v="0"/>
    <s v="Customer reported intermittent service and repeat disruptions"/>
    <n v="1119"/>
    <x v="0"/>
    <n v="1"/>
    <s v="Jan 2024"/>
    <n v="202401"/>
    <x v="17"/>
  </r>
  <r>
    <n v="7576105129"/>
    <n v="366578178"/>
    <s v="Anne Anderson"/>
    <s v="ricardomurphy@example.com"/>
    <n v="30868105"/>
    <m/>
    <x v="1341"/>
    <d v="2025-03-08T13:50:45"/>
    <x v="6"/>
    <x v="2"/>
    <x v="0"/>
    <x v="5"/>
    <n v="16"/>
    <n v="21"/>
    <n v="0"/>
    <s v="Customer questioned invoice amount and prorated charges"/>
    <n v="1122"/>
    <x v="0"/>
    <n v="1"/>
    <s v="Mar 2025"/>
    <n v="202503"/>
    <x v="20"/>
  </r>
  <r>
    <n v="7596148343"/>
    <n v="139711044"/>
    <s v="Charles Delgado"/>
    <s v="thomasantonio@example.net"/>
    <n v="71662963"/>
    <m/>
    <x v="1342"/>
    <d v="2024-12-18T20:38:11"/>
    <x v="4"/>
    <x v="2"/>
    <x v="2"/>
    <x v="5"/>
    <n v="16"/>
    <n v="655"/>
    <n v="0"/>
    <s v="Customer questioned invoice amount and prorated charges"/>
    <n v="1124"/>
    <x v="0"/>
    <n v="1"/>
    <s v="Dec 2024"/>
    <n v="202412"/>
    <x v="12"/>
  </r>
  <r>
    <n v="7615038909"/>
    <n v="480412754"/>
    <s v="Nicholas Le"/>
    <s v="zking@example.com"/>
    <n v="81691040"/>
    <m/>
    <x v="1343"/>
    <d v="2025-04-30T07:59:22"/>
    <x v="0"/>
    <x v="3"/>
    <x v="3"/>
    <x v="5"/>
    <n v="38"/>
    <n v="1008"/>
    <n v="0"/>
    <s v="Shipment or installation appointment delayed beyond ETA"/>
    <n v="1127"/>
    <x v="0"/>
    <n v="1"/>
    <s v="Apr 2025"/>
    <n v="202504"/>
    <x v="6"/>
  </r>
  <r>
    <n v="7619334263"/>
    <n v="761962359"/>
    <s v="Christopher Gallegos PhD"/>
    <s v="jeremy79@example.net"/>
    <n v="28728463"/>
    <n v="7032536684"/>
    <x v="1344"/>
    <d v="2024-02-21T10:52:17"/>
    <x v="6"/>
    <x v="3"/>
    <x v="2"/>
    <x v="5"/>
    <n v="65"/>
    <n v="471"/>
    <n v="0"/>
    <s v="Shipment or installation appointment delayed beyond ETA"/>
    <n v="1129"/>
    <x v="0"/>
    <n v="1"/>
    <s v="Feb 2024"/>
    <n v="202402"/>
    <x v="7"/>
  </r>
  <r>
    <n v="7629023772"/>
    <n v="893158610"/>
    <s v="Anthony Neal"/>
    <s v="lmartin@example.org"/>
    <n v="82340307"/>
    <m/>
    <x v="1345"/>
    <d v="2024-02-29T03:15:04"/>
    <x v="3"/>
    <x v="2"/>
    <x v="2"/>
    <x v="5"/>
    <n v="69"/>
    <n v="239"/>
    <n v="0"/>
    <s v="Customer questioned invoice amount and prorated charges"/>
    <n v="1131"/>
    <x v="0"/>
    <n v="1"/>
    <s v="Feb 2024"/>
    <n v="202402"/>
    <x v="7"/>
  </r>
  <r>
    <n v="7633803213"/>
    <n v="703246271"/>
    <s v="William Miller"/>
    <s v="raymondpugh@example.net"/>
    <n v="66306997"/>
    <m/>
    <x v="1346"/>
    <d v="2024-08-22T04:20:10"/>
    <x v="0"/>
    <x v="3"/>
    <x v="0"/>
    <x v="5"/>
    <n v="40"/>
    <n v="1162"/>
    <n v="0"/>
    <s v="Shipment or installation appointment delayed beyond ETA"/>
    <n v="1132"/>
    <x v="0"/>
    <n v="1"/>
    <s v="Aug 2024"/>
    <n v="202408"/>
    <x v="18"/>
  </r>
  <r>
    <n v="7662459946"/>
    <n v="861888313"/>
    <s v="Jesus Becker"/>
    <s v="john92@example.org"/>
    <n v="94214382"/>
    <m/>
    <x v="1347"/>
    <d v="2024-08-12T13:36:30"/>
    <x v="3"/>
    <x v="1"/>
    <x v="3"/>
    <x v="5"/>
    <n v="32"/>
    <n v="822"/>
    <n v="0"/>
    <s v="Refund status or reversal timeline inquiry"/>
    <n v="1136"/>
    <x v="0"/>
    <n v="1"/>
    <s v="Aug 2024"/>
    <n v="202408"/>
    <x v="18"/>
  </r>
  <r>
    <n v="7663581771"/>
    <n v="322631460"/>
    <s v="Jennifer Monroe"/>
    <s v="michelle12@example.org"/>
    <n v="85329037"/>
    <n v="8094961855"/>
    <x v="1348"/>
    <d v="2024-07-01T18:53:51"/>
    <x v="2"/>
    <x v="1"/>
    <x v="2"/>
    <x v="5"/>
    <n v="38"/>
    <n v="275"/>
    <n v="0"/>
    <s v="Refund status or reversal timeline inquiry"/>
    <n v="1137"/>
    <x v="0"/>
    <n v="1"/>
    <s v="Jul 2024"/>
    <n v="202407"/>
    <x v="23"/>
  </r>
  <r>
    <n v="7666433379"/>
    <n v="946066287"/>
    <s v="Jerry Taylor"/>
    <s v="zhall@example.org"/>
    <n v="15831819"/>
    <m/>
    <x v="1349"/>
    <d v="2024-11-08T01:52:23"/>
    <x v="5"/>
    <x v="4"/>
    <x v="3"/>
    <x v="5"/>
    <n v="9"/>
    <n v="240"/>
    <n v="0"/>
    <s v="Login, OTP, or password reset issue"/>
    <n v="1138"/>
    <x v="0"/>
    <n v="1"/>
    <s v="Nov 2024"/>
    <n v="202411"/>
    <x v="11"/>
  </r>
  <r>
    <n v="7667810623"/>
    <n v="874597473"/>
    <s v="Nathan Carter"/>
    <s v="jamietyler@example.com"/>
    <n v="81182864"/>
    <n v="5093296976"/>
    <x v="1350"/>
    <d v="2025-03-16T21:36:29"/>
    <x v="4"/>
    <x v="1"/>
    <x v="1"/>
    <x v="5"/>
    <n v="63"/>
    <n v="420"/>
    <n v="0"/>
    <s v="Refund status or reversal timeline inquiry"/>
    <n v="1139"/>
    <x v="0"/>
    <n v="1"/>
    <s v="Mar 2025"/>
    <n v="202503"/>
    <x v="20"/>
  </r>
  <r>
    <n v="7674824067"/>
    <n v="387195524"/>
    <s v="Nancy Cook"/>
    <s v="rachael29@example.net"/>
    <n v="55176955"/>
    <m/>
    <x v="1351"/>
    <d v="2025-10-01T02:03:24"/>
    <x v="0"/>
    <x v="2"/>
    <x v="2"/>
    <x v="5"/>
    <n v="11"/>
    <n v="245"/>
    <n v="0"/>
    <s v="Customer questioned invoice amount and prorated charges"/>
    <n v="1141"/>
    <x v="0"/>
    <n v="1"/>
    <s v="Sep 2025"/>
    <n v="202509"/>
    <x v="9"/>
  </r>
  <r>
    <n v="7691379296"/>
    <n v="786111573"/>
    <s v="Danny Bell MD"/>
    <s v="andrewbrown@example.org"/>
    <n v="75228535"/>
    <n v="7124949160"/>
    <x v="1352"/>
    <d v="2026-03-02T21:19:55"/>
    <x v="2"/>
    <x v="4"/>
    <x v="2"/>
    <x v="5"/>
    <n v="83"/>
    <n v="88"/>
    <n v="0"/>
    <s v="Login, OTP, or password reset issue"/>
    <n v="1144"/>
    <x v="0"/>
    <n v="1"/>
    <s v="Mar 2026"/>
    <n v="202603"/>
    <x v="10"/>
  </r>
  <r>
    <n v="7747301617"/>
    <n v="703091482"/>
    <s v="Jamie Wu"/>
    <s v="pattonbryan@example.com"/>
    <n v="53507489"/>
    <n v="7704266577"/>
    <x v="1353"/>
    <d v="2025-08-12T08:05:07"/>
    <x v="6"/>
    <x v="3"/>
    <x v="1"/>
    <x v="5"/>
    <n v="113"/>
    <n v="751"/>
    <n v="0"/>
    <s v="Shipment or installation appointment delayed beyond ETA"/>
    <n v="1148"/>
    <x v="0"/>
    <n v="1"/>
    <s v="Aug 2025"/>
    <n v="202508"/>
    <x v="22"/>
  </r>
  <r>
    <n v="7748429750"/>
    <n v="712745501"/>
    <s v="Lawrence Wilkinson"/>
    <s v="patriciagonzalez@example.net"/>
    <n v="36697396"/>
    <n v="1863034397"/>
    <x v="1354"/>
    <d v="2025-01-18T16:00:15"/>
    <x v="2"/>
    <x v="0"/>
    <x v="0"/>
    <x v="5"/>
    <n v="38"/>
    <n v="359"/>
    <n v="0"/>
    <s v="Customer reported intermittent service and repeat disruptions"/>
    <n v="1150"/>
    <x v="0"/>
    <n v="1"/>
    <s v="Jan 2025"/>
    <n v="202501"/>
    <x v="16"/>
  </r>
  <r>
    <n v="7776215031"/>
    <n v="478833337"/>
    <s v="Danielle Gonzalez"/>
    <s v="wlynn@example.org"/>
    <n v="57683626"/>
    <m/>
    <x v="1355"/>
    <d v="2024-10-15T10:08:01"/>
    <x v="3"/>
    <x v="5"/>
    <x v="2"/>
    <x v="5"/>
    <n v="55"/>
    <n v="566"/>
    <n v="0"/>
    <s v="App, network, or device troubleshooting requested"/>
    <n v="1155"/>
    <x v="0"/>
    <n v="1"/>
    <s v="Oct 2024"/>
    <n v="202410"/>
    <x v="1"/>
  </r>
  <r>
    <n v="7800397988"/>
    <n v="874364348"/>
    <s v="Barry Ramos"/>
    <s v="laura90@example.com"/>
    <n v="55667651"/>
    <m/>
    <x v="1356"/>
    <d v="2025-03-05T03:35:05"/>
    <x v="4"/>
    <x v="2"/>
    <x v="2"/>
    <x v="5"/>
    <n v="15"/>
    <n v="597"/>
    <n v="0"/>
    <s v="Customer questioned invoice amount and prorated charges"/>
    <n v="1157"/>
    <x v="0"/>
    <n v="1"/>
    <s v="Mar 2025"/>
    <n v="202503"/>
    <x v="20"/>
  </r>
  <r>
    <n v="7802399223"/>
    <n v="871588919"/>
    <s v="Cynthia Lambert"/>
    <s v="lauradyer@example.org"/>
    <n v="28566572"/>
    <n v="9506361521"/>
    <x v="1357"/>
    <d v="2025-02-15T00:20:33"/>
    <x v="6"/>
    <x v="4"/>
    <x v="3"/>
    <x v="5"/>
    <n v="59"/>
    <n v="325"/>
    <n v="0"/>
    <s v="Login, OTP, or password reset issue"/>
    <n v="1158"/>
    <x v="0"/>
    <n v="1"/>
    <s v="Feb 2025"/>
    <n v="202502"/>
    <x v="14"/>
  </r>
  <r>
    <n v="7810109748"/>
    <n v="843937341"/>
    <s v="Anthony Moore"/>
    <s v="craigjoseph@example.net"/>
    <n v="20709497"/>
    <m/>
    <x v="1358"/>
    <d v="2024-11-14T17:22:32"/>
    <x v="5"/>
    <x v="5"/>
    <x v="0"/>
    <x v="5"/>
    <n v="19"/>
    <n v="326"/>
    <n v="0"/>
    <s v="App, network, or device troubleshooting requested"/>
    <n v="1159"/>
    <x v="0"/>
    <n v="1"/>
    <s v="Nov 2024"/>
    <n v="202411"/>
    <x v="11"/>
  </r>
  <r>
    <n v="7819176070"/>
    <n v="799145494"/>
    <s v="Vicki Stokes"/>
    <s v="danielgilmore@example.net"/>
    <n v="42138745"/>
    <m/>
    <x v="1359"/>
    <d v="2024-01-07T07:43:14"/>
    <x v="4"/>
    <x v="5"/>
    <x v="2"/>
    <x v="5"/>
    <n v="32"/>
    <n v="511"/>
    <n v="0"/>
    <s v="App, network, or device troubleshooting requested"/>
    <n v="1161"/>
    <x v="0"/>
    <n v="1"/>
    <s v="Jan 2024"/>
    <n v="202401"/>
    <x v="17"/>
  </r>
  <r>
    <n v="7820889546"/>
    <n v="233654018"/>
    <s v="Megan Kaiser"/>
    <s v="amy01@example.org"/>
    <n v="56164955"/>
    <m/>
    <x v="1360"/>
    <d v="2025-04-15T19:48:45"/>
    <x v="3"/>
    <x v="3"/>
    <x v="0"/>
    <x v="5"/>
    <n v="13"/>
    <n v="728"/>
    <n v="0"/>
    <s v="Shipment or installation appointment delayed beyond ETA"/>
    <n v="1162"/>
    <x v="0"/>
    <n v="1"/>
    <s v="Apr 2025"/>
    <n v="202504"/>
    <x v="6"/>
  </r>
  <r>
    <n v="7837492049"/>
    <n v="192573170"/>
    <s v="Sarah Walters"/>
    <s v="blairshirley@example.org"/>
    <n v="33978249"/>
    <m/>
    <x v="1361"/>
    <d v="2025-11-08T12:50:06"/>
    <x v="4"/>
    <x v="4"/>
    <x v="2"/>
    <x v="5"/>
    <n v="52"/>
    <n v="634"/>
    <n v="0"/>
    <s v="Login, OTP, or password reset issue"/>
    <n v="1163"/>
    <x v="0"/>
    <n v="1"/>
    <s v="Nov 2025"/>
    <n v="202511"/>
    <x v="4"/>
  </r>
  <r>
    <n v="7856658554"/>
    <n v="755064741"/>
    <s v="Angela Warren"/>
    <s v="greenmartin@example.org"/>
    <n v="81498611"/>
    <m/>
    <x v="1362"/>
    <d v="2025-05-07T12:07:48"/>
    <x v="5"/>
    <x v="5"/>
    <x v="2"/>
    <x v="5"/>
    <n v="37"/>
    <n v="380"/>
    <n v="0"/>
    <s v="App, network, or device troubleshooting requested"/>
    <n v="1167"/>
    <x v="0"/>
    <n v="1"/>
    <s v="May 2025"/>
    <n v="202505"/>
    <x v="5"/>
  </r>
  <r>
    <n v="7870160337"/>
    <n v="715122372"/>
    <s v="Joseph Horn"/>
    <s v="cheryl54@example.com"/>
    <n v="83793389"/>
    <n v="9649635759"/>
    <x v="1363"/>
    <d v="2026-02-09T20:57:54"/>
    <x v="4"/>
    <x v="5"/>
    <x v="3"/>
    <x v="5"/>
    <n v="20"/>
    <n v="273"/>
    <n v="0"/>
    <s v="App, network, or device troubleshooting requested"/>
    <n v="1169"/>
    <x v="0"/>
    <n v="1"/>
    <s v="Feb 2026"/>
    <n v="202602"/>
    <x v="25"/>
  </r>
  <r>
    <n v="7944662433"/>
    <n v="694018597"/>
    <s v="Jeanne Lee"/>
    <s v="chad42@example.com"/>
    <n v="18526544"/>
    <n v="5600916521"/>
    <x v="1364"/>
    <d v="2024-10-07T04:23:38"/>
    <x v="3"/>
    <x v="4"/>
    <x v="0"/>
    <x v="5"/>
    <n v="31"/>
    <n v="358"/>
    <n v="0"/>
    <s v="Login, OTP, or password reset issue"/>
    <n v="1178"/>
    <x v="0"/>
    <n v="1"/>
    <s v="Oct 2024"/>
    <n v="202410"/>
    <x v="1"/>
  </r>
  <r>
    <n v="7952417701"/>
    <n v="560891752"/>
    <s v="Nathan Brown"/>
    <s v="haynescharles@example.net"/>
    <n v="77827638"/>
    <m/>
    <x v="1365"/>
    <d v="2024-08-06T05:26:42"/>
    <x v="5"/>
    <x v="4"/>
    <x v="1"/>
    <x v="5"/>
    <n v="51"/>
    <n v="562"/>
    <n v="0"/>
    <s v="Login, OTP, or password reset issue"/>
    <n v="1180"/>
    <x v="0"/>
    <n v="1"/>
    <s v="Aug 2024"/>
    <n v="202408"/>
    <x v="18"/>
  </r>
  <r>
    <n v="8016945819"/>
    <n v="393622794"/>
    <s v="Gary Garcia"/>
    <s v="bartonpaige@example.net"/>
    <n v="49349722"/>
    <m/>
    <x v="1366"/>
    <d v="2024-03-10T21:08:03"/>
    <x v="5"/>
    <x v="1"/>
    <x v="3"/>
    <x v="5"/>
    <n v="55"/>
    <n v="165"/>
    <n v="0"/>
    <s v="Refund status or reversal timeline inquiry"/>
    <n v="1184"/>
    <x v="0"/>
    <n v="1"/>
    <s v="Mar 2024"/>
    <n v="202403"/>
    <x v="15"/>
  </r>
  <r>
    <n v="8053938684"/>
    <n v="835172306"/>
    <s v="Alejandra Price"/>
    <s v="elizabeth51@example.org"/>
    <n v="59684848"/>
    <n v="7519795910"/>
    <x v="1367"/>
    <d v="2025-01-17T10:42:49"/>
    <x v="4"/>
    <x v="5"/>
    <x v="2"/>
    <x v="5"/>
    <n v="57"/>
    <n v="553"/>
    <n v="0"/>
    <s v="App, network, or device troubleshooting requested"/>
    <n v="1190"/>
    <x v="0"/>
    <n v="1"/>
    <s v="Jan 2025"/>
    <n v="202501"/>
    <x v="16"/>
  </r>
  <r>
    <n v="8077873290"/>
    <n v="847401602"/>
    <s v="Raven Mclaughlin"/>
    <s v="barbaramcgrath@example.com"/>
    <n v="45575298"/>
    <n v="3546395964"/>
    <x v="1368"/>
    <d v="2025-09-27T08:50:09"/>
    <x v="5"/>
    <x v="2"/>
    <x v="2"/>
    <x v="5"/>
    <n v="55"/>
    <n v="222"/>
    <n v="0"/>
    <s v="Customer questioned invoice amount and prorated charges"/>
    <n v="1192"/>
    <x v="0"/>
    <n v="1"/>
    <s v="Sep 2025"/>
    <n v="202509"/>
    <x v="9"/>
  </r>
  <r>
    <n v="8089537254"/>
    <n v="590822013"/>
    <s v="Matthew Wright"/>
    <s v="elizabeth62@example.net"/>
    <n v="66306997"/>
    <n v="4393042281"/>
    <x v="1369"/>
    <d v="2024-05-05T04:41:27"/>
    <x v="2"/>
    <x v="2"/>
    <x v="0"/>
    <x v="5"/>
    <n v="57"/>
    <n v="62"/>
    <n v="0"/>
    <s v="Customer questioned invoice amount and prorated charges"/>
    <n v="1194"/>
    <x v="0"/>
    <n v="1"/>
    <s v="May 2024"/>
    <n v="202405"/>
    <x v="24"/>
  </r>
  <r>
    <n v="8092416273"/>
    <n v="530121245"/>
    <s v="James Thomas"/>
    <s v="adkinslauren@example.net"/>
    <n v="35808537"/>
    <m/>
    <x v="1370"/>
    <d v="2024-08-25T07:41:21"/>
    <x v="0"/>
    <x v="3"/>
    <x v="2"/>
    <x v="5"/>
    <n v="1"/>
    <n v="364"/>
    <n v="0"/>
    <s v="Shipment or installation appointment delayed beyond ETA"/>
    <n v="1195"/>
    <x v="0"/>
    <n v="1"/>
    <s v="Aug 2024"/>
    <n v="202408"/>
    <x v="18"/>
  </r>
  <r>
    <n v="8104390575"/>
    <n v="673390109"/>
    <s v="Susan Wilson"/>
    <s v="jane39@example.com"/>
    <n v="87490893"/>
    <m/>
    <x v="1371"/>
    <d v="2025-11-20T09:35:36"/>
    <x v="0"/>
    <x v="2"/>
    <x v="2"/>
    <x v="5"/>
    <n v="47"/>
    <n v="269"/>
    <n v="0"/>
    <s v="Customer questioned invoice amount and prorated charges"/>
    <n v="1196"/>
    <x v="0"/>
    <n v="1"/>
    <s v="Nov 2025"/>
    <n v="202511"/>
    <x v="4"/>
  </r>
  <r>
    <n v="8152259379"/>
    <n v="341449138"/>
    <s v="Danielle Lee"/>
    <s v="allisonbrown@example.com"/>
    <n v="91030736"/>
    <m/>
    <x v="1372"/>
    <d v="2026-03-02T18:23:04"/>
    <x v="3"/>
    <x v="0"/>
    <x v="2"/>
    <x v="5"/>
    <n v="54"/>
    <n v="647"/>
    <n v="0"/>
    <s v="Customer reported intermittent service and repeat disruptions"/>
    <n v="1202"/>
    <x v="0"/>
    <n v="1"/>
    <s v="Mar 2026"/>
    <n v="202603"/>
    <x v="10"/>
  </r>
  <r>
    <n v="8166969410"/>
    <n v="992649957"/>
    <s v="Christopher Thomas"/>
    <s v="vjones@example.net"/>
    <n v="22448136"/>
    <m/>
    <x v="1373"/>
    <d v="2024-04-06T18:21:18"/>
    <x v="5"/>
    <x v="5"/>
    <x v="1"/>
    <x v="5"/>
    <n v="55"/>
    <n v="804"/>
    <n v="0"/>
    <s v="App, network, or device troubleshooting requested"/>
    <n v="1205"/>
    <x v="0"/>
    <n v="1"/>
    <s v="Apr 2024"/>
    <n v="202404"/>
    <x v="2"/>
  </r>
  <r>
    <n v="8191770328"/>
    <n v="605547798"/>
    <s v="Eugene Sparks"/>
    <s v="elizabethrobertson@example.com"/>
    <n v="10076758"/>
    <m/>
    <x v="1374"/>
    <d v="2025-12-16T11:20:26"/>
    <x v="3"/>
    <x v="0"/>
    <x v="2"/>
    <x v="5"/>
    <n v="63"/>
    <n v="541"/>
    <n v="0"/>
    <s v="Customer reported intermittent service and repeat disruptions"/>
    <n v="1209"/>
    <x v="0"/>
    <n v="1"/>
    <s v="Dec 2025"/>
    <n v="202512"/>
    <x v="21"/>
  </r>
  <r>
    <n v="8194528779"/>
    <n v="690554938"/>
    <s v="Evan Buchanan"/>
    <s v="meyertiffany@example.net"/>
    <n v="31472420"/>
    <n v="9949069966"/>
    <x v="1375"/>
    <d v="2026-03-11T09:37:11"/>
    <x v="5"/>
    <x v="4"/>
    <x v="0"/>
    <x v="5"/>
    <n v="31"/>
    <n v="333"/>
    <n v="0"/>
    <s v="Login, OTP, or password reset issue"/>
    <n v="1210"/>
    <x v="0"/>
    <n v="1"/>
    <s v="Mar 2026"/>
    <n v="202603"/>
    <x v="10"/>
  </r>
  <r>
    <n v="8200221515"/>
    <n v="391651334"/>
    <s v="Katherine Porter DVM"/>
    <s v="rodneynolan@example.com"/>
    <n v="95899313"/>
    <m/>
    <x v="1376"/>
    <d v="2026-03-13T12:43:20"/>
    <x v="3"/>
    <x v="5"/>
    <x v="1"/>
    <x v="5"/>
    <n v="8"/>
    <n v="872"/>
    <n v="0"/>
    <s v="App, network, or device troubleshooting requested"/>
    <n v="1211"/>
    <x v="0"/>
    <n v="1"/>
    <s v="Mar 2026"/>
    <n v="202603"/>
    <x v="10"/>
  </r>
  <r>
    <n v="8211796419"/>
    <n v="773412230"/>
    <s v="Eileen Valdez"/>
    <s v="luis88@example.org"/>
    <n v="47295260"/>
    <m/>
    <x v="1377"/>
    <d v="2025-11-09T20:53:35"/>
    <x v="2"/>
    <x v="0"/>
    <x v="1"/>
    <x v="5"/>
    <n v="4"/>
    <n v="618"/>
    <n v="0"/>
    <s v="Customer reported intermittent service and repeat disruptions"/>
    <n v="1214"/>
    <x v="0"/>
    <n v="1"/>
    <s v="Nov 2025"/>
    <n v="202511"/>
    <x v="4"/>
  </r>
  <r>
    <n v="8214072080"/>
    <n v="139711044"/>
    <s v="Charles Delgado"/>
    <s v="thomasantonio@example.net"/>
    <n v="97226012"/>
    <n v="4329701564"/>
    <x v="1378"/>
    <d v="2024-01-11T04:35:19"/>
    <x v="3"/>
    <x v="3"/>
    <x v="3"/>
    <x v="5"/>
    <n v="5"/>
    <n v="209"/>
    <n v="0"/>
    <s v="Shipment or installation appointment delayed beyond ETA"/>
    <n v="1215"/>
    <x v="0"/>
    <n v="1"/>
    <s v="Jan 2024"/>
    <n v="202401"/>
    <x v="17"/>
  </r>
  <r>
    <n v="8214323842"/>
    <n v="344322679"/>
    <s v="Cheryl Rogers"/>
    <s v="mramirez@example.com"/>
    <n v="83793389"/>
    <n v="3939637388"/>
    <x v="1379"/>
    <d v="2024-06-17T05:14:34"/>
    <x v="3"/>
    <x v="3"/>
    <x v="2"/>
    <x v="5"/>
    <n v="56"/>
    <n v="135"/>
    <n v="0"/>
    <s v="Shipment or installation appointment delayed beyond ETA"/>
    <n v="1216"/>
    <x v="0"/>
    <n v="1"/>
    <s v="Jun 2024"/>
    <n v="202406"/>
    <x v="26"/>
  </r>
  <r>
    <n v="8257888483"/>
    <n v="968253265"/>
    <s v="Sheena Guerra"/>
    <s v="kevinmartin@example.net"/>
    <n v="96977837"/>
    <m/>
    <x v="1380"/>
    <d v="2025-11-26T17:52:49"/>
    <x v="4"/>
    <x v="2"/>
    <x v="0"/>
    <x v="5"/>
    <n v="1"/>
    <n v="825"/>
    <n v="0"/>
    <s v="Customer questioned invoice amount and prorated charges"/>
    <n v="1222"/>
    <x v="0"/>
    <n v="1"/>
    <s v="Nov 2025"/>
    <n v="202511"/>
    <x v="4"/>
  </r>
  <r>
    <n v="8259101517"/>
    <n v="902874167"/>
    <s v="Michael Sweeney"/>
    <s v="michaellopez@example.net"/>
    <n v="70855700"/>
    <m/>
    <x v="1381"/>
    <d v="2025-12-23T22:31:45"/>
    <x v="0"/>
    <x v="5"/>
    <x v="0"/>
    <x v="5"/>
    <n v="30"/>
    <n v="333"/>
    <n v="0"/>
    <s v="App, network, or device troubleshooting requested"/>
    <n v="1223"/>
    <x v="0"/>
    <n v="1"/>
    <s v="Dec 2025"/>
    <n v="202512"/>
    <x v="21"/>
  </r>
  <r>
    <n v="8277690297"/>
    <n v="380016058"/>
    <s v="Crystal Hansen"/>
    <s v="kelsey85@example.org"/>
    <n v="81971316"/>
    <m/>
    <x v="1382"/>
    <d v="2026-03-16T10:42:05"/>
    <x v="6"/>
    <x v="2"/>
    <x v="3"/>
    <x v="5"/>
    <n v="18"/>
    <n v="903"/>
    <n v="0"/>
    <s v="Customer questioned invoice amount and prorated charges"/>
    <n v="1227"/>
    <x v="0"/>
    <n v="1"/>
    <s v="Mar 2026"/>
    <n v="202603"/>
    <x v="10"/>
  </r>
  <r>
    <n v="8288083077"/>
    <n v="581682167"/>
    <s v="Amanda Smith"/>
    <s v="stephanie15@example.org"/>
    <n v="89089901"/>
    <m/>
    <x v="1383"/>
    <d v="2025-02-16T19:48:04"/>
    <x v="0"/>
    <x v="5"/>
    <x v="3"/>
    <x v="5"/>
    <n v="59"/>
    <n v="414"/>
    <n v="0"/>
    <s v="App, network, or device troubleshooting requested"/>
    <n v="1228"/>
    <x v="0"/>
    <n v="1"/>
    <s v="Feb 2025"/>
    <n v="202502"/>
    <x v="14"/>
  </r>
  <r>
    <n v="8290725484"/>
    <n v="839393192"/>
    <s v="Nathan Jones"/>
    <s v="stephanie67@example.net"/>
    <n v="36998038"/>
    <n v="5924562641"/>
    <x v="1384"/>
    <d v="2025-12-10T04:58:29"/>
    <x v="5"/>
    <x v="2"/>
    <x v="0"/>
    <x v="5"/>
    <n v="58"/>
    <n v="530"/>
    <n v="0"/>
    <s v="Customer questioned invoice amount and prorated charges"/>
    <n v="1229"/>
    <x v="0"/>
    <n v="1"/>
    <s v="Dec 2025"/>
    <n v="202512"/>
    <x v="21"/>
  </r>
  <r>
    <n v="8349671737"/>
    <n v="157184151"/>
    <s v="Kayla Mccullough"/>
    <s v="taylorkaren@example.com"/>
    <n v="13999315"/>
    <n v="3051815663"/>
    <x v="1385"/>
    <d v="2024-02-04T04:49:52"/>
    <x v="3"/>
    <x v="0"/>
    <x v="3"/>
    <x v="5"/>
    <n v="1"/>
    <n v="342"/>
    <n v="0"/>
    <s v="Customer reported intermittent service and repeat disruptions"/>
    <n v="1233"/>
    <x v="0"/>
    <n v="1"/>
    <s v="Feb 2024"/>
    <n v="202402"/>
    <x v="7"/>
  </r>
  <r>
    <n v="8364295431"/>
    <n v="846668526"/>
    <s v="Robin Johnson"/>
    <s v="jeremiah56@example.net"/>
    <n v="32162965"/>
    <m/>
    <x v="1386"/>
    <d v="2024-11-20T06:40:29"/>
    <x v="3"/>
    <x v="3"/>
    <x v="0"/>
    <x v="5"/>
    <n v="46"/>
    <n v="306"/>
    <n v="0"/>
    <s v="Shipment or installation appointment delayed beyond ETA"/>
    <n v="1234"/>
    <x v="0"/>
    <n v="1"/>
    <s v="Nov 2024"/>
    <n v="202411"/>
    <x v="11"/>
  </r>
  <r>
    <n v="8401467732"/>
    <n v="461971444"/>
    <s v="Mary Cowan"/>
    <s v="garywebster@example.org"/>
    <n v="75579548"/>
    <n v="2634106492"/>
    <x v="1387"/>
    <d v="2024-07-30T08:55:12"/>
    <x v="2"/>
    <x v="1"/>
    <x v="2"/>
    <x v="5"/>
    <n v="57"/>
    <n v="302"/>
    <n v="0"/>
    <s v="Refund status or reversal timeline inquiry"/>
    <n v="1238"/>
    <x v="0"/>
    <n v="1"/>
    <s v="Jul 2024"/>
    <n v="202407"/>
    <x v="23"/>
  </r>
  <r>
    <n v="8402405967"/>
    <n v="341096660"/>
    <s v="Antonio Mccormick"/>
    <s v="courtney86@example.com"/>
    <n v="49349722"/>
    <n v="4910446704"/>
    <x v="1388"/>
    <d v="2025-11-27T08:41:07"/>
    <x v="1"/>
    <x v="5"/>
    <x v="2"/>
    <x v="5"/>
    <n v="34"/>
    <n v="53"/>
    <n v="0"/>
    <s v="App, network, or device troubleshooting requested"/>
    <n v="1239"/>
    <x v="0"/>
    <n v="1"/>
    <s v="Nov 2025"/>
    <n v="202511"/>
    <x v="4"/>
  </r>
  <r>
    <n v="8405370349"/>
    <n v="380016058"/>
    <s v="Crystal Hansen"/>
    <s v="kelsey85@example.org"/>
    <n v="40587988"/>
    <n v="6816218289"/>
    <x v="1389"/>
    <d v="2024-02-10T04:37:20"/>
    <x v="3"/>
    <x v="5"/>
    <x v="2"/>
    <x v="5"/>
    <n v="53"/>
    <n v="893"/>
    <n v="0"/>
    <s v="App, network, or device troubleshooting requested"/>
    <n v="1240"/>
    <x v="0"/>
    <n v="1"/>
    <s v="Feb 2024"/>
    <n v="202402"/>
    <x v="7"/>
  </r>
  <r>
    <n v="8416359231"/>
    <n v="247709679"/>
    <s v="Jessica Stephens"/>
    <s v="rebekahserrano@example.org"/>
    <n v="55657579"/>
    <n v="5589770880"/>
    <x v="1390"/>
    <d v="2024-05-03T23:29:38"/>
    <x v="1"/>
    <x v="3"/>
    <x v="1"/>
    <x v="5"/>
    <n v="19"/>
    <n v="283"/>
    <n v="0"/>
    <s v="Shipment or installation appointment delayed beyond ETA"/>
    <n v="1241"/>
    <x v="0"/>
    <n v="1"/>
    <s v="May 2024"/>
    <n v="202405"/>
    <x v="24"/>
  </r>
  <r>
    <n v="8424513063"/>
    <n v="655511084"/>
    <s v="Dustin Dorsey"/>
    <s v="tmcdaniel@example.org"/>
    <n v="47308985"/>
    <m/>
    <x v="1391"/>
    <d v="2024-01-21T10:05:06"/>
    <x v="5"/>
    <x v="2"/>
    <x v="1"/>
    <x v="5"/>
    <n v="24"/>
    <n v="150"/>
    <n v="0"/>
    <s v="Customer questioned invoice amount and prorated charges"/>
    <n v="1242"/>
    <x v="0"/>
    <n v="1"/>
    <s v="Jan 2024"/>
    <n v="202401"/>
    <x v="17"/>
  </r>
  <r>
    <n v="8439951403"/>
    <n v="322562836"/>
    <s v="Michelle Cobb"/>
    <s v="obrienjames@example.net"/>
    <n v="19335534"/>
    <m/>
    <x v="1392"/>
    <d v="2026-03-15T17:48:29"/>
    <x v="6"/>
    <x v="0"/>
    <x v="1"/>
    <x v="5"/>
    <n v="3"/>
    <n v="530"/>
    <n v="0"/>
    <s v="Customer reported intermittent service and repeat disruptions"/>
    <n v="1244"/>
    <x v="0"/>
    <n v="1"/>
    <s v="Mar 2026"/>
    <n v="202603"/>
    <x v="10"/>
  </r>
  <r>
    <n v="8443415675"/>
    <n v="210163669"/>
    <s v="Jennifer Houston"/>
    <s v="thomaskevin@example.net"/>
    <n v="29175900"/>
    <m/>
    <x v="1393"/>
    <d v="2024-02-28T15:29:41"/>
    <x v="1"/>
    <x v="3"/>
    <x v="1"/>
    <x v="5"/>
    <n v="4"/>
    <n v="408"/>
    <n v="0"/>
    <s v="Shipment or installation appointment delayed beyond ETA"/>
    <n v="1246"/>
    <x v="0"/>
    <n v="1"/>
    <s v="Feb 2024"/>
    <n v="202402"/>
    <x v="7"/>
  </r>
  <r>
    <n v="8459264626"/>
    <n v="746879296"/>
    <s v="Rachel Tucker"/>
    <s v="kellis@example.org"/>
    <n v="95225343"/>
    <m/>
    <x v="1394"/>
    <d v="2024-11-14T19:17:09"/>
    <x v="2"/>
    <x v="1"/>
    <x v="2"/>
    <x v="5"/>
    <n v="53"/>
    <n v="1127"/>
    <n v="0"/>
    <s v="Refund status or reversal timeline inquiry"/>
    <n v="1248"/>
    <x v="0"/>
    <n v="1"/>
    <s v="Nov 2024"/>
    <n v="202411"/>
    <x v="11"/>
  </r>
  <r>
    <n v="8509485283"/>
    <n v="774585778"/>
    <s v="Anna Wade"/>
    <s v="thomasmaldonado@example.com"/>
    <n v="23756669"/>
    <m/>
    <x v="1395"/>
    <d v="2026-01-13T07:22:35"/>
    <x v="4"/>
    <x v="5"/>
    <x v="1"/>
    <x v="5"/>
    <n v="32"/>
    <n v="296"/>
    <n v="0"/>
    <s v="App, network, or device troubleshooting requested"/>
    <n v="1258"/>
    <x v="0"/>
    <n v="1"/>
    <s v="Jan 2026"/>
    <n v="202601"/>
    <x v="0"/>
  </r>
  <r>
    <n v="8511615755"/>
    <n v="825708356"/>
    <s v="Heather Blake"/>
    <s v="trevor68@example.org"/>
    <n v="39476249"/>
    <n v="6070949719"/>
    <x v="1396"/>
    <d v="2024-11-24T14:38:56"/>
    <x v="5"/>
    <x v="3"/>
    <x v="1"/>
    <x v="5"/>
    <n v="69"/>
    <n v="74"/>
    <n v="0"/>
    <s v="Shipment or installation appointment delayed beyond ETA"/>
    <n v="1259"/>
    <x v="0"/>
    <n v="1"/>
    <s v="Nov 2024"/>
    <n v="202411"/>
    <x v="11"/>
  </r>
  <r>
    <n v="8518996760"/>
    <n v="804086195"/>
    <s v="Jacqueline Thompson"/>
    <s v="toddlloyd@example.org"/>
    <n v="60806024"/>
    <m/>
    <x v="1397"/>
    <d v="2024-04-26T06:50:49"/>
    <x v="6"/>
    <x v="2"/>
    <x v="0"/>
    <x v="5"/>
    <n v="4"/>
    <n v="517"/>
    <n v="0"/>
    <s v="Customer questioned invoice amount and prorated charges"/>
    <n v="1260"/>
    <x v="0"/>
    <n v="1"/>
    <s v="Apr 2024"/>
    <n v="202404"/>
    <x v="2"/>
  </r>
  <r>
    <n v="8527611302"/>
    <n v="507693523"/>
    <s v="Mark Jones"/>
    <s v="brian62@example.net"/>
    <n v="45833156"/>
    <m/>
    <x v="1398"/>
    <d v="2024-12-01T22:20:23"/>
    <x v="6"/>
    <x v="1"/>
    <x v="2"/>
    <x v="5"/>
    <n v="23"/>
    <n v="273"/>
    <n v="0"/>
    <s v="Refund status or reversal timeline inquiry"/>
    <n v="1264"/>
    <x v="0"/>
    <n v="1"/>
    <s v="Dec 2024"/>
    <n v="202412"/>
    <x v="12"/>
  </r>
  <r>
    <n v="8531385585"/>
    <n v="645127678"/>
    <s v="Phillip Bennett"/>
    <s v="molly39@example.com"/>
    <n v="70291817"/>
    <m/>
    <x v="1399"/>
    <d v="2026-02-21T10:41:05"/>
    <x v="5"/>
    <x v="1"/>
    <x v="1"/>
    <x v="5"/>
    <n v="48"/>
    <n v="53"/>
    <n v="0"/>
    <s v="Refund status or reversal timeline inquiry"/>
    <n v="1265"/>
    <x v="0"/>
    <n v="1"/>
    <s v="Feb 2026"/>
    <n v="202602"/>
    <x v="25"/>
  </r>
  <r>
    <n v="8533026492"/>
    <n v="709650444"/>
    <s v="Aaron Joyce"/>
    <s v="cooperlaura@example.org"/>
    <n v="99949389"/>
    <n v="7345454550"/>
    <x v="1400"/>
    <d v="2025-01-09T16:56:44"/>
    <x v="0"/>
    <x v="0"/>
    <x v="0"/>
    <x v="5"/>
    <n v="42"/>
    <n v="823"/>
    <n v="0"/>
    <s v="Customer reported intermittent service and repeat disruptions"/>
    <n v="1266"/>
    <x v="0"/>
    <n v="1"/>
    <s v="Jan 2025"/>
    <n v="202501"/>
    <x v="16"/>
  </r>
  <r>
    <n v="8558831076"/>
    <n v="975535611"/>
    <s v="Kyle Watkins"/>
    <s v="tjensen@example.com"/>
    <n v="17774584"/>
    <m/>
    <x v="1401"/>
    <d v="2024-07-19T06:36:40"/>
    <x v="0"/>
    <x v="4"/>
    <x v="2"/>
    <x v="5"/>
    <n v="34"/>
    <n v="255"/>
    <n v="0"/>
    <s v="Login, OTP, or password reset issue"/>
    <n v="1271"/>
    <x v="0"/>
    <n v="1"/>
    <s v="Jul 2024"/>
    <n v="202407"/>
    <x v="23"/>
  </r>
  <r>
    <n v="8561199922"/>
    <n v="146744734"/>
    <s v="Scott Rubio"/>
    <s v="uwatson@example.com"/>
    <n v="31682744"/>
    <n v="2433400257"/>
    <x v="1402"/>
    <d v="2024-03-08T15:27:43"/>
    <x v="3"/>
    <x v="0"/>
    <x v="2"/>
    <x v="5"/>
    <n v="48"/>
    <n v="211"/>
    <n v="0"/>
    <s v="Customer reported intermittent service and repeat disruptions"/>
    <n v="1272"/>
    <x v="0"/>
    <n v="1"/>
    <s v="Mar 2024"/>
    <n v="202403"/>
    <x v="15"/>
  </r>
  <r>
    <n v="8573824182"/>
    <n v="584394989"/>
    <s v="Mr. Thomas Arias"/>
    <s v="angelaburns@example.org"/>
    <n v="26753883"/>
    <m/>
    <x v="1403"/>
    <d v="2024-11-17T14:10:07"/>
    <x v="1"/>
    <x v="0"/>
    <x v="3"/>
    <x v="5"/>
    <n v="47"/>
    <n v="1060"/>
    <n v="0"/>
    <s v="Customer reported intermittent service and repeat disruptions"/>
    <n v="1274"/>
    <x v="0"/>
    <n v="1"/>
    <s v="Nov 2024"/>
    <n v="202411"/>
    <x v="11"/>
  </r>
  <r>
    <n v="8579267656"/>
    <n v="581682167"/>
    <s v="Amanda Smith"/>
    <s v="stephanie15@example.org"/>
    <n v="91415657"/>
    <m/>
    <x v="1404"/>
    <d v="2025-01-30T21:32:41"/>
    <x v="6"/>
    <x v="2"/>
    <x v="2"/>
    <x v="5"/>
    <n v="10"/>
    <n v="561"/>
    <n v="0"/>
    <s v="Customer questioned invoice amount and prorated charges"/>
    <n v="1275"/>
    <x v="0"/>
    <n v="1"/>
    <s v="Jan 2025"/>
    <n v="202501"/>
    <x v="16"/>
  </r>
  <r>
    <n v="8588536155"/>
    <n v="910395417"/>
    <s v="Anthony Hendricks"/>
    <s v="coxcarol@example.com"/>
    <n v="19289546"/>
    <m/>
    <x v="1405"/>
    <d v="2025-10-09T02:20:16"/>
    <x v="5"/>
    <x v="5"/>
    <x v="2"/>
    <x v="5"/>
    <n v="66"/>
    <n v="740"/>
    <n v="0"/>
    <s v="App, network, or device troubleshooting requested"/>
    <n v="1276"/>
    <x v="0"/>
    <n v="1"/>
    <s v="Oct 2025"/>
    <n v="202510"/>
    <x v="8"/>
  </r>
  <r>
    <n v="8588860325"/>
    <n v="769200551"/>
    <s v="Mrs. Charlotte Stone MD"/>
    <s v="tfrancis@example.com"/>
    <n v="46913810"/>
    <n v="7301035934"/>
    <x v="1406"/>
    <d v="2026-03-15T00:41:14"/>
    <x v="6"/>
    <x v="4"/>
    <x v="2"/>
    <x v="5"/>
    <n v="1"/>
    <n v="660"/>
    <n v="0"/>
    <s v="Login, OTP, or password reset issue"/>
    <n v="1277"/>
    <x v="0"/>
    <n v="1"/>
    <s v="Mar 2026"/>
    <n v="202603"/>
    <x v="10"/>
  </r>
  <r>
    <n v="8596100331"/>
    <n v="703091482"/>
    <s v="Jamie Wu"/>
    <s v="pattonbryan@example.com"/>
    <n v="77187530"/>
    <m/>
    <x v="1407"/>
    <d v="2024-09-23T23:51:25"/>
    <x v="2"/>
    <x v="4"/>
    <x v="0"/>
    <x v="5"/>
    <n v="46"/>
    <n v="883"/>
    <n v="0"/>
    <s v="Login, OTP, or password reset issue"/>
    <n v="1280"/>
    <x v="0"/>
    <n v="1"/>
    <s v="Sep 2024"/>
    <n v="202409"/>
    <x v="3"/>
  </r>
  <r>
    <n v="8600298860"/>
    <n v="881155839"/>
    <s v="Jordan Duffy"/>
    <s v="smithlinda@example.com"/>
    <n v="41227216"/>
    <n v="6642064072"/>
    <x v="1408"/>
    <d v="2026-01-01T12:14:35"/>
    <x v="1"/>
    <x v="2"/>
    <x v="0"/>
    <x v="5"/>
    <n v="62"/>
    <n v="547"/>
    <n v="0"/>
    <s v="Customer questioned invoice amount and prorated charges"/>
    <n v="1281"/>
    <x v="0"/>
    <n v="1"/>
    <s v="Jan 2026"/>
    <n v="202601"/>
    <x v="0"/>
  </r>
  <r>
    <n v="8645367105"/>
    <n v="392956587"/>
    <s v="Teresa Davis"/>
    <s v="thomaslinda@example.net"/>
    <n v="63843426"/>
    <m/>
    <x v="1409"/>
    <d v="2025-08-23T17:39:47"/>
    <x v="5"/>
    <x v="4"/>
    <x v="2"/>
    <x v="5"/>
    <n v="30"/>
    <n v="388"/>
    <n v="0"/>
    <s v="Login, OTP, or password reset issue"/>
    <n v="1288"/>
    <x v="0"/>
    <n v="1"/>
    <s v="Aug 2025"/>
    <n v="202508"/>
    <x v="22"/>
  </r>
  <r>
    <n v="8645780953"/>
    <n v="942211135"/>
    <s v="Caroline David"/>
    <s v="georgeweber@example.net"/>
    <n v="31682744"/>
    <m/>
    <x v="1410"/>
    <d v="2024-02-29T18:12:40"/>
    <x v="0"/>
    <x v="5"/>
    <x v="0"/>
    <x v="5"/>
    <n v="14"/>
    <n v="532"/>
    <n v="0"/>
    <s v="App, network, or device troubleshooting requested"/>
    <n v="1289"/>
    <x v="0"/>
    <n v="1"/>
    <s v="Feb 2024"/>
    <n v="202402"/>
    <x v="7"/>
  </r>
  <r>
    <n v="8648927867"/>
    <n v="715122372"/>
    <s v="Joseph Horn"/>
    <s v="cheryl54@example.com"/>
    <n v="63100814"/>
    <n v="3112353306"/>
    <x v="1411"/>
    <d v="2025-01-28T21:49:06"/>
    <x v="3"/>
    <x v="1"/>
    <x v="2"/>
    <x v="5"/>
    <n v="63"/>
    <n v="489"/>
    <n v="0"/>
    <s v="Refund status or reversal timeline inquiry"/>
    <n v="1290"/>
    <x v="0"/>
    <n v="1"/>
    <s v="Jan 2025"/>
    <n v="202501"/>
    <x v="16"/>
  </r>
  <r>
    <n v="8674109654"/>
    <n v="919390458"/>
    <s v="Jerry Peters"/>
    <s v="fgarcia@example.com"/>
    <n v="90048665"/>
    <n v="1457261738"/>
    <x v="1412"/>
    <d v="2024-12-30T12:37:35"/>
    <x v="0"/>
    <x v="2"/>
    <x v="0"/>
    <x v="5"/>
    <n v="46"/>
    <n v="463"/>
    <n v="0"/>
    <s v="Customer questioned invoice amount and prorated charges"/>
    <n v="1292"/>
    <x v="0"/>
    <n v="1"/>
    <s v="Dec 2024"/>
    <n v="202412"/>
    <x v="12"/>
  </r>
  <r>
    <n v="8682236820"/>
    <n v="415429295"/>
    <s v="Anthony Davidson"/>
    <s v="kimberlywang@example.org"/>
    <n v="51273847"/>
    <n v="6780272082"/>
    <x v="1413"/>
    <d v="2024-02-12T20:03:40"/>
    <x v="4"/>
    <x v="3"/>
    <x v="2"/>
    <x v="5"/>
    <n v="53"/>
    <n v="838"/>
    <n v="0"/>
    <s v="Shipment or installation appointment delayed beyond ETA"/>
    <n v="1294"/>
    <x v="0"/>
    <n v="1"/>
    <s v="Feb 2024"/>
    <n v="202402"/>
    <x v="7"/>
  </r>
  <r>
    <n v="8685065025"/>
    <n v="522240582"/>
    <s v="Caleb Thomas"/>
    <s v="katherine91@example.net"/>
    <n v="66722344"/>
    <m/>
    <x v="1414"/>
    <d v="2024-07-28T02:39:54"/>
    <x v="5"/>
    <x v="3"/>
    <x v="3"/>
    <x v="5"/>
    <n v="11"/>
    <n v="361"/>
    <n v="0"/>
    <s v="Shipment or installation appointment delayed beyond ETA"/>
    <n v="1296"/>
    <x v="0"/>
    <n v="1"/>
    <s v="Jul 2024"/>
    <n v="202407"/>
    <x v="23"/>
  </r>
  <r>
    <n v="8687594450"/>
    <n v="942211135"/>
    <s v="Caroline David"/>
    <s v="georgeweber@example.net"/>
    <n v="52235350"/>
    <m/>
    <x v="1415"/>
    <d v="2026-02-27T03:07:34"/>
    <x v="6"/>
    <x v="1"/>
    <x v="0"/>
    <x v="5"/>
    <n v="19"/>
    <n v="27"/>
    <n v="0"/>
    <s v="Refund status or reversal timeline inquiry"/>
    <n v="1297"/>
    <x v="0"/>
    <n v="1"/>
    <s v="Feb 2026"/>
    <n v="202602"/>
    <x v="25"/>
  </r>
  <r>
    <n v="8704031915"/>
    <n v="709650444"/>
    <s v="Aaron Joyce"/>
    <s v="cooperlaura@example.org"/>
    <n v="90048665"/>
    <m/>
    <x v="1416"/>
    <d v="2025-01-15T08:55:48"/>
    <x v="4"/>
    <x v="3"/>
    <x v="0"/>
    <x v="5"/>
    <n v="31"/>
    <n v="78"/>
    <n v="0"/>
    <s v="Shipment or installation appointment delayed beyond ETA"/>
    <n v="1298"/>
    <x v="0"/>
    <n v="1"/>
    <s v="Jan 2025"/>
    <n v="202501"/>
    <x v="16"/>
  </r>
  <r>
    <n v="8736828459"/>
    <n v="492922240"/>
    <s v="Scott Pacheco"/>
    <s v="collinsterrance@example.com"/>
    <n v="49349722"/>
    <n v="7206735763"/>
    <x v="1417"/>
    <d v="2024-06-24T09:43:06"/>
    <x v="6"/>
    <x v="3"/>
    <x v="2"/>
    <x v="5"/>
    <n v="50"/>
    <n v="501"/>
    <n v="0"/>
    <s v="Shipment or installation appointment delayed beyond ETA"/>
    <n v="1302"/>
    <x v="0"/>
    <n v="1"/>
    <s v="Jun 2024"/>
    <n v="202406"/>
    <x v="26"/>
  </r>
  <r>
    <n v="8757585120"/>
    <n v="843937341"/>
    <s v="Anthony Moore"/>
    <s v="craigjoseph@example.net"/>
    <n v="48840994"/>
    <m/>
    <x v="1418"/>
    <d v="2024-12-03T21:46:27"/>
    <x v="3"/>
    <x v="0"/>
    <x v="1"/>
    <x v="5"/>
    <n v="25"/>
    <n v="249"/>
    <n v="0"/>
    <s v="Customer reported intermittent service and repeat disruptions"/>
    <n v="1306"/>
    <x v="0"/>
    <n v="1"/>
    <s v="Dec 2024"/>
    <n v="202412"/>
    <x v="12"/>
  </r>
  <r>
    <n v="8772119132"/>
    <n v="192573170"/>
    <s v="Sarah Walters"/>
    <s v="blairshirley@example.org"/>
    <n v="13356886"/>
    <n v="6247484687"/>
    <x v="1419"/>
    <d v="2025-12-13T09:53:31"/>
    <x v="5"/>
    <x v="3"/>
    <x v="2"/>
    <x v="5"/>
    <n v="27"/>
    <n v="710"/>
    <n v="0"/>
    <s v="Shipment or installation appointment delayed beyond ETA"/>
    <n v="1309"/>
    <x v="0"/>
    <n v="1"/>
    <s v="Dec 2025"/>
    <n v="202512"/>
    <x v="21"/>
  </r>
  <r>
    <n v="8793464534"/>
    <n v="259923818"/>
    <s v="Zachary Morgan"/>
    <s v="karen71@example.com"/>
    <n v="58181396"/>
    <n v="8030428597"/>
    <x v="1420"/>
    <d v="2024-12-15T01:02:50"/>
    <x v="1"/>
    <x v="0"/>
    <x v="0"/>
    <x v="5"/>
    <n v="63"/>
    <n v="624"/>
    <n v="0"/>
    <s v="Customer reported intermittent service and repeat disruptions"/>
    <n v="1310"/>
    <x v="0"/>
    <n v="1"/>
    <s v="Dec 2024"/>
    <n v="202412"/>
    <x v="12"/>
  </r>
  <r>
    <n v="8809715915"/>
    <n v="653380476"/>
    <s v="Christina Melton"/>
    <s v="ogreer@example.net"/>
    <n v="84752529"/>
    <m/>
    <x v="1421"/>
    <d v="2024-09-03T21:20:36"/>
    <x v="1"/>
    <x v="3"/>
    <x v="0"/>
    <x v="5"/>
    <n v="27"/>
    <n v="591"/>
    <n v="0"/>
    <s v="Shipment or installation appointment delayed beyond ETA"/>
    <n v="1312"/>
    <x v="0"/>
    <n v="1"/>
    <s v="Sep 2024"/>
    <n v="202409"/>
    <x v="3"/>
  </r>
  <r>
    <n v="8830983106"/>
    <n v="716243819"/>
    <s v="Brenda Lawrence"/>
    <s v="zunigakevin@example.com"/>
    <n v="18526544"/>
    <n v="1660017733"/>
    <x v="1422"/>
    <d v="2024-10-20T15:15:59"/>
    <x v="2"/>
    <x v="1"/>
    <x v="3"/>
    <x v="5"/>
    <n v="50"/>
    <n v="377"/>
    <n v="0"/>
    <s v="Refund status or reversal timeline inquiry"/>
    <n v="1316"/>
    <x v="0"/>
    <n v="1"/>
    <s v="Oct 2024"/>
    <n v="202410"/>
    <x v="1"/>
  </r>
  <r>
    <n v="8857213588"/>
    <n v="402104065"/>
    <s v="Philip Chambers"/>
    <s v="schaeferscott@example.net"/>
    <n v="66722344"/>
    <m/>
    <x v="1423"/>
    <d v="2024-04-08T06:55:42"/>
    <x v="2"/>
    <x v="4"/>
    <x v="1"/>
    <x v="5"/>
    <n v="47"/>
    <n v="202"/>
    <n v="0"/>
    <s v="Login, OTP, or password reset issue"/>
    <n v="1319"/>
    <x v="0"/>
    <n v="1"/>
    <s v="Apr 2024"/>
    <n v="202404"/>
    <x v="2"/>
  </r>
  <r>
    <n v="8867986271"/>
    <n v="657568201"/>
    <s v="Andrew Carroll"/>
    <s v="derek77@example.com"/>
    <n v="26879290"/>
    <m/>
    <x v="1424"/>
    <d v="2024-10-18T10:28:06"/>
    <x v="2"/>
    <x v="0"/>
    <x v="2"/>
    <x v="5"/>
    <n v="6"/>
    <n v="508"/>
    <n v="0"/>
    <s v="Customer reported intermittent service and repeat disruptions"/>
    <n v="1321"/>
    <x v="0"/>
    <n v="1"/>
    <s v="Oct 2024"/>
    <n v="202410"/>
    <x v="1"/>
  </r>
  <r>
    <n v="8880041726"/>
    <n v="866803374"/>
    <s v="Lee Roberts"/>
    <s v="bentondavid@example.org"/>
    <n v="85345555"/>
    <n v="1840592753"/>
    <x v="1425"/>
    <d v="2025-08-04T14:38:25"/>
    <x v="5"/>
    <x v="1"/>
    <x v="1"/>
    <x v="5"/>
    <n v="5"/>
    <n v="560"/>
    <n v="0"/>
    <s v="Refund status or reversal timeline inquiry"/>
    <n v="1323"/>
    <x v="0"/>
    <n v="1"/>
    <s v="Aug 2025"/>
    <n v="202508"/>
    <x v="22"/>
  </r>
  <r>
    <n v="8885201792"/>
    <n v="876441691"/>
    <s v="Brian Thompson"/>
    <s v="davisrenee@example.net"/>
    <n v="31682744"/>
    <m/>
    <x v="1426"/>
    <d v="2024-04-01T17:28:01"/>
    <x v="0"/>
    <x v="5"/>
    <x v="2"/>
    <x v="5"/>
    <n v="1"/>
    <n v="526"/>
    <n v="0"/>
    <s v="App, network, or device troubleshooting requested"/>
    <n v="1326"/>
    <x v="0"/>
    <n v="1"/>
    <s v="Apr 2024"/>
    <n v="202404"/>
    <x v="2"/>
  </r>
  <r>
    <n v="8890374506"/>
    <n v="830572478"/>
    <s v="William Mueller"/>
    <s v="gnichols@example.net"/>
    <n v="28740864"/>
    <n v="9368888421"/>
    <x v="1427"/>
    <d v="2024-11-27T15:56:19"/>
    <x v="0"/>
    <x v="2"/>
    <x v="0"/>
    <x v="5"/>
    <n v="4"/>
    <n v="579"/>
    <n v="0"/>
    <s v="Customer questioned invoice amount and prorated charges"/>
    <n v="1328"/>
    <x v="0"/>
    <n v="1"/>
    <s v="Nov 2024"/>
    <n v="202411"/>
    <x v="11"/>
  </r>
  <r>
    <n v="8909063683"/>
    <n v="294181873"/>
    <s v="John Boone"/>
    <s v="megan51@example.com"/>
    <n v="66629388"/>
    <m/>
    <x v="1428"/>
    <d v="2025-02-23T03:07:28"/>
    <x v="0"/>
    <x v="1"/>
    <x v="2"/>
    <x v="5"/>
    <n v="45"/>
    <n v="601"/>
    <n v="0"/>
    <s v="Refund status or reversal timeline inquiry"/>
    <n v="1331"/>
    <x v="0"/>
    <n v="1"/>
    <s v="Feb 2025"/>
    <n v="202502"/>
    <x v="14"/>
  </r>
  <r>
    <n v="8932443528"/>
    <n v="999371401"/>
    <s v="Micheal West"/>
    <s v="nfleming@example.net"/>
    <n v="22448136"/>
    <m/>
    <x v="1429"/>
    <d v="2024-03-24T13:13:53"/>
    <x v="1"/>
    <x v="1"/>
    <x v="0"/>
    <x v="5"/>
    <n v="72"/>
    <n v="512"/>
    <n v="0"/>
    <s v="Refund status or reversal timeline inquiry"/>
    <n v="1332"/>
    <x v="0"/>
    <n v="1"/>
    <s v="Mar 2024"/>
    <n v="202403"/>
    <x v="15"/>
  </r>
  <r>
    <n v="8961814614"/>
    <n v="387195524"/>
    <s v="Nancy Cook"/>
    <s v="rachael29@example.net"/>
    <n v="48840994"/>
    <m/>
    <x v="1430"/>
    <d v="2024-01-12T20:06:51"/>
    <x v="2"/>
    <x v="1"/>
    <x v="2"/>
    <x v="5"/>
    <n v="15"/>
    <n v="410"/>
    <n v="0"/>
    <s v="Refund status or reversal timeline inquiry"/>
    <n v="1335"/>
    <x v="0"/>
    <n v="1"/>
    <s v="Jan 2024"/>
    <n v="202401"/>
    <x v="17"/>
  </r>
  <r>
    <n v="8972056714"/>
    <n v="432098383"/>
    <s v="Tiffany Henderson"/>
    <s v="hjackson@example.com"/>
    <n v="12614124"/>
    <n v="1510253039"/>
    <x v="1431"/>
    <d v="2024-07-08T22:24:01"/>
    <x v="3"/>
    <x v="3"/>
    <x v="2"/>
    <x v="5"/>
    <n v="36"/>
    <n v="207"/>
    <n v="0"/>
    <s v="Shipment or installation appointment delayed beyond ETA"/>
    <n v="1338"/>
    <x v="0"/>
    <n v="1"/>
    <s v="Jul 2024"/>
    <n v="202407"/>
    <x v="23"/>
  </r>
  <r>
    <n v="8989418278"/>
    <n v="140531056"/>
    <s v="Carlos Browning"/>
    <s v="julie23@example.org"/>
    <n v="45264581"/>
    <n v="4435351920"/>
    <x v="1432"/>
    <d v="2026-02-06T07:43:25"/>
    <x v="4"/>
    <x v="0"/>
    <x v="2"/>
    <x v="5"/>
    <n v="37"/>
    <n v="450"/>
    <n v="0"/>
    <s v="Customer reported intermittent service and repeat disruptions"/>
    <n v="1342"/>
    <x v="0"/>
    <n v="1"/>
    <s v="Feb 2026"/>
    <n v="202602"/>
    <x v="25"/>
  </r>
  <r>
    <n v="8991964239"/>
    <n v="405545745"/>
    <s v="Sergio Crawford"/>
    <s v="pageandrew@example.net"/>
    <n v="84752529"/>
    <m/>
    <x v="1433"/>
    <d v="2024-04-29T15:44:21"/>
    <x v="3"/>
    <x v="3"/>
    <x v="2"/>
    <x v="5"/>
    <n v="37"/>
    <n v="695"/>
    <n v="0"/>
    <s v="Shipment or installation appointment delayed beyond ETA"/>
    <n v="1343"/>
    <x v="0"/>
    <n v="1"/>
    <s v="Apr 2024"/>
    <n v="202404"/>
    <x v="2"/>
  </r>
  <r>
    <n v="9006224548"/>
    <n v="139019611"/>
    <s v="Kathryn Thomas"/>
    <s v="markperez@example.com"/>
    <n v="46231783"/>
    <n v="8760139014"/>
    <x v="1434"/>
    <d v="2024-10-27T16:34:22"/>
    <x v="5"/>
    <x v="2"/>
    <x v="0"/>
    <x v="5"/>
    <n v="68"/>
    <n v="98"/>
    <n v="0"/>
    <s v="Customer questioned invoice amount and prorated charges"/>
    <n v="1347"/>
    <x v="0"/>
    <n v="1"/>
    <s v="Oct 2024"/>
    <n v="202410"/>
    <x v="1"/>
  </r>
  <r>
    <n v="9031063171"/>
    <n v="543778963"/>
    <s v="Bianca Mathis"/>
    <s v="shelly20@example.org"/>
    <n v="11540956"/>
    <m/>
    <x v="1435"/>
    <d v="2024-02-16T03:40:07"/>
    <x v="6"/>
    <x v="1"/>
    <x v="1"/>
    <x v="5"/>
    <n v="35"/>
    <n v="637"/>
    <n v="0"/>
    <s v="Refund status or reversal timeline inquiry"/>
    <n v="1351"/>
    <x v="0"/>
    <n v="1"/>
    <s v="Feb 2024"/>
    <n v="202402"/>
    <x v="7"/>
  </r>
  <r>
    <n v="9032517775"/>
    <n v="139321248"/>
    <s v="Jared George"/>
    <s v="pmurphy@example.net"/>
    <n v="71586053"/>
    <m/>
    <x v="1436"/>
    <d v="2025-05-24T07:44:33"/>
    <x v="6"/>
    <x v="3"/>
    <x v="2"/>
    <x v="5"/>
    <n v="52"/>
    <n v="568"/>
    <n v="0"/>
    <s v="Shipment or installation appointment delayed beyond ETA"/>
    <n v="1352"/>
    <x v="0"/>
    <n v="1"/>
    <s v="May 2025"/>
    <n v="202505"/>
    <x v="5"/>
  </r>
  <r>
    <n v="9052616591"/>
    <n v="419561201"/>
    <s v="Shawn Avila"/>
    <s v="michealhardy@example.net"/>
    <n v="89978790"/>
    <m/>
    <x v="1437"/>
    <d v="2025-09-27T21:54:18"/>
    <x v="1"/>
    <x v="2"/>
    <x v="2"/>
    <x v="5"/>
    <n v="73"/>
    <n v="657"/>
    <n v="0"/>
    <s v="Customer questioned invoice amount and prorated charges"/>
    <n v="1355"/>
    <x v="0"/>
    <n v="1"/>
    <s v="Sep 2025"/>
    <n v="202509"/>
    <x v="9"/>
  </r>
  <r>
    <n v="9058814484"/>
    <n v="455069350"/>
    <s v="Lori Browning"/>
    <s v="veronicarogers@example.net"/>
    <n v="45575298"/>
    <n v="3811631556"/>
    <x v="1438"/>
    <d v="2024-01-17T15:29:45"/>
    <x v="5"/>
    <x v="3"/>
    <x v="2"/>
    <x v="5"/>
    <n v="45"/>
    <n v="764"/>
    <n v="0"/>
    <s v="Shipment or installation appointment delayed beyond ETA"/>
    <n v="1358"/>
    <x v="0"/>
    <n v="1"/>
    <s v="Jan 2024"/>
    <n v="202401"/>
    <x v="17"/>
  </r>
  <r>
    <n v="9060973782"/>
    <n v="203810954"/>
    <s v="Christopher Jordan"/>
    <s v="victor24@example.com"/>
    <n v="45503389"/>
    <m/>
    <x v="1439"/>
    <d v="2024-06-21T02:24:26"/>
    <x v="4"/>
    <x v="5"/>
    <x v="2"/>
    <x v="5"/>
    <n v="32"/>
    <n v="272"/>
    <n v="0"/>
    <s v="App, network, or device troubleshooting requested"/>
    <n v="1359"/>
    <x v="0"/>
    <n v="1"/>
    <s v="Jun 2024"/>
    <n v="202406"/>
    <x v="26"/>
  </r>
  <r>
    <n v="9078732141"/>
    <n v="198476695"/>
    <s v="Tina Hall"/>
    <s v="lsoto@example.net"/>
    <n v="11540956"/>
    <n v="7367038689"/>
    <x v="1440"/>
    <d v="2024-05-24T13:12:27"/>
    <x v="0"/>
    <x v="1"/>
    <x v="3"/>
    <x v="5"/>
    <n v="74"/>
    <n v="240"/>
    <n v="0"/>
    <s v="Refund status or reversal timeline inquiry"/>
    <n v="1362"/>
    <x v="0"/>
    <n v="1"/>
    <s v="May 2024"/>
    <n v="202405"/>
    <x v="24"/>
  </r>
  <r>
    <n v="9079177275"/>
    <n v="278933456"/>
    <s v="Johnny Cruz"/>
    <s v="tburke@example.net"/>
    <n v="89089901"/>
    <m/>
    <x v="1441"/>
    <d v="2025-04-11T10:47:15"/>
    <x v="3"/>
    <x v="2"/>
    <x v="2"/>
    <x v="5"/>
    <n v="70"/>
    <n v="161"/>
    <n v="0"/>
    <s v="Customer questioned invoice amount and prorated charges"/>
    <n v="1363"/>
    <x v="0"/>
    <n v="1"/>
    <s v="Apr 2025"/>
    <n v="202504"/>
    <x v="6"/>
  </r>
  <r>
    <n v="9082423578"/>
    <n v="193133974"/>
    <s v="Kristin Flores"/>
    <s v="michaelmontes@example.com"/>
    <n v="13561597"/>
    <n v="2431229740"/>
    <x v="1442"/>
    <d v="2025-08-31T14:35:41"/>
    <x v="0"/>
    <x v="2"/>
    <x v="0"/>
    <x v="5"/>
    <n v="21"/>
    <n v="286"/>
    <n v="0"/>
    <s v="Customer questioned invoice amount and prorated charges"/>
    <n v="1364"/>
    <x v="0"/>
    <n v="1"/>
    <s v="Aug 2025"/>
    <n v="202508"/>
    <x v="22"/>
  </r>
  <r>
    <n v="9084688219"/>
    <n v="992398092"/>
    <s v="Sara Cochran"/>
    <s v="lweaver@example.com"/>
    <n v="20570592"/>
    <m/>
    <x v="1443"/>
    <d v="2025-05-25T04:13:53"/>
    <x v="5"/>
    <x v="5"/>
    <x v="3"/>
    <x v="5"/>
    <n v="9"/>
    <n v="51"/>
    <n v="0"/>
    <s v="App, network, or device troubleshooting requested"/>
    <n v="1366"/>
    <x v="0"/>
    <n v="1"/>
    <s v="May 2025"/>
    <n v="202505"/>
    <x v="5"/>
  </r>
  <r>
    <n v="9127170166"/>
    <n v="726745401"/>
    <s v="Shirley Mooney"/>
    <s v="stonebarbara@example.com"/>
    <n v="63843426"/>
    <m/>
    <x v="1444"/>
    <d v="2026-02-27T15:47:06"/>
    <x v="2"/>
    <x v="2"/>
    <x v="1"/>
    <x v="5"/>
    <n v="54"/>
    <n v="386"/>
    <n v="0"/>
    <s v="Customer questioned invoice amount and prorated charges"/>
    <n v="1373"/>
    <x v="0"/>
    <n v="1"/>
    <s v="Feb 2026"/>
    <n v="202602"/>
    <x v="25"/>
  </r>
  <r>
    <n v="9129327926"/>
    <n v="701818966"/>
    <s v="Victoria Guerra"/>
    <s v="kara01@example.org"/>
    <n v="67503414"/>
    <n v="7228098909"/>
    <x v="1445"/>
    <d v="2024-09-16T11:14:04"/>
    <x v="0"/>
    <x v="4"/>
    <x v="3"/>
    <x v="5"/>
    <n v="12"/>
    <n v="31"/>
    <n v="0"/>
    <s v="Login, OTP, or password reset issue"/>
    <n v="1374"/>
    <x v="0"/>
    <n v="1"/>
    <s v="Sep 2024"/>
    <n v="202409"/>
    <x v="3"/>
  </r>
  <r>
    <n v="9130187688"/>
    <n v="141127742"/>
    <s v="Krista Davis"/>
    <s v="laradonald@example.org"/>
    <n v="73791320"/>
    <m/>
    <x v="1446"/>
    <d v="2025-04-12T13:01:21"/>
    <x v="0"/>
    <x v="5"/>
    <x v="0"/>
    <x v="5"/>
    <n v="2"/>
    <n v="406"/>
    <n v="0"/>
    <s v="App, network, or device troubleshooting requested"/>
    <n v="1375"/>
    <x v="0"/>
    <n v="1"/>
    <s v="Apr 2025"/>
    <n v="202504"/>
    <x v="6"/>
  </r>
  <r>
    <n v="9137456001"/>
    <n v="936597989"/>
    <s v="Christy Payne"/>
    <s v="ana92@example.net"/>
    <n v="60806024"/>
    <n v="6768680689"/>
    <x v="1447"/>
    <d v="2024-08-08T16:53:25"/>
    <x v="3"/>
    <x v="2"/>
    <x v="1"/>
    <x v="5"/>
    <n v="7"/>
    <n v="811"/>
    <n v="0"/>
    <s v="Customer questioned invoice amount and prorated charges"/>
    <n v="1378"/>
    <x v="0"/>
    <n v="1"/>
    <s v="Aug 2024"/>
    <n v="202408"/>
    <x v="18"/>
  </r>
  <r>
    <n v="9137930866"/>
    <n v="945432844"/>
    <s v="Jennifer Russo"/>
    <s v="barkerjohn@example.net"/>
    <n v="47295260"/>
    <m/>
    <x v="1448"/>
    <d v="2024-10-22T13:55:22"/>
    <x v="1"/>
    <x v="2"/>
    <x v="2"/>
    <x v="5"/>
    <n v="30"/>
    <n v="388"/>
    <n v="0"/>
    <s v="Customer questioned invoice amount and prorated charges"/>
    <n v="1379"/>
    <x v="0"/>
    <n v="1"/>
    <s v="Oct 2024"/>
    <n v="202410"/>
    <x v="1"/>
  </r>
  <r>
    <n v="9178126050"/>
    <n v="705180256"/>
    <s v="Thomas Carter"/>
    <s v="kennedymichael@example.net"/>
    <n v="84252722"/>
    <n v="3237656262"/>
    <x v="1449"/>
    <d v="2025-02-05T10:33:18"/>
    <x v="5"/>
    <x v="1"/>
    <x v="2"/>
    <x v="5"/>
    <n v="6"/>
    <n v="437"/>
    <n v="0"/>
    <s v="Refund status or reversal timeline inquiry"/>
    <n v="1382"/>
    <x v="0"/>
    <n v="1"/>
    <s v="Feb 2025"/>
    <n v="202502"/>
    <x v="14"/>
  </r>
  <r>
    <n v="9183270055"/>
    <n v="461597989"/>
    <s v="Connie Brown"/>
    <s v="tblankenship@example.net"/>
    <n v="55176955"/>
    <n v="3301905670"/>
    <x v="1450"/>
    <d v="2024-08-28T19:00:00"/>
    <x v="2"/>
    <x v="5"/>
    <x v="3"/>
    <x v="5"/>
    <n v="47"/>
    <n v="145"/>
    <n v="0"/>
    <s v="App, network, or device troubleshooting requested"/>
    <n v="1384"/>
    <x v="0"/>
    <n v="1"/>
    <s v="Aug 2024"/>
    <n v="202408"/>
    <x v="18"/>
  </r>
  <r>
    <n v="9224916527"/>
    <n v="337135066"/>
    <s v="Seth Curry"/>
    <s v="larsonjennifer@example.org"/>
    <n v="52339391"/>
    <m/>
    <x v="1451"/>
    <d v="2025-10-18T00:53:48"/>
    <x v="2"/>
    <x v="4"/>
    <x v="0"/>
    <x v="5"/>
    <n v="29"/>
    <n v="934"/>
    <n v="0"/>
    <s v="Login, OTP, or password reset issue"/>
    <n v="1387"/>
    <x v="0"/>
    <n v="1"/>
    <s v="Oct 2025"/>
    <n v="202510"/>
    <x v="8"/>
  </r>
  <r>
    <n v="9232680680"/>
    <n v="409011489"/>
    <s v="Allison Grant"/>
    <s v="raymondwilson@example.com"/>
    <n v="90048665"/>
    <m/>
    <x v="1452"/>
    <d v="2024-08-17T16:43:24"/>
    <x v="3"/>
    <x v="3"/>
    <x v="1"/>
    <x v="5"/>
    <n v="14"/>
    <n v="292"/>
    <n v="0"/>
    <s v="Shipment or installation appointment delayed beyond ETA"/>
    <n v="1389"/>
    <x v="0"/>
    <n v="1"/>
    <s v="Aug 2024"/>
    <n v="202408"/>
    <x v="18"/>
  </r>
  <r>
    <n v="9234930973"/>
    <n v="132519237"/>
    <s v="Luis Berger"/>
    <s v="james60@example.org"/>
    <n v="51837852"/>
    <m/>
    <x v="1453"/>
    <d v="2024-12-12T04:30:06"/>
    <x v="1"/>
    <x v="0"/>
    <x v="0"/>
    <x v="5"/>
    <n v="52"/>
    <n v="624"/>
    <n v="0"/>
    <s v="Customer reported intermittent service and repeat disruptions"/>
    <n v="1390"/>
    <x v="0"/>
    <n v="1"/>
    <s v="Dec 2024"/>
    <n v="202412"/>
    <x v="12"/>
  </r>
  <r>
    <n v="9248476928"/>
    <n v="488856231"/>
    <s v="Alisha Roberts"/>
    <s v="taylorkim@example.net"/>
    <n v="43101783"/>
    <m/>
    <x v="1454"/>
    <d v="2025-09-25T13:25:26"/>
    <x v="5"/>
    <x v="3"/>
    <x v="0"/>
    <x v="5"/>
    <n v="3"/>
    <n v="406"/>
    <n v="0"/>
    <s v="Shipment or installation appointment delayed beyond ETA"/>
    <n v="1394"/>
    <x v="0"/>
    <n v="1"/>
    <s v="Sep 2025"/>
    <n v="202509"/>
    <x v="9"/>
  </r>
  <r>
    <n v="9251842917"/>
    <n v="493342201"/>
    <s v="Mr. Logan Gregory"/>
    <s v="dhall@example.net"/>
    <n v="81971316"/>
    <m/>
    <x v="1455"/>
    <d v="2024-03-11T16:16:22"/>
    <x v="3"/>
    <x v="5"/>
    <x v="1"/>
    <x v="5"/>
    <n v="23"/>
    <n v="281"/>
    <n v="0"/>
    <s v="App, network, or device troubleshooting requested"/>
    <n v="1395"/>
    <x v="0"/>
    <n v="1"/>
    <s v="Mar 2024"/>
    <n v="202403"/>
    <x v="15"/>
  </r>
  <r>
    <n v="9269704128"/>
    <n v="459748735"/>
    <s v="Michael Forbes"/>
    <s v="jennifer54@example.org"/>
    <n v="23556182"/>
    <m/>
    <x v="1456"/>
    <d v="2025-05-02T12:35:04"/>
    <x v="6"/>
    <x v="0"/>
    <x v="1"/>
    <x v="5"/>
    <n v="41"/>
    <n v="529"/>
    <n v="0"/>
    <s v="Customer reported intermittent service and repeat disruptions"/>
    <n v="1397"/>
    <x v="0"/>
    <n v="1"/>
    <s v="May 2025"/>
    <n v="202505"/>
    <x v="5"/>
  </r>
  <r>
    <n v="9274607445"/>
    <n v="243811545"/>
    <s v="Tanya Barrett"/>
    <s v="kevincoleman@example.com"/>
    <n v="19583482"/>
    <n v="7211200186"/>
    <x v="1457"/>
    <d v="2024-03-01T04:18:30"/>
    <x v="6"/>
    <x v="3"/>
    <x v="0"/>
    <x v="5"/>
    <n v="18"/>
    <n v="104"/>
    <n v="0"/>
    <s v="Shipment or installation appointment delayed beyond ETA"/>
    <n v="1399"/>
    <x v="0"/>
    <n v="1"/>
    <s v="Mar 2024"/>
    <n v="202403"/>
    <x v="15"/>
  </r>
  <r>
    <n v="9305688531"/>
    <n v="303832812"/>
    <s v="William Little"/>
    <s v="reyestina@example.org"/>
    <n v="22575562"/>
    <n v="1558605632"/>
    <x v="1458"/>
    <d v="2025-08-10T02:24:49"/>
    <x v="1"/>
    <x v="0"/>
    <x v="1"/>
    <x v="5"/>
    <n v="66"/>
    <n v="477"/>
    <n v="0"/>
    <s v="Customer reported intermittent service and repeat disruptions"/>
    <n v="1401"/>
    <x v="0"/>
    <n v="1"/>
    <s v="Aug 2025"/>
    <n v="202508"/>
    <x v="22"/>
  </r>
  <r>
    <n v="9329629303"/>
    <n v="522240582"/>
    <s v="Caleb Thomas"/>
    <s v="katherine91@example.net"/>
    <n v="31831063"/>
    <n v="1852808613"/>
    <x v="1459"/>
    <d v="2026-02-22T16:45:23"/>
    <x v="4"/>
    <x v="0"/>
    <x v="2"/>
    <x v="5"/>
    <n v="8"/>
    <n v="212"/>
    <n v="0"/>
    <s v="Customer reported intermittent service and repeat disruptions"/>
    <n v="1403"/>
    <x v="0"/>
    <n v="1"/>
    <s v="Feb 2026"/>
    <n v="202602"/>
    <x v="25"/>
  </r>
  <r>
    <n v="9331836042"/>
    <n v="180574838"/>
    <s v="Bryan Roman"/>
    <s v="marisa63@example.com"/>
    <n v="81016525"/>
    <m/>
    <x v="1460"/>
    <d v="2025-11-09T20:38:47"/>
    <x v="1"/>
    <x v="3"/>
    <x v="2"/>
    <x v="5"/>
    <n v="59"/>
    <n v="131"/>
    <n v="0"/>
    <s v="Shipment or installation appointment delayed beyond ETA"/>
    <n v="1405"/>
    <x v="0"/>
    <n v="1"/>
    <s v="Nov 2025"/>
    <n v="202511"/>
    <x v="4"/>
  </r>
  <r>
    <n v="9347726341"/>
    <n v="990949719"/>
    <s v="Manuel Sanchez"/>
    <s v="victor87@example.org"/>
    <n v="23718431"/>
    <m/>
    <x v="1461"/>
    <d v="2024-06-04T06:39:40"/>
    <x v="3"/>
    <x v="5"/>
    <x v="2"/>
    <x v="5"/>
    <n v="51"/>
    <n v="537"/>
    <n v="0"/>
    <s v="App, network, or device troubleshooting requested"/>
    <n v="1407"/>
    <x v="0"/>
    <n v="1"/>
    <s v="Jun 2024"/>
    <n v="202406"/>
    <x v="26"/>
  </r>
  <r>
    <n v="9351548768"/>
    <n v="249027517"/>
    <s v="Christopher Lang"/>
    <s v="brian29@example.net"/>
    <n v="55667651"/>
    <n v="8755065294"/>
    <x v="1462"/>
    <d v="2025-09-04T06:42:02"/>
    <x v="6"/>
    <x v="5"/>
    <x v="1"/>
    <x v="5"/>
    <n v="16"/>
    <n v="114"/>
    <n v="0"/>
    <s v="App, network, or device troubleshooting requested"/>
    <n v="1409"/>
    <x v="0"/>
    <n v="1"/>
    <s v="Sep 2025"/>
    <n v="202509"/>
    <x v="9"/>
  </r>
  <r>
    <n v="9355830578"/>
    <n v="847401602"/>
    <s v="Raven Mclaughlin"/>
    <s v="barbaramcgrath@example.com"/>
    <n v="72820592"/>
    <n v="7287605035"/>
    <x v="1463"/>
    <d v="2025-08-11T22:58:15"/>
    <x v="0"/>
    <x v="4"/>
    <x v="1"/>
    <x v="5"/>
    <n v="53"/>
    <n v="330"/>
    <n v="0"/>
    <s v="Login, OTP, or password reset issue"/>
    <n v="1411"/>
    <x v="0"/>
    <n v="1"/>
    <s v="Aug 2025"/>
    <n v="202508"/>
    <x v="22"/>
  </r>
  <r>
    <n v="9395338827"/>
    <n v="581682167"/>
    <s v="Amanda Smith"/>
    <s v="stephanie15@example.org"/>
    <n v="58966946"/>
    <m/>
    <x v="1464"/>
    <d v="2026-01-19T07:35:09"/>
    <x v="2"/>
    <x v="2"/>
    <x v="1"/>
    <x v="5"/>
    <n v="19"/>
    <n v="369"/>
    <n v="0"/>
    <s v="Customer questioned invoice amount and prorated charges"/>
    <n v="1417"/>
    <x v="0"/>
    <n v="1"/>
    <s v="Jan 2026"/>
    <n v="202601"/>
    <x v="0"/>
  </r>
  <r>
    <n v="9408005266"/>
    <n v="230311939"/>
    <s v="Timothy Orr"/>
    <s v="jeffrey47@example.net"/>
    <n v="15831819"/>
    <m/>
    <x v="1465"/>
    <d v="2025-07-15T17:24:08"/>
    <x v="5"/>
    <x v="1"/>
    <x v="2"/>
    <x v="5"/>
    <n v="39"/>
    <n v="75"/>
    <n v="0"/>
    <s v="Refund status or reversal timeline inquiry"/>
    <n v="1419"/>
    <x v="0"/>
    <n v="1"/>
    <s v="Jul 2025"/>
    <n v="202507"/>
    <x v="13"/>
  </r>
  <r>
    <n v="9417116826"/>
    <n v="486066116"/>
    <s v="Brittany Carr"/>
    <s v="morrowdonald@example.net"/>
    <n v="24716857"/>
    <n v="5623007750"/>
    <x v="1466"/>
    <d v="2024-07-18T07:50:26"/>
    <x v="0"/>
    <x v="4"/>
    <x v="3"/>
    <x v="5"/>
    <n v="15"/>
    <n v="206"/>
    <n v="0"/>
    <s v="Login, OTP, or password reset issue"/>
    <n v="1420"/>
    <x v="0"/>
    <n v="1"/>
    <s v="Jul 2024"/>
    <n v="202407"/>
    <x v="23"/>
  </r>
  <r>
    <n v="9418700024"/>
    <n v="120333847"/>
    <s v="Jacqueline Harrison"/>
    <s v="barbara85@example.net"/>
    <n v="35808537"/>
    <m/>
    <x v="1467"/>
    <d v="2024-02-04T05:49:50"/>
    <x v="2"/>
    <x v="4"/>
    <x v="1"/>
    <x v="5"/>
    <n v="68"/>
    <n v="332"/>
    <n v="0"/>
    <s v="Login, OTP, or password reset issue"/>
    <n v="1422"/>
    <x v="0"/>
    <n v="1"/>
    <s v="Feb 2024"/>
    <n v="202402"/>
    <x v="7"/>
  </r>
  <r>
    <n v="9455553667"/>
    <n v="409346714"/>
    <s v="Keith Knox"/>
    <s v="tthomas@example.org"/>
    <n v="10872248"/>
    <m/>
    <x v="1468"/>
    <d v="2025-08-02T18:02:49"/>
    <x v="6"/>
    <x v="1"/>
    <x v="2"/>
    <x v="5"/>
    <n v="37"/>
    <n v="408"/>
    <n v="0"/>
    <s v="Refund status or reversal timeline inquiry"/>
    <n v="1426"/>
    <x v="0"/>
    <n v="1"/>
    <s v="Aug 2025"/>
    <n v="202508"/>
    <x v="22"/>
  </r>
  <r>
    <n v="9485208067"/>
    <n v="938927341"/>
    <s v="Lindsey Davis"/>
    <s v="gregory61@example.org"/>
    <n v="66661351"/>
    <m/>
    <x v="1469"/>
    <d v="2024-10-21T08:39:20"/>
    <x v="6"/>
    <x v="0"/>
    <x v="0"/>
    <x v="5"/>
    <n v="25"/>
    <n v="280"/>
    <n v="0"/>
    <s v="Customer reported intermittent service and repeat disruptions"/>
    <n v="1431"/>
    <x v="0"/>
    <n v="1"/>
    <s v="Oct 2024"/>
    <n v="202410"/>
    <x v="1"/>
  </r>
  <r>
    <n v="9516763729"/>
    <n v="846668526"/>
    <s v="Robin Johnson"/>
    <s v="jeremiah56@example.net"/>
    <n v="10872248"/>
    <m/>
    <x v="1470"/>
    <d v="2024-08-27T05:45:36"/>
    <x v="0"/>
    <x v="2"/>
    <x v="2"/>
    <x v="5"/>
    <n v="5"/>
    <n v="948"/>
    <n v="0"/>
    <s v="Customer questioned invoice amount and prorated charges"/>
    <n v="1433"/>
    <x v="0"/>
    <n v="1"/>
    <s v="Aug 2024"/>
    <n v="202408"/>
    <x v="18"/>
  </r>
  <r>
    <n v="9524474461"/>
    <n v="760725160"/>
    <s v="Brian Harris"/>
    <s v="robertspencer@example.net"/>
    <n v="96028436"/>
    <n v="6740439400"/>
    <x v="1471"/>
    <d v="2026-01-01T00:57:12"/>
    <x v="4"/>
    <x v="2"/>
    <x v="2"/>
    <x v="5"/>
    <n v="47"/>
    <n v="120"/>
    <n v="0"/>
    <s v="Customer questioned invoice amount and prorated charges"/>
    <n v="1434"/>
    <x v="0"/>
    <n v="1"/>
    <s v="Dec 2025"/>
    <n v="202512"/>
    <x v="21"/>
  </r>
  <r>
    <n v="9537725542"/>
    <n v="394801573"/>
    <s v="Emily Perry"/>
    <s v="colleen78@example.org"/>
    <n v="82383095"/>
    <m/>
    <x v="1472"/>
    <d v="2025-02-28T03:51:04"/>
    <x v="5"/>
    <x v="4"/>
    <x v="0"/>
    <x v="5"/>
    <n v="27"/>
    <n v="719"/>
    <n v="0"/>
    <s v="Login, OTP, or password reset issue"/>
    <n v="1435"/>
    <x v="0"/>
    <n v="1"/>
    <s v="Feb 2025"/>
    <n v="202502"/>
    <x v="14"/>
  </r>
  <r>
    <n v="9562950640"/>
    <n v="151270577"/>
    <s v="Amber Rodriguez"/>
    <s v="williamsdarrell@example.com"/>
    <n v="36697396"/>
    <m/>
    <x v="1473"/>
    <d v="2024-08-28T20:25:37"/>
    <x v="5"/>
    <x v="0"/>
    <x v="0"/>
    <x v="5"/>
    <n v="26"/>
    <n v="388"/>
    <n v="0"/>
    <s v="Customer reported intermittent service and repeat disruptions"/>
    <n v="1442"/>
    <x v="0"/>
    <n v="1"/>
    <s v="Aug 2024"/>
    <n v="202408"/>
    <x v="18"/>
  </r>
  <r>
    <n v="9577117872"/>
    <n v="459748735"/>
    <s v="Michael Forbes"/>
    <s v="jennifer54@example.org"/>
    <n v="75579548"/>
    <m/>
    <x v="1474"/>
    <d v="2025-10-06T13:14:03"/>
    <x v="6"/>
    <x v="0"/>
    <x v="2"/>
    <x v="5"/>
    <n v="44"/>
    <n v="734"/>
    <n v="0"/>
    <s v="Customer reported intermittent service and repeat disruptions"/>
    <n v="1444"/>
    <x v="0"/>
    <n v="1"/>
    <s v="Oct 2025"/>
    <n v="202510"/>
    <x v="8"/>
  </r>
  <r>
    <n v="9580441802"/>
    <n v="256819248"/>
    <s v="Dillon Jones"/>
    <s v="derekcarrillo@example.org"/>
    <n v="26753883"/>
    <m/>
    <x v="1475"/>
    <d v="2024-12-08T16:58:29"/>
    <x v="5"/>
    <x v="4"/>
    <x v="2"/>
    <x v="5"/>
    <n v="64"/>
    <n v="156"/>
    <n v="0"/>
    <s v="Login, OTP, or password reset issue"/>
    <n v="1445"/>
    <x v="0"/>
    <n v="1"/>
    <s v="Dec 2024"/>
    <n v="202412"/>
    <x v="12"/>
  </r>
  <r>
    <n v="9614798245"/>
    <n v="184857208"/>
    <s v="Lisa Spencer"/>
    <s v="hollandjustin@example.com"/>
    <n v="10435578"/>
    <m/>
    <x v="1476"/>
    <d v="2025-09-15T23:08:16"/>
    <x v="2"/>
    <x v="2"/>
    <x v="3"/>
    <x v="5"/>
    <n v="53"/>
    <n v="487"/>
    <n v="0"/>
    <s v="Customer questioned invoice amount and prorated charges"/>
    <n v="1453"/>
    <x v="0"/>
    <n v="1"/>
    <s v="Sep 2025"/>
    <n v="202509"/>
    <x v="9"/>
  </r>
  <r>
    <n v="9616880989"/>
    <n v="452150647"/>
    <s v="Julie Dennis"/>
    <s v="ramoswilliam@example.org"/>
    <n v="82383095"/>
    <n v="1585845375"/>
    <x v="1477"/>
    <d v="2025-08-29T01:21:33"/>
    <x v="0"/>
    <x v="4"/>
    <x v="2"/>
    <x v="5"/>
    <n v="61"/>
    <n v="461"/>
    <n v="0"/>
    <s v="Login, OTP, or password reset issue"/>
    <n v="1454"/>
    <x v="0"/>
    <n v="1"/>
    <s v="Aug 2025"/>
    <n v="202508"/>
    <x v="22"/>
  </r>
  <r>
    <n v="9630417179"/>
    <n v="452108572"/>
    <s v="Jason Barrett"/>
    <s v="rperez@example.org"/>
    <n v="78137358"/>
    <m/>
    <x v="1478"/>
    <d v="2024-08-29T05:10:18"/>
    <x v="4"/>
    <x v="5"/>
    <x v="0"/>
    <x v="5"/>
    <n v="84"/>
    <n v="447"/>
    <n v="0"/>
    <s v="App, network, or device troubleshooting requested"/>
    <n v="1455"/>
    <x v="0"/>
    <n v="1"/>
    <s v="Aug 2024"/>
    <n v="202408"/>
    <x v="18"/>
  </r>
  <r>
    <n v="9633870211"/>
    <n v="265564833"/>
    <s v="Daniel Holloway"/>
    <s v="tyler23@example.com"/>
    <n v="75228535"/>
    <m/>
    <x v="1479"/>
    <d v="2025-02-15T15:22:38"/>
    <x v="6"/>
    <x v="3"/>
    <x v="2"/>
    <x v="5"/>
    <n v="60"/>
    <n v="329"/>
    <n v="0"/>
    <s v="Shipment or installation appointment delayed beyond ETA"/>
    <n v="1456"/>
    <x v="0"/>
    <n v="1"/>
    <s v="Feb 2025"/>
    <n v="202502"/>
    <x v="14"/>
  </r>
  <r>
    <n v="9643324502"/>
    <n v="809656613"/>
    <s v="Brianna Murray"/>
    <s v="michaelbrown@example.com"/>
    <n v="58966946"/>
    <n v="4853522356"/>
    <x v="1480"/>
    <d v="2024-06-26T00:52:19"/>
    <x v="5"/>
    <x v="0"/>
    <x v="0"/>
    <x v="5"/>
    <n v="25"/>
    <n v="279"/>
    <n v="0"/>
    <s v="Customer reported intermittent service and repeat disruptions"/>
    <n v="1457"/>
    <x v="0"/>
    <n v="1"/>
    <s v="Jun 2024"/>
    <n v="202406"/>
    <x v="26"/>
  </r>
  <r>
    <n v="9667990077"/>
    <n v="867407868"/>
    <s v="Suzanne Yang"/>
    <s v="pwalker@example.com"/>
    <n v="77187530"/>
    <m/>
    <x v="1481"/>
    <d v="2024-09-06T16:11:12"/>
    <x v="2"/>
    <x v="0"/>
    <x v="2"/>
    <x v="5"/>
    <n v="24"/>
    <n v="439"/>
    <n v="0"/>
    <s v="Customer reported intermittent service and repeat disruptions"/>
    <n v="1460"/>
    <x v="0"/>
    <n v="1"/>
    <s v="Sep 2024"/>
    <n v="202409"/>
    <x v="3"/>
  </r>
  <r>
    <n v="9673710819"/>
    <n v="369085407"/>
    <s v="Dennis White"/>
    <s v="snydermichael@example.org"/>
    <n v="31831063"/>
    <n v="1530443469"/>
    <x v="1482"/>
    <d v="2024-01-03T02:15:31"/>
    <x v="6"/>
    <x v="3"/>
    <x v="2"/>
    <x v="5"/>
    <n v="3"/>
    <n v="490"/>
    <n v="0"/>
    <s v="Shipment or installation appointment delayed beyond ETA"/>
    <n v="1462"/>
    <x v="0"/>
    <n v="1"/>
    <s v="Jan 2024"/>
    <n v="202401"/>
    <x v="17"/>
  </r>
  <r>
    <n v="9681301374"/>
    <n v="444898148"/>
    <s v="Heather Hernandez"/>
    <s v="xwood@example.org"/>
    <n v="47308985"/>
    <n v="5669015536"/>
    <x v="1483"/>
    <d v="2026-01-08T13:17:29"/>
    <x v="0"/>
    <x v="2"/>
    <x v="2"/>
    <x v="5"/>
    <n v="29"/>
    <n v="606"/>
    <n v="0"/>
    <s v="Customer questioned invoice amount and prorated charges"/>
    <n v="1465"/>
    <x v="0"/>
    <n v="1"/>
    <s v="Jan 2026"/>
    <n v="202601"/>
    <x v="0"/>
  </r>
  <r>
    <n v="9689331536"/>
    <n v="615185000"/>
    <s v="Richard Williams"/>
    <s v="wilsondavid@example.org"/>
    <n v="50056581"/>
    <n v="5520414347"/>
    <x v="1484"/>
    <d v="2024-02-20T15:36:52"/>
    <x v="0"/>
    <x v="1"/>
    <x v="0"/>
    <x v="5"/>
    <n v="36"/>
    <n v="41"/>
    <n v="0"/>
    <s v="Refund status or reversal timeline inquiry"/>
    <n v="1467"/>
    <x v="0"/>
    <n v="1"/>
    <s v="Feb 2024"/>
    <n v="202402"/>
    <x v="7"/>
  </r>
  <r>
    <n v="9691448741"/>
    <n v="157184151"/>
    <s v="Kayla Mccullough"/>
    <s v="taylorkaren@example.com"/>
    <n v="24716857"/>
    <n v="3051815663"/>
    <x v="1485"/>
    <d v="2025-05-20T09:59:47"/>
    <x v="6"/>
    <x v="4"/>
    <x v="3"/>
    <x v="5"/>
    <n v="20"/>
    <n v="562"/>
    <n v="0"/>
    <s v="Login, OTP, or password reset issue"/>
    <n v="1468"/>
    <x v="0"/>
    <n v="1"/>
    <s v="May 2025"/>
    <n v="202505"/>
    <x v="5"/>
  </r>
  <r>
    <n v="9750714819"/>
    <n v="784725186"/>
    <s v="Dylan Jordan"/>
    <s v="nicholaspadilla@example.org"/>
    <n v="81016525"/>
    <m/>
    <x v="1486"/>
    <d v="2026-02-09T21:44:18"/>
    <x v="4"/>
    <x v="0"/>
    <x v="2"/>
    <x v="5"/>
    <n v="17"/>
    <n v="292"/>
    <n v="0"/>
    <s v="Customer reported intermittent service and repeat disruptions"/>
    <n v="1474"/>
    <x v="0"/>
    <n v="1"/>
    <s v="Feb 2026"/>
    <n v="202602"/>
    <x v="25"/>
  </r>
  <r>
    <n v="9772845815"/>
    <n v="555803043"/>
    <s v="George Fernandez"/>
    <s v="wmclaughlin@example.net"/>
    <n v="85345555"/>
    <m/>
    <x v="1487"/>
    <d v="2025-08-27T07:12:08"/>
    <x v="6"/>
    <x v="3"/>
    <x v="2"/>
    <x v="5"/>
    <n v="51"/>
    <n v="541"/>
    <n v="0"/>
    <s v="Shipment or installation appointment delayed beyond ETA"/>
    <n v="1478"/>
    <x v="0"/>
    <n v="1"/>
    <s v="Aug 2025"/>
    <n v="202508"/>
    <x v="22"/>
  </r>
  <r>
    <n v="9808670996"/>
    <n v="180574838"/>
    <s v="Bryan Roman"/>
    <s v="marisa63@example.com"/>
    <n v="71586053"/>
    <n v="5145057803"/>
    <x v="1488"/>
    <d v="2024-06-30T12:02:18"/>
    <x v="2"/>
    <x v="2"/>
    <x v="3"/>
    <x v="5"/>
    <n v="97"/>
    <n v="142"/>
    <n v="0"/>
    <s v="Customer questioned invoice amount and prorated charges"/>
    <n v="1481"/>
    <x v="0"/>
    <n v="1"/>
    <s v="Jun 2024"/>
    <n v="202406"/>
    <x v="26"/>
  </r>
  <r>
    <n v="9814241140"/>
    <n v="749762955"/>
    <s v="Barbara Pope"/>
    <s v="keith07@example.net"/>
    <n v="22575562"/>
    <m/>
    <x v="1489"/>
    <d v="2024-10-21T02:40:44"/>
    <x v="1"/>
    <x v="0"/>
    <x v="0"/>
    <x v="5"/>
    <n v="57"/>
    <n v="182"/>
    <n v="0"/>
    <s v="Customer reported intermittent service and repeat disruptions"/>
    <n v="1482"/>
    <x v="0"/>
    <n v="1"/>
    <s v="Oct 2024"/>
    <n v="202410"/>
    <x v="1"/>
  </r>
  <r>
    <n v="9833017283"/>
    <n v="747233283"/>
    <s v="Paige Baird"/>
    <s v="sarah17@example.com"/>
    <n v="56164955"/>
    <n v="5329451114"/>
    <x v="1490"/>
    <d v="2024-10-27T21:16:53"/>
    <x v="4"/>
    <x v="0"/>
    <x v="2"/>
    <x v="5"/>
    <n v="3"/>
    <n v="131"/>
    <n v="0"/>
    <s v="Customer reported intermittent service and repeat disruptions"/>
    <n v="1483"/>
    <x v="0"/>
    <n v="1"/>
    <s v="Oct 2024"/>
    <n v="202410"/>
    <x v="1"/>
  </r>
  <r>
    <n v="9841448679"/>
    <n v="307029662"/>
    <s v="Dr. Mary White DVM"/>
    <s v="monica00@example.org"/>
    <n v="41227216"/>
    <m/>
    <x v="1491"/>
    <d v="2026-03-31T08:38:07"/>
    <x v="1"/>
    <x v="2"/>
    <x v="2"/>
    <x v="5"/>
    <n v="30"/>
    <n v="158"/>
    <n v="0"/>
    <s v="Customer questioned invoice amount and prorated charges"/>
    <n v="1484"/>
    <x v="0"/>
    <n v="1"/>
    <s v="Mar 2026"/>
    <n v="202603"/>
    <x v="10"/>
  </r>
  <r>
    <n v="9843641767"/>
    <n v="535312769"/>
    <s v="Jennifer Dean"/>
    <s v="sarawilliams@example.com"/>
    <n v="80823176"/>
    <n v="8953013516"/>
    <x v="1492"/>
    <d v="2024-10-08T03:17:30"/>
    <x v="1"/>
    <x v="4"/>
    <x v="2"/>
    <x v="5"/>
    <n v="39"/>
    <n v="134"/>
    <n v="0"/>
    <s v="Login, OTP, or password reset issue"/>
    <n v="1485"/>
    <x v="0"/>
    <n v="1"/>
    <s v="Oct 2024"/>
    <n v="202410"/>
    <x v="1"/>
  </r>
  <r>
    <n v="9846070530"/>
    <n v="220953538"/>
    <s v="Mrs. Megan Robinson"/>
    <s v="kendra03@example.net"/>
    <n v="39436733"/>
    <m/>
    <x v="1493"/>
    <d v="2026-03-01T00:50:35"/>
    <x v="5"/>
    <x v="0"/>
    <x v="2"/>
    <x v="5"/>
    <n v="45"/>
    <n v="545"/>
    <n v="0"/>
    <s v="Customer reported intermittent service and repeat disruptions"/>
    <n v="1487"/>
    <x v="0"/>
    <n v="1"/>
    <s v="Feb 2026"/>
    <n v="202602"/>
    <x v="25"/>
  </r>
  <r>
    <n v="9861808974"/>
    <n v="838781242"/>
    <s v="Victor Blake"/>
    <s v="wellsamy@example.org"/>
    <n v="41244663"/>
    <m/>
    <x v="1494"/>
    <d v="2025-03-21T07:32:47"/>
    <x v="0"/>
    <x v="4"/>
    <x v="1"/>
    <x v="5"/>
    <n v="38"/>
    <n v="402"/>
    <n v="0"/>
    <s v="Login, OTP, or password reset issue"/>
    <n v="1488"/>
    <x v="0"/>
    <n v="1"/>
    <s v="Mar 2025"/>
    <n v="202503"/>
    <x v="20"/>
  </r>
  <r>
    <n v="9941761270"/>
    <n v="256819248"/>
    <s v="Dillon Jones"/>
    <s v="derekcarrillo@example.org"/>
    <n v="19289546"/>
    <n v="5893467877"/>
    <x v="1495"/>
    <d v="2024-10-19T14:44:13"/>
    <x v="1"/>
    <x v="2"/>
    <x v="1"/>
    <x v="5"/>
    <n v="13"/>
    <n v="627"/>
    <n v="0"/>
    <s v="Customer questioned invoice amount and prorated charges"/>
    <n v="1494"/>
    <x v="0"/>
    <n v="1"/>
    <s v="Oct 2024"/>
    <n v="202410"/>
    <x v="1"/>
  </r>
  <r>
    <n v="9964017816"/>
    <n v="671595541"/>
    <s v="Erica Avila"/>
    <s v="warebrian@example.net"/>
    <n v="31682744"/>
    <m/>
    <x v="1496"/>
    <d v="2025-06-17T18:51:37"/>
    <x v="4"/>
    <x v="5"/>
    <x v="1"/>
    <x v="5"/>
    <n v="29"/>
    <n v="298"/>
    <n v="0"/>
    <s v="App, network, or device troubleshooting requested"/>
    <n v="1496"/>
    <x v="0"/>
    <n v="1"/>
    <s v="Jun 2025"/>
    <n v="202506"/>
    <x v="19"/>
  </r>
  <r>
    <n v="9964146144"/>
    <n v="975903641"/>
    <s v="Travis Price"/>
    <s v="stephen69@example.org"/>
    <n v="41227216"/>
    <m/>
    <x v="1497"/>
    <d v="2025-05-11T08:00:21"/>
    <x v="2"/>
    <x v="1"/>
    <x v="2"/>
    <x v="5"/>
    <n v="45"/>
    <n v="459"/>
    <n v="0"/>
    <s v="Refund status or reversal timeline inquiry"/>
    <n v="1497"/>
    <x v="0"/>
    <n v="1"/>
    <s v="May 2025"/>
    <n v="202505"/>
    <x v="5"/>
  </r>
  <r>
    <n v="9983362849"/>
    <n v="800400428"/>
    <s v="Danielle Mcfarland DVM"/>
    <s v="bellchad@example.org"/>
    <n v="14265799"/>
    <m/>
    <x v="1498"/>
    <d v="2024-03-27T19:05:27"/>
    <x v="5"/>
    <x v="4"/>
    <x v="0"/>
    <x v="5"/>
    <n v="40"/>
    <n v="575"/>
    <n v="0"/>
    <s v="Login, OTP, or password reset issue"/>
    <n v="1499"/>
    <x v="0"/>
    <n v="1"/>
    <s v="Mar 2024"/>
    <n v="202403"/>
    <x v="15"/>
  </r>
  <r>
    <n v="9991188986"/>
    <n v="720286733"/>
    <s v="Janet Leonard"/>
    <s v="adamvaughan@example.net"/>
    <n v="81971316"/>
    <m/>
    <x v="1499"/>
    <d v="2024-11-08T12:55:14"/>
    <x v="1"/>
    <x v="2"/>
    <x v="2"/>
    <x v="5"/>
    <n v="25"/>
    <n v="118"/>
    <n v="0"/>
    <s v="Customer questioned invoice amount and prorated charges"/>
    <n v="1500"/>
    <x v="0"/>
    <n v="1"/>
    <s v="Nov 2024"/>
    <n v="202411"/>
    <x v="1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CE3EEB-85AC-4D09-A5F3-E32FDC620DD0}" name="PivotTable8" cacheId="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 rowHeaderCaption="Issue Type">
  <location ref="D14:F21" firstHeaderRow="0" firstDataRow="1" firstDataCol="1"/>
  <pivotFields count="27">
    <pivotField dataField="1" showAll="0"/>
    <pivotField showAll="0"/>
    <pivotField showAll="0"/>
    <pivotField showAll="0"/>
    <pivotField showAll="0"/>
    <pivotField showAll="0"/>
    <pivotField numFmtId="22" showAll="0">
      <items count="1501">
        <item x="1162"/>
        <item x="811"/>
        <item x="198"/>
        <item x="228"/>
        <item x="1482"/>
        <item x="963"/>
        <item x="953"/>
        <item x="615"/>
        <item x="690"/>
        <item x="26"/>
        <item x="1172"/>
        <item x="247"/>
        <item x="1016"/>
        <item x="793"/>
        <item x="1201"/>
        <item x="278"/>
        <item x="35"/>
        <item x="1234"/>
        <item x="1359"/>
        <item x="738"/>
        <item x="1215"/>
        <item x="40"/>
        <item x="104"/>
        <item x="288"/>
        <item x="1027"/>
        <item x="861"/>
        <item x="435"/>
        <item x="1378"/>
        <item x="1111"/>
        <item x="320"/>
        <item x="1178"/>
        <item x="1117"/>
        <item x="1430"/>
        <item x="54"/>
        <item x="1121"/>
        <item x="1023"/>
        <item x="840"/>
        <item x="859"/>
        <item x="331"/>
        <item x="1438"/>
        <item x="157"/>
        <item x="583"/>
        <item x="250"/>
        <item x="1256"/>
        <item x="723"/>
        <item x="147"/>
        <item x="181"/>
        <item x="27"/>
        <item x="1213"/>
        <item x="1103"/>
        <item x="1340"/>
        <item x="1391"/>
        <item x="333"/>
        <item x="863"/>
        <item x="143"/>
        <item x="161"/>
        <item x="934"/>
        <item x="363"/>
        <item x="349"/>
        <item x="1327"/>
        <item x="42"/>
        <item x="108"/>
        <item x="631"/>
        <item x="1122"/>
        <item x="449"/>
        <item x="1326"/>
        <item x="111"/>
        <item x="1330"/>
        <item x="1385"/>
        <item x="1467"/>
        <item x="51"/>
        <item x="843"/>
        <item x="681"/>
        <item x="342"/>
        <item x="838"/>
        <item x="341"/>
        <item x="182"/>
        <item x="396"/>
        <item x="297"/>
        <item x="961"/>
        <item x="52"/>
        <item x="1389"/>
        <item x="845"/>
        <item x="667"/>
        <item x="1413"/>
        <item x="769"/>
        <item x="905"/>
        <item x="1271"/>
        <item x="338"/>
        <item x="208"/>
        <item x="142"/>
        <item x="1435"/>
        <item x="942"/>
        <item x="715"/>
        <item x="974"/>
        <item x="777"/>
        <item x="673"/>
        <item x="1061"/>
        <item x="798"/>
        <item x="921"/>
        <item x="1236"/>
        <item x="1484"/>
        <item x="1098"/>
        <item x="95"/>
        <item x="900"/>
        <item x="1344"/>
        <item x="676"/>
        <item x="360"/>
        <item x="1073"/>
        <item x="1115"/>
        <item x="306"/>
        <item x="335"/>
        <item x="848"/>
        <item x="121"/>
        <item x="8"/>
        <item x="572"/>
        <item x="768"/>
        <item x="869"/>
        <item x="1248"/>
        <item x="1153"/>
        <item x="1393"/>
        <item x="1345"/>
        <item x="1410"/>
        <item x="421"/>
        <item x="1457"/>
        <item x="648"/>
        <item x="678"/>
        <item x="339"/>
        <item x="1124"/>
        <item x="1255"/>
        <item x="428"/>
        <item x="417"/>
        <item x="488"/>
        <item x="626"/>
        <item x="596"/>
        <item x="1060"/>
        <item x="80"/>
        <item x="1402"/>
        <item x="505"/>
        <item x="50"/>
        <item x="687"/>
        <item x="1366"/>
        <item x="1088"/>
        <item x="303"/>
        <item x="21"/>
        <item x="1455"/>
        <item x="262"/>
        <item x="452"/>
        <item x="866"/>
        <item x="205"/>
        <item x="284"/>
        <item x="975"/>
        <item x="567"/>
        <item x="1237"/>
        <item x="178"/>
        <item x="1013"/>
        <item x="197"/>
        <item x="910"/>
        <item x="829"/>
        <item x="1116"/>
        <item x="491"/>
        <item x="860"/>
        <item x="369"/>
        <item x="465"/>
        <item x="886"/>
        <item x="670"/>
        <item x="672"/>
        <item x="826"/>
        <item x="927"/>
        <item x="721"/>
        <item x="1187"/>
        <item x="930"/>
        <item x="1299"/>
        <item x="1429"/>
        <item x="788"/>
        <item x="1239"/>
        <item x="382"/>
        <item x="141"/>
        <item x="634"/>
        <item x="1498"/>
        <item x="1246"/>
        <item x="184"/>
        <item x="581"/>
        <item x="1301"/>
        <item x="730"/>
        <item x="1426"/>
        <item x="830"/>
        <item x="1210"/>
        <item x="1007"/>
        <item x="717"/>
        <item x="1036"/>
        <item x="267"/>
        <item x="1373"/>
        <item x="373"/>
        <item x="290"/>
        <item x="726"/>
        <item x="1423"/>
        <item x="429"/>
        <item x="170"/>
        <item x="1030"/>
        <item x="483"/>
        <item x="68"/>
        <item x="812"/>
        <item x="39"/>
        <item x="622"/>
        <item x="500"/>
        <item x="187"/>
        <item x="253"/>
        <item x="426"/>
        <item x="374"/>
        <item x="1191"/>
        <item x="314"/>
        <item x="77"/>
        <item x="842"/>
        <item x="925"/>
        <item x="1066"/>
        <item x="763"/>
        <item x="945"/>
        <item x="2"/>
        <item x="630"/>
        <item x="283"/>
        <item x="201"/>
        <item x="18"/>
        <item x="322"/>
        <item x="1158"/>
        <item x="94"/>
        <item x="1397"/>
        <item x="639"/>
        <item x="1135"/>
        <item x="1324"/>
        <item x="1127"/>
        <item x="711"/>
        <item x="466"/>
        <item x="755"/>
        <item x="317"/>
        <item x="563"/>
        <item x="941"/>
        <item x="1265"/>
        <item x="1433"/>
        <item x="281"/>
        <item x="122"/>
        <item x="775"/>
        <item x="372"/>
        <item x="1170"/>
        <item x="809"/>
        <item x="569"/>
        <item x="996"/>
        <item x="1126"/>
        <item x="1390"/>
        <item x="733"/>
        <item x="716"/>
        <item x="1369"/>
        <item x="988"/>
        <item x="233"/>
        <item x="346"/>
        <item x="356"/>
        <item x="1319"/>
        <item x="949"/>
        <item x="1000"/>
        <item x="881"/>
        <item x="954"/>
        <item x="960"/>
        <item x="743"/>
        <item x="772"/>
        <item x="110"/>
        <item x="729"/>
        <item x="1113"/>
        <item x="529"/>
        <item x="1047"/>
        <item x="880"/>
        <item x="188"/>
        <item x="1328"/>
        <item x="1251"/>
        <item x="1258"/>
        <item x="825"/>
        <item x="512"/>
        <item x="987"/>
        <item x="443"/>
        <item x="914"/>
        <item x="1440"/>
        <item x="1114"/>
        <item x="79"/>
        <item x="1253"/>
        <item x="508"/>
        <item x="345"/>
        <item x="1096"/>
        <item x="675"/>
        <item x="243"/>
        <item x="169"/>
        <item x="871"/>
        <item x="236"/>
        <item x="1461"/>
        <item x="1184"/>
        <item x="751"/>
        <item x="911"/>
        <item x="542"/>
        <item x="398"/>
        <item x="1223"/>
        <item x="873"/>
        <item x="568"/>
        <item x="1054"/>
        <item x="387"/>
        <item x="1144"/>
        <item x="1259"/>
        <item x="938"/>
        <item x="1318"/>
        <item x="1294"/>
        <item x="1139"/>
        <item x="771"/>
        <item x="305"/>
        <item x="1218"/>
        <item x="158"/>
        <item x="878"/>
        <item x="1315"/>
        <item x="1379"/>
        <item x="823"/>
        <item x="919"/>
        <item x="1439"/>
        <item x="719"/>
        <item x="1242"/>
        <item x="628"/>
        <item x="332"/>
        <item x="311"/>
        <item x="1417"/>
        <item x="1133"/>
        <item x="484"/>
        <item x="409"/>
        <item x="1480"/>
        <item x="235"/>
        <item x="944"/>
        <item x="504"/>
        <item x="323"/>
        <item x="380"/>
        <item x="516"/>
        <item x="933"/>
        <item x="427"/>
        <item x="365"/>
        <item x="688"/>
        <item x="550"/>
        <item x="1488"/>
        <item x="1348"/>
        <item x="218"/>
        <item x="509"/>
        <item x="1093"/>
        <item x="413"/>
        <item x="1231"/>
        <item x="1261"/>
        <item x="618"/>
        <item x="475"/>
        <item x="1431"/>
        <item x="1316"/>
        <item x="1055"/>
        <item x="1196"/>
        <item x="641"/>
        <item x="1195"/>
        <item x="123"/>
        <item x="870"/>
        <item x="189"/>
        <item x="407"/>
        <item x="616"/>
        <item x="497"/>
        <item x="614"/>
        <item x="65"/>
        <item x="131"/>
        <item x="543"/>
        <item x="1466"/>
        <item x="287"/>
        <item x="1307"/>
        <item x="1401"/>
        <item x="1165"/>
        <item x="221"/>
        <item x="1199"/>
        <item x="164"/>
        <item x="858"/>
        <item x="258"/>
        <item x="1136"/>
        <item x="394"/>
        <item x="440"/>
        <item x="1308"/>
        <item x="1286"/>
        <item x="1155"/>
        <item x="695"/>
        <item x="887"/>
        <item x="592"/>
        <item x="1334"/>
        <item x="145"/>
        <item x="647"/>
        <item x="1414"/>
        <item x="1101"/>
        <item x="584"/>
        <item x="1097"/>
        <item x="1387"/>
        <item x="462"/>
        <item x="1225"/>
        <item x="1105"/>
        <item x="702"/>
        <item x="959"/>
        <item x="758"/>
        <item x="456"/>
        <item x="1365"/>
        <item x="351"/>
        <item x="540"/>
        <item x="1447"/>
        <item x="1067"/>
        <item x="60"/>
        <item x="1149"/>
        <item x="636"/>
        <item x="703"/>
        <item x="217"/>
        <item x="1347"/>
        <item x="120"/>
        <item x="119"/>
        <item x="186"/>
        <item x="72"/>
        <item x="680"/>
        <item x="756"/>
        <item x="575"/>
        <item x="171"/>
        <item x="541"/>
        <item x="585"/>
        <item x="1452"/>
        <item x="759"/>
        <item x="770"/>
        <item x="932"/>
        <item x="130"/>
        <item x="780"/>
        <item x="1006"/>
        <item x="1346"/>
        <item x="1051"/>
        <item x="1189"/>
        <item x="400"/>
        <item x="319"/>
        <item x="433"/>
        <item x="300"/>
        <item x="371"/>
        <item x="835"/>
        <item x="1370"/>
        <item x="116"/>
        <item x="1470"/>
        <item x="834"/>
        <item x="138"/>
        <item x="1140"/>
        <item x="574"/>
        <item x="298"/>
        <item x="990"/>
        <item x="30"/>
        <item x="1473"/>
        <item x="1450"/>
        <item x="1478"/>
        <item x="1335"/>
        <item x="570"/>
        <item x="91"/>
        <item x="506"/>
        <item x="539"/>
        <item x="760"/>
        <item x="1421"/>
        <item x="1045"/>
        <item x="669"/>
        <item x="134"/>
        <item x="1481"/>
        <item x="879"/>
        <item x="773"/>
        <item x="1209"/>
        <item x="67"/>
        <item x="1106"/>
        <item x="742"/>
        <item x="544"/>
        <item x="1043"/>
        <item x="1217"/>
        <item x="388"/>
        <item x="501"/>
        <item x="696"/>
        <item x="943"/>
        <item x="691"/>
        <item x="654"/>
        <item x="1130"/>
        <item x="1445"/>
        <item x="381"/>
        <item x="994"/>
        <item x="1003"/>
        <item x="899"/>
        <item x="139"/>
        <item x="1309"/>
        <item x="929"/>
        <item x="115"/>
        <item x="3"/>
        <item x="1338"/>
        <item x="685"/>
        <item x="1147"/>
        <item x="1407"/>
        <item x="607"/>
        <item x="1081"/>
        <item x="635"/>
        <item x="935"/>
        <item x="1216"/>
        <item x="856"/>
        <item x="1085"/>
        <item x="1074"/>
        <item x="559"/>
        <item x="936"/>
        <item x="815"/>
        <item x="1250"/>
        <item x="1297"/>
        <item x="610"/>
        <item x="481"/>
        <item x="571"/>
        <item x="1364"/>
        <item x="149"/>
        <item x="527"/>
        <item x="1492"/>
        <item x="419"/>
        <item x="851"/>
        <item x="259"/>
        <item x="982"/>
        <item x="128"/>
        <item x="1"/>
        <item x="652"/>
        <item x="1033"/>
        <item x="1355"/>
        <item x="1179"/>
        <item x="683"/>
        <item x="693"/>
        <item x="862"/>
        <item x="61"/>
        <item x="64"/>
        <item x="739"/>
        <item x="348"/>
        <item x="973"/>
        <item x="1042"/>
        <item x="1424"/>
        <item x="1203"/>
        <item x="37"/>
        <item x="565"/>
        <item x="1035"/>
        <item x="1495"/>
        <item x="1291"/>
        <item x="266"/>
        <item x="1422"/>
        <item x="820"/>
        <item x="1489"/>
        <item x="1469"/>
        <item x="1448"/>
        <item x="986"/>
        <item x="1019"/>
        <item x="113"/>
        <item x="951"/>
        <item x="526"/>
        <item x="1104"/>
        <item x="53"/>
        <item x="1238"/>
        <item x="1434"/>
        <item x="1490"/>
        <item x="1303"/>
        <item x="1202"/>
        <item x="237"/>
        <item x="1037"/>
        <item x="552"/>
        <item x="1197"/>
        <item x="1167"/>
        <item x="41"/>
        <item x="472"/>
        <item x="903"/>
        <item x="424"/>
        <item x="1193"/>
        <item x="471"/>
        <item x="909"/>
        <item x="343"/>
        <item x="401"/>
        <item x="704"/>
        <item x="330"/>
        <item x="1349"/>
        <item x="1499"/>
        <item x="803"/>
        <item x="722"/>
        <item x="1313"/>
        <item x="813"/>
        <item x="390"/>
        <item x="209"/>
        <item x="1279"/>
        <item x="385"/>
        <item x="244"/>
        <item x="16"/>
        <item x="1394"/>
        <item x="1358"/>
        <item x="299"/>
        <item x="326"/>
        <item x="589"/>
        <item x="76"/>
        <item x="310"/>
        <item x="416"/>
        <item x="1403"/>
        <item x="754"/>
        <item x="307"/>
        <item x="535"/>
        <item x="967"/>
        <item x="619"/>
        <item x="1150"/>
        <item x="1312"/>
        <item x="231"/>
        <item x="1386"/>
        <item x="800"/>
        <item x="1091"/>
        <item x="66"/>
        <item x="1168"/>
        <item x="916"/>
        <item x="125"/>
        <item x="1396"/>
        <item x="966"/>
        <item x="1427"/>
        <item x="325"/>
        <item x="997"/>
        <item x="913"/>
        <item x="437"/>
        <item x="888"/>
        <item x="1398"/>
        <item x="17"/>
        <item x="1221"/>
        <item x="78"/>
        <item x="359"/>
        <item x="1418"/>
        <item x="366"/>
        <item x="353"/>
        <item x="98"/>
        <item x="698"/>
        <item x="469"/>
        <item x="144"/>
        <item x="521"/>
        <item x="1260"/>
        <item x="23"/>
        <item x="31"/>
        <item x="154"/>
        <item x="458"/>
        <item x="88"/>
        <item x="1475"/>
        <item x="1257"/>
        <item x="1078"/>
        <item x="1112"/>
        <item x="1181"/>
        <item x="1453"/>
        <item x="827"/>
        <item x="276"/>
        <item x="358"/>
        <item x="525"/>
        <item x="728"/>
        <item x="893"/>
        <item x="1154"/>
        <item x="1420"/>
        <item x="264"/>
        <item x="580"/>
        <item x="613"/>
        <item x="1342"/>
        <item x="1041"/>
        <item x="1212"/>
        <item x="573"/>
        <item x="1080"/>
        <item x="852"/>
        <item x="459"/>
        <item x="1161"/>
        <item x="651"/>
        <item x="697"/>
        <item x="844"/>
        <item x="499"/>
        <item x="220"/>
        <item x="109"/>
        <item x="741"/>
        <item x="1025"/>
        <item x="518"/>
        <item x="1285"/>
        <item x="1304"/>
        <item x="649"/>
        <item x="623"/>
        <item x="883"/>
        <item x="1084"/>
        <item x="1057"/>
        <item x="783"/>
        <item x="179"/>
        <item x="1412"/>
        <item x="269"/>
        <item x="46"/>
        <item x="1241"/>
        <item x="906"/>
        <item x="1143"/>
        <item x="1263"/>
        <item x="561"/>
        <item x="513"/>
        <item x="796"/>
        <item x="112"/>
        <item x="586"/>
        <item x="837"/>
        <item x="931"/>
        <item x="1146"/>
        <item x="1028"/>
        <item x="163"/>
        <item x="377"/>
        <item x="624"/>
        <item x="1400"/>
        <item x="666"/>
        <item x="821"/>
        <item x="1185"/>
        <item x="1070"/>
        <item x="1059"/>
        <item x="778"/>
        <item x="386"/>
        <item x="1295"/>
        <item x="1083"/>
        <item x="802"/>
        <item x="784"/>
        <item x="1068"/>
        <item x="1416"/>
        <item x="590"/>
        <item x="912"/>
        <item x="591"/>
        <item x="750"/>
        <item x="1367"/>
        <item x="1354"/>
        <item x="1281"/>
        <item x="99"/>
        <item x="1164"/>
        <item x="877"/>
        <item x="536"/>
        <item x="251"/>
        <item x="898"/>
        <item x="650"/>
        <item x="90"/>
        <item x="701"/>
        <item x="62"/>
        <item x="632"/>
        <item x="978"/>
        <item x="124"/>
        <item x="133"/>
        <item x="25"/>
        <item x="1284"/>
        <item x="445"/>
        <item x="85"/>
        <item x="1337"/>
        <item x="103"/>
        <item x="1411"/>
        <item x="1058"/>
        <item x="849"/>
        <item x="662"/>
        <item x="1171"/>
        <item x="1404"/>
        <item x="1010"/>
        <item x="874"/>
        <item x="295"/>
        <item x="709"/>
        <item x="397"/>
        <item x="1166"/>
        <item x="1022"/>
        <item x="629"/>
        <item x="391"/>
        <item x="293"/>
        <item x="1064"/>
        <item x="940"/>
        <item x="479"/>
        <item x="795"/>
        <item x="1449"/>
        <item x="762"/>
        <item x="172"/>
        <item x="606"/>
        <item x="464"/>
        <item x="20"/>
        <item x="395"/>
        <item x="192"/>
        <item x="1004"/>
        <item x="705"/>
        <item x="1226"/>
        <item x="286"/>
        <item x="1357"/>
        <item x="155"/>
        <item x="1479"/>
        <item x="1383"/>
        <item x="882"/>
        <item x="853"/>
        <item x="285"/>
        <item x="282"/>
        <item x="327"/>
        <item x="1137"/>
        <item x="627"/>
        <item x="532"/>
        <item x="404"/>
        <item x="937"/>
        <item x="1428"/>
        <item x="117"/>
        <item x="1077"/>
        <item x="357"/>
        <item x="1472"/>
        <item x="1119"/>
        <item x="748"/>
        <item x="955"/>
        <item x="405"/>
        <item x="533"/>
        <item x="43"/>
        <item x="1224"/>
        <item x="1274"/>
        <item x="595"/>
        <item x="1356"/>
        <item x="49"/>
        <item x="81"/>
        <item x="1063"/>
        <item x="1273"/>
        <item x="489"/>
        <item x="846"/>
        <item x="659"/>
        <item x="816"/>
        <item x="498"/>
        <item x="1341"/>
        <item x="389"/>
        <item x="736"/>
        <item x="114"/>
        <item x="480"/>
        <item x="364"/>
        <item x="350"/>
        <item x="1350"/>
        <item x="534"/>
        <item x="789"/>
        <item x="1020"/>
        <item x="556"/>
        <item x="1494"/>
        <item x="168"/>
        <item x="1208"/>
        <item x="93"/>
        <item x="352"/>
        <item x="270"/>
        <item x="196"/>
        <item x="1110"/>
        <item x="1270"/>
        <item x="808"/>
        <item x="368"/>
        <item x="214"/>
        <item x="528"/>
        <item x="102"/>
        <item x="908"/>
        <item x="1232"/>
        <item x="463"/>
        <item x="101"/>
        <item x="242"/>
        <item x="1082"/>
        <item x="517"/>
        <item x="902"/>
        <item x="608"/>
        <item x="692"/>
        <item x="478"/>
        <item x="1076"/>
        <item x="1249"/>
        <item x="1298"/>
        <item x="1441"/>
        <item x="1339"/>
        <item x="494"/>
        <item x="379"/>
        <item x="1446"/>
        <item x="7"/>
        <item x="44"/>
        <item x="11"/>
        <item x="185"/>
        <item x="1283"/>
        <item x="1360"/>
        <item x="587"/>
        <item x="562"/>
        <item x="1289"/>
        <item x="1156"/>
        <item x="403"/>
        <item x="1075"/>
        <item x="272"/>
        <item x="1102"/>
        <item x="1220"/>
        <item x="1243"/>
        <item x="948"/>
        <item x="219"/>
        <item x="453"/>
        <item x="699"/>
        <item x="482"/>
        <item x="991"/>
        <item x="737"/>
        <item x="82"/>
        <item x="965"/>
        <item x="10"/>
        <item x="546"/>
        <item x="1290"/>
        <item x="180"/>
        <item x="265"/>
        <item x="450"/>
        <item x="439"/>
        <item x="289"/>
        <item x="1240"/>
        <item x="1343"/>
        <item x="946"/>
        <item x="5"/>
        <item x="1456"/>
        <item x="1173"/>
        <item x="393"/>
        <item x="668"/>
        <item x="892"/>
        <item x="280"/>
        <item x="663"/>
        <item x="1362"/>
        <item x="136"/>
        <item x="806"/>
        <item x="14"/>
        <item x="118"/>
        <item x="1336"/>
        <item x="1014"/>
        <item x="1497"/>
        <item x="153"/>
        <item x="296"/>
        <item x="1005"/>
        <item x="520"/>
        <item x="55"/>
        <item x="1008"/>
        <item x="732"/>
        <item x="175"/>
        <item x="724"/>
        <item x="476"/>
        <item x="814"/>
        <item x="190"/>
        <item x="1485"/>
        <item x="1230"/>
        <item x="1002"/>
        <item x="890"/>
        <item x="1436"/>
        <item x="545"/>
        <item x="1090"/>
        <item x="1141"/>
        <item x="1443"/>
        <item x="752"/>
        <item x="384"/>
        <item x="1292"/>
        <item x="557"/>
        <item x="901"/>
        <item x="48"/>
        <item x="249"/>
        <item x="679"/>
        <item x="1194"/>
        <item x="1053"/>
        <item x="1183"/>
        <item x="1094"/>
        <item x="638"/>
        <item x="1206"/>
        <item x="969"/>
        <item x="1293"/>
        <item x="612"/>
        <item x="578"/>
        <item x="757"/>
        <item x="839"/>
        <item x="33"/>
        <item x="216"/>
        <item x="774"/>
        <item x="554"/>
        <item x="1282"/>
        <item x="836"/>
        <item x="399"/>
        <item x="1252"/>
        <item x="493"/>
        <item x="376"/>
        <item x="1049"/>
        <item x="140"/>
        <item x="511"/>
        <item x="309"/>
        <item x="194"/>
        <item x="620"/>
        <item x="611"/>
        <item x="962"/>
        <item x="70"/>
        <item x="822"/>
        <item x="740"/>
        <item x="577"/>
        <item x="1038"/>
        <item x="414"/>
        <item x="152"/>
        <item x="1276"/>
        <item x="1331"/>
        <item x="1496"/>
        <item x="1151"/>
        <item x="1123"/>
        <item x="410"/>
        <item x="222"/>
        <item x="156"/>
        <item x="617"/>
        <item x="1302"/>
        <item x="983"/>
        <item x="818"/>
        <item x="660"/>
        <item x="791"/>
        <item x="442"/>
        <item x="292"/>
        <item x="1125"/>
        <item x="105"/>
        <item x="1031"/>
        <item x="566"/>
        <item x="177"/>
        <item x="1300"/>
        <item x="378"/>
        <item x="1138"/>
        <item x="761"/>
        <item x="819"/>
        <item x="515"/>
        <item x="418"/>
        <item x="1268"/>
        <item x="73"/>
        <item x="84"/>
        <item x="582"/>
        <item x="841"/>
        <item x="1254"/>
        <item x="807"/>
        <item x="864"/>
        <item x="605"/>
        <item x="970"/>
        <item x="241"/>
        <item x="766"/>
        <item x="1152"/>
        <item x="151"/>
        <item x="1192"/>
        <item x="653"/>
        <item x="992"/>
        <item x="176"/>
        <item x="1190"/>
        <item x="1465"/>
        <item x="1120"/>
        <item x="239"/>
        <item x="1159"/>
        <item x="507"/>
        <item x="700"/>
        <item x="655"/>
        <item x="1180"/>
        <item x="1099"/>
        <item x="787"/>
        <item x="1200"/>
        <item x="19"/>
        <item x="523"/>
        <item x="1174"/>
        <item x="75"/>
        <item x="438"/>
        <item x="1157"/>
        <item x="896"/>
        <item x="799"/>
        <item x="1311"/>
        <item x="1169"/>
        <item x="1069"/>
        <item x="1177"/>
        <item x="146"/>
        <item x="367"/>
        <item x="375"/>
        <item x="1148"/>
        <item x="731"/>
        <item x="211"/>
        <item x="1468"/>
        <item x="597"/>
        <item x="884"/>
        <item x="1425"/>
        <item x="89"/>
        <item x="885"/>
        <item x="232"/>
        <item x="1128"/>
        <item x="950"/>
        <item x="917"/>
        <item x="406"/>
        <item x="1262"/>
        <item x="576"/>
        <item x="674"/>
        <item x="1458"/>
        <item x="603"/>
        <item x="206"/>
        <item x="315"/>
        <item x="1463"/>
        <item x="1353"/>
        <item x="713"/>
        <item x="984"/>
        <item x="468"/>
        <item x="58"/>
        <item x="805"/>
        <item x="1305"/>
        <item x="255"/>
        <item x="907"/>
        <item x="753"/>
        <item x="657"/>
        <item x="312"/>
        <item x="588"/>
        <item x="227"/>
        <item x="162"/>
        <item x="69"/>
        <item x="1264"/>
        <item x="318"/>
        <item x="708"/>
        <item x="492"/>
        <item x="831"/>
        <item x="83"/>
        <item x="712"/>
        <item x="444"/>
        <item x="1046"/>
        <item x="1032"/>
        <item x="1409"/>
        <item x="976"/>
        <item x="745"/>
        <item x="56"/>
        <item x="594"/>
        <item x="96"/>
        <item x="1487"/>
        <item x="548"/>
        <item x="1163"/>
        <item x="1477"/>
        <item x="313"/>
        <item x="321"/>
        <item x="689"/>
        <item x="1442"/>
        <item x="904"/>
        <item x="895"/>
        <item x="1462"/>
        <item x="86"/>
        <item x="824"/>
        <item x="558"/>
        <item x="135"/>
        <item x="964"/>
        <item x="850"/>
        <item x="1277"/>
        <item x="1310"/>
        <item x="1015"/>
        <item x="160"/>
        <item x="1062"/>
        <item x="12"/>
        <item x="1109"/>
        <item x="392"/>
        <item x="127"/>
        <item x="1227"/>
        <item x="644"/>
        <item x="432"/>
        <item x="1476"/>
        <item x="677"/>
        <item x="1039"/>
        <item x="1266"/>
        <item x="200"/>
        <item x="686"/>
        <item x="230"/>
        <item x="855"/>
        <item x="203"/>
        <item x="252"/>
        <item x="514"/>
        <item x="1132"/>
        <item x="665"/>
        <item x="664"/>
        <item x="1118"/>
        <item x="720"/>
        <item x="779"/>
        <item x="794"/>
        <item x="1454"/>
        <item x="1229"/>
        <item x="1087"/>
        <item x="454"/>
        <item x="229"/>
        <item x="1317"/>
        <item x="1368"/>
        <item x="1437"/>
        <item x="995"/>
        <item x="97"/>
        <item x="1314"/>
        <item x="1267"/>
        <item x="637"/>
        <item x="1351"/>
        <item x="847"/>
        <item x="981"/>
        <item x="1052"/>
        <item x="682"/>
        <item x="316"/>
        <item x="1071"/>
        <item x="710"/>
        <item x="1050"/>
        <item x="234"/>
        <item x="522"/>
        <item x="868"/>
        <item x="1134"/>
        <item x="191"/>
        <item x="1474"/>
        <item x="28"/>
        <item x="336"/>
        <item x="867"/>
        <item x="598"/>
        <item x="734"/>
        <item x="1405"/>
        <item x="36"/>
        <item x="487"/>
        <item x="928"/>
        <item x="854"/>
        <item x="958"/>
        <item x="38"/>
        <item x="477"/>
        <item x="268"/>
        <item x="383"/>
        <item x="1056"/>
        <item x="294"/>
        <item x="34"/>
        <item x="694"/>
        <item x="727"/>
        <item x="897"/>
        <item x="275"/>
        <item x="781"/>
        <item x="9"/>
        <item x="408"/>
        <item x="329"/>
        <item x="1451"/>
        <item x="952"/>
        <item x="956"/>
        <item x="1018"/>
        <item x="999"/>
        <item x="207"/>
        <item x="707"/>
        <item x="599"/>
        <item x="833"/>
        <item x="792"/>
        <item x="857"/>
        <item x="1001"/>
        <item x="1029"/>
        <item x="279"/>
        <item x="173"/>
        <item x="1089"/>
        <item x="764"/>
        <item x="1325"/>
        <item x="993"/>
        <item x="924"/>
        <item x="1219"/>
        <item x="894"/>
        <item x="1024"/>
        <item x="810"/>
        <item x="601"/>
        <item x="985"/>
        <item x="334"/>
        <item x="486"/>
        <item x="922"/>
        <item x="1011"/>
        <item x="457"/>
        <item x="537"/>
        <item x="59"/>
        <item x="642"/>
        <item x="1017"/>
        <item x="455"/>
        <item x="22"/>
        <item x="1079"/>
        <item x="420"/>
        <item x="645"/>
        <item x="4"/>
        <item x="1361"/>
        <item x="256"/>
        <item x="448"/>
        <item x="274"/>
        <item x="1377"/>
        <item x="126"/>
        <item x="1460"/>
        <item x="15"/>
        <item x="224"/>
        <item x="1222"/>
        <item x="1072"/>
        <item x="706"/>
        <item x="579"/>
        <item x="308"/>
        <item x="1108"/>
        <item x="324"/>
        <item x="71"/>
        <item x="32"/>
        <item x="1296"/>
        <item x="6"/>
        <item x="746"/>
        <item x="1086"/>
        <item x="302"/>
        <item x="29"/>
        <item x="1371"/>
        <item x="1320"/>
        <item x="1095"/>
        <item x="656"/>
        <item x="747"/>
        <item x="1245"/>
        <item x="215"/>
        <item x="968"/>
        <item x="767"/>
        <item x="1214"/>
        <item x="106"/>
        <item x="1186"/>
        <item x="872"/>
        <item x="1380"/>
        <item x="63"/>
        <item x="1388"/>
        <item x="260"/>
        <item x="980"/>
        <item x="920"/>
        <item x="495"/>
        <item x="1333"/>
        <item x="1040"/>
        <item x="210"/>
        <item x="1129"/>
        <item x="150"/>
        <item x="254"/>
        <item x="1198"/>
        <item x="1160"/>
        <item x="658"/>
        <item x="510"/>
        <item x="347"/>
        <item x="538"/>
        <item x="875"/>
        <item x="174"/>
        <item x="524"/>
        <item x="1142"/>
        <item x="600"/>
        <item x="402"/>
        <item x="684"/>
        <item x="1384"/>
        <item x="531"/>
        <item x="1145"/>
        <item x="74"/>
        <item x="957"/>
        <item x="1419"/>
        <item x="923"/>
        <item x="430"/>
        <item x="891"/>
        <item x="1233"/>
        <item x="87"/>
        <item x="1374"/>
        <item x="661"/>
        <item x="412"/>
        <item x="1235"/>
        <item x="107"/>
        <item x="744"/>
        <item x="246"/>
        <item x="1107"/>
        <item x="714"/>
        <item x="989"/>
        <item x="195"/>
        <item x="213"/>
        <item x="547"/>
        <item x="765"/>
        <item x="1381"/>
        <item x="790"/>
        <item x="1012"/>
        <item x="344"/>
        <item x="261"/>
        <item x="202"/>
        <item x="1332"/>
        <item x="1321"/>
        <item x="725"/>
        <item x="45"/>
        <item x="832"/>
        <item x="865"/>
        <item x="1471"/>
        <item x="1408"/>
        <item x="1288"/>
        <item x="431"/>
        <item x="1211"/>
        <item x="1204"/>
        <item x="979"/>
        <item x="199"/>
        <item x="889"/>
        <item x="519"/>
        <item x="876"/>
        <item x="446"/>
        <item x="1065"/>
        <item x="1048"/>
        <item x="621"/>
        <item x="1483"/>
        <item x="786"/>
        <item x="1176"/>
        <item x="926"/>
        <item x="473"/>
        <item x="1395"/>
        <item x="474"/>
        <item x="947"/>
        <item x="1272"/>
        <item x="782"/>
        <item x="291"/>
        <item x="223"/>
        <item x="718"/>
        <item x="977"/>
        <item x="1464"/>
        <item x="640"/>
        <item x="148"/>
        <item x="441"/>
        <item x="460"/>
        <item x="1034"/>
        <item x="0"/>
        <item x="530"/>
        <item x="1287"/>
        <item x="354"/>
        <item x="735"/>
        <item x="551"/>
        <item x="340"/>
        <item x="436"/>
        <item x="423"/>
        <item x="422"/>
        <item x="555"/>
        <item x="801"/>
        <item x="362"/>
        <item x="785"/>
        <item x="1275"/>
        <item x="1026"/>
        <item x="1188"/>
        <item x="355"/>
        <item x="1009"/>
        <item x="204"/>
        <item x="225"/>
        <item x="593"/>
        <item x="461"/>
        <item x="165"/>
        <item x="1269"/>
        <item x="972"/>
        <item x="1280"/>
        <item x="749"/>
        <item x="817"/>
        <item x="1205"/>
        <item x="998"/>
        <item x="304"/>
        <item x="1175"/>
        <item x="1432"/>
        <item x="776"/>
        <item x="1092"/>
        <item x="100"/>
        <item x="1363"/>
        <item x="1486"/>
        <item x="633"/>
        <item x="337"/>
        <item x="502"/>
        <item x="226"/>
        <item x="828"/>
        <item x="485"/>
        <item x="467"/>
        <item x="193"/>
        <item x="490"/>
        <item x="1247"/>
        <item x="671"/>
        <item x="132"/>
        <item x="411"/>
        <item x="971"/>
        <item x="549"/>
        <item x="248"/>
        <item x="1131"/>
        <item x="451"/>
        <item x="939"/>
        <item x="166"/>
        <item x="804"/>
        <item x="129"/>
        <item x="1399"/>
        <item x="137"/>
        <item x="328"/>
        <item x="553"/>
        <item x="1459"/>
        <item x="257"/>
        <item x="361"/>
        <item x="370"/>
        <item x="1415"/>
        <item x="1444"/>
        <item x="1493"/>
        <item x="415"/>
        <item x="277"/>
        <item x="1372"/>
        <item x="1352"/>
        <item x="183"/>
        <item x="602"/>
        <item x="263"/>
        <item x="159"/>
        <item x="1278"/>
        <item x="24"/>
        <item x="1228"/>
        <item x="271"/>
        <item x="470"/>
        <item x="1329"/>
        <item x="425"/>
        <item x="240"/>
        <item x="1044"/>
        <item x="245"/>
        <item x="1375"/>
        <item x="1376"/>
        <item x="609"/>
        <item x="503"/>
        <item x="918"/>
        <item x="1406"/>
        <item x="212"/>
        <item x="1392"/>
        <item x="1382"/>
        <item x="1322"/>
        <item x="1244"/>
        <item x="238"/>
        <item x="1323"/>
        <item x="625"/>
        <item x="13"/>
        <item x="646"/>
        <item x="447"/>
        <item x="92"/>
        <item x="301"/>
        <item x="434"/>
        <item x="1100"/>
        <item x="564"/>
        <item x="1182"/>
        <item x="57"/>
        <item x="797"/>
        <item x="604"/>
        <item x="273"/>
        <item x="560"/>
        <item x="167"/>
        <item x="1207"/>
        <item x="1021"/>
        <item x="1306"/>
        <item x="915"/>
        <item x="643"/>
        <item x="496"/>
        <item x="47"/>
        <item x="1491"/>
        <item t="default"/>
      </items>
    </pivotField>
    <pivotField showAll="0"/>
    <pivotField showAll="0" sortType="descending">
      <items count="8">
        <item x="4"/>
        <item x="5"/>
        <item x="3"/>
        <item x="6"/>
        <item x="1"/>
        <item x="2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7">
        <item x="4"/>
        <item x="2"/>
        <item x="3"/>
        <item x="1"/>
        <item x="0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showAll="0"/>
    <pivotField showAll="0">
      <items count="4">
        <item x="0"/>
        <item x="1"/>
        <item x="2"/>
        <item t="default"/>
      </items>
    </pivotField>
    <pivotField dataField="1" showAll="0"/>
    <pivotField showAll="0"/>
    <pivotField showAll="0"/>
    <pivotField numFmtId="175" showAll="0">
      <items count="28">
        <item x="17"/>
        <item x="7"/>
        <item x="15"/>
        <item x="2"/>
        <item x="24"/>
        <item x="26"/>
        <item x="23"/>
        <item x="18"/>
        <item x="3"/>
        <item x="1"/>
        <item x="11"/>
        <item x="12"/>
        <item x="16"/>
        <item x="14"/>
        <item x="20"/>
        <item x="6"/>
        <item x="5"/>
        <item x="19"/>
        <item x="13"/>
        <item x="22"/>
        <item x="9"/>
        <item x="8"/>
        <item x="4"/>
        <item x="21"/>
        <item x="0"/>
        <item x="25"/>
        <item x="10"/>
        <item t="default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9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Tickets" fld="0" subtotal="count" baseField="0" baseItem="0"/>
    <dataField name="Closed" fld="18" baseField="0" baseItem="0"/>
  </dataFields>
  <formats count="8">
    <format dxfId="45">
      <pivotArea field="8" type="button" dataOnly="0" labelOnly="1" outline="0"/>
    </format>
    <format dxfId="46">
      <pivotArea dataOnly="0" labelOnly="1" outline="0" axis="axisValues" fieldPosition="0"/>
    </format>
    <format dxfId="23">
      <pivotArea field="9" type="button" dataOnly="0" labelOnly="1" outline="0" axis="axisRow" fieldPosition="0"/>
    </format>
    <format dxfId="2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1">
      <pivotArea field="9" type="button" dataOnly="0" labelOnly="1" outline="0" axis="axisRow" fieldPosition="0"/>
    </format>
    <format dxfId="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8">
      <pivotArea dataOnly="0" labelOnly="1" outline="0" fieldPosition="0">
        <references count="1">
          <reference field="4294967294" count="1">
            <x v="1"/>
          </reference>
        </references>
      </pivotArea>
    </format>
  </formats>
  <chartFormats count="1"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77AE7B-3419-4754-A734-09C23F04DD21}" name="PivotTable6" cacheId="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1" rowHeaderCaption="Month_year">
  <location ref="A14:B42" firstHeaderRow="1" firstDataRow="1" firstDataCol="1"/>
  <pivotFields count="27">
    <pivotField dataField="1" showAll="0"/>
    <pivotField showAll="0"/>
    <pivotField showAll="0"/>
    <pivotField showAll="0"/>
    <pivotField showAll="0"/>
    <pivotField showAll="0"/>
    <pivotField numFmtId="22" showAll="0">
      <items count="1501">
        <item x="1162"/>
        <item x="811"/>
        <item x="198"/>
        <item x="228"/>
        <item x="1482"/>
        <item x="963"/>
        <item x="953"/>
        <item x="615"/>
        <item x="690"/>
        <item x="26"/>
        <item x="1172"/>
        <item x="247"/>
        <item x="1016"/>
        <item x="793"/>
        <item x="1201"/>
        <item x="278"/>
        <item x="35"/>
        <item x="1234"/>
        <item x="1359"/>
        <item x="738"/>
        <item x="1215"/>
        <item x="40"/>
        <item x="104"/>
        <item x="288"/>
        <item x="1027"/>
        <item x="861"/>
        <item x="435"/>
        <item x="1378"/>
        <item x="1111"/>
        <item x="320"/>
        <item x="1178"/>
        <item x="1117"/>
        <item x="1430"/>
        <item x="54"/>
        <item x="1121"/>
        <item x="1023"/>
        <item x="840"/>
        <item x="859"/>
        <item x="331"/>
        <item x="1438"/>
        <item x="157"/>
        <item x="583"/>
        <item x="250"/>
        <item x="1256"/>
        <item x="723"/>
        <item x="147"/>
        <item x="181"/>
        <item x="27"/>
        <item x="1213"/>
        <item x="1103"/>
        <item x="1340"/>
        <item x="1391"/>
        <item x="333"/>
        <item x="863"/>
        <item x="143"/>
        <item x="161"/>
        <item x="934"/>
        <item x="363"/>
        <item x="349"/>
        <item x="1327"/>
        <item x="42"/>
        <item x="108"/>
        <item x="631"/>
        <item x="1122"/>
        <item x="449"/>
        <item x="1326"/>
        <item x="111"/>
        <item x="1330"/>
        <item x="1385"/>
        <item x="1467"/>
        <item x="51"/>
        <item x="843"/>
        <item x="681"/>
        <item x="342"/>
        <item x="838"/>
        <item x="341"/>
        <item x="182"/>
        <item x="396"/>
        <item x="297"/>
        <item x="961"/>
        <item x="52"/>
        <item x="1389"/>
        <item x="845"/>
        <item x="667"/>
        <item x="1413"/>
        <item x="769"/>
        <item x="905"/>
        <item x="1271"/>
        <item x="338"/>
        <item x="208"/>
        <item x="142"/>
        <item x="1435"/>
        <item x="942"/>
        <item x="715"/>
        <item x="974"/>
        <item x="777"/>
        <item x="673"/>
        <item x="1061"/>
        <item x="798"/>
        <item x="921"/>
        <item x="1236"/>
        <item x="1484"/>
        <item x="1098"/>
        <item x="95"/>
        <item x="900"/>
        <item x="1344"/>
        <item x="676"/>
        <item x="360"/>
        <item x="1073"/>
        <item x="1115"/>
        <item x="306"/>
        <item x="335"/>
        <item x="848"/>
        <item x="121"/>
        <item x="8"/>
        <item x="572"/>
        <item x="768"/>
        <item x="869"/>
        <item x="1248"/>
        <item x="1153"/>
        <item x="1393"/>
        <item x="1345"/>
        <item x="1410"/>
        <item x="421"/>
        <item x="1457"/>
        <item x="648"/>
        <item x="678"/>
        <item x="339"/>
        <item x="1124"/>
        <item x="1255"/>
        <item x="428"/>
        <item x="417"/>
        <item x="488"/>
        <item x="626"/>
        <item x="596"/>
        <item x="1060"/>
        <item x="80"/>
        <item x="1402"/>
        <item x="505"/>
        <item x="50"/>
        <item x="687"/>
        <item x="1366"/>
        <item x="1088"/>
        <item x="303"/>
        <item x="21"/>
        <item x="1455"/>
        <item x="262"/>
        <item x="452"/>
        <item x="866"/>
        <item x="205"/>
        <item x="284"/>
        <item x="975"/>
        <item x="567"/>
        <item x="1237"/>
        <item x="178"/>
        <item x="1013"/>
        <item x="197"/>
        <item x="910"/>
        <item x="829"/>
        <item x="1116"/>
        <item x="491"/>
        <item x="860"/>
        <item x="369"/>
        <item x="465"/>
        <item x="886"/>
        <item x="670"/>
        <item x="672"/>
        <item x="826"/>
        <item x="927"/>
        <item x="721"/>
        <item x="1187"/>
        <item x="930"/>
        <item x="1299"/>
        <item x="1429"/>
        <item x="788"/>
        <item x="1239"/>
        <item x="382"/>
        <item x="141"/>
        <item x="634"/>
        <item x="1498"/>
        <item x="1246"/>
        <item x="184"/>
        <item x="581"/>
        <item x="1301"/>
        <item x="730"/>
        <item x="1426"/>
        <item x="830"/>
        <item x="1210"/>
        <item x="1007"/>
        <item x="717"/>
        <item x="1036"/>
        <item x="267"/>
        <item x="1373"/>
        <item x="373"/>
        <item x="290"/>
        <item x="726"/>
        <item x="1423"/>
        <item x="429"/>
        <item x="170"/>
        <item x="1030"/>
        <item x="483"/>
        <item x="68"/>
        <item x="812"/>
        <item x="39"/>
        <item x="622"/>
        <item x="500"/>
        <item x="187"/>
        <item x="253"/>
        <item x="426"/>
        <item x="374"/>
        <item x="1191"/>
        <item x="314"/>
        <item x="77"/>
        <item x="842"/>
        <item x="925"/>
        <item x="1066"/>
        <item x="763"/>
        <item x="945"/>
        <item x="2"/>
        <item x="630"/>
        <item x="283"/>
        <item x="201"/>
        <item x="18"/>
        <item x="322"/>
        <item x="1158"/>
        <item x="94"/>
        <item x="1397"/>
        <item x="639"/>
        <item x="1135"/>
        <item x="1324"/>
        <item x="1127"/>
        <item x="711"/>
        <item x="466"/>
        <item x="755"/>
        <item x="317"/>
        <item x="563"/>
        <item x="941"/>
        <item x="1265"/>
        <item x="1433"/>
        <item x="281"/>
        <item x="122"/>
        <item x="775"/>
        <item x="372"/>
        <item x="1170"/>
        <item x="809"/>
        <item x="569"/>
        <item x="996"/>
        <item x="1126"/>
        <item x="1390"/>
        <item x="733"/>
        <item x="716"/>
        <item x="1369"/>
        <item x="988"/>
        <item x="233"/>
        <item x="346"/>
        <item x="356"/>
        <item x="1319"/>
        <item x="949"/>
        <item x="1000"/>
        <item x="881"/>
        <item x="954"/>
        <item x="960"/>
        <item x="743"/>
        <item x="772"/>
        <item x="110"/>
        <item x="729"/>
        <item x="1113"/>
        <item x="529"/>
        <item x="1047"/>
        <item x="880"/>
        <item x="188"/>
        <item x="1328"/>
        <item x="1251"/>
        <item x="1258"/>
        <item x="825"/>
        <item x="512"/>
        <item x="987"/>
        <item x="443"/>
        <item x="914"/>
        <item x="1440"/>
        <item x="1114"/>
        <item x="79"/>
        <item x="1253"/>
        <item x="508"/>
        <item x="345"/>
        <item x="1096"/>
        <item x="675"/>
        <item x="243"/>
        <item x="169"/>
        <item x="871"/>
        <item x="236"/>
        <item x="1461"/>
        <item x="1184"/>
        <item x="751"/>
        <item x="911"/>
        <item x="542"/>
        <item x="398"/>
        <item x="1223"/>
        <item x="873"/>
        <item x="568"/>
        <item x="1054"/>
        <item x="387"/>
        <item x="1144"/>
        <item x="1259"/>
        <item x="938"/>
        <item x="1318"/>
        <item x="1294"/>
        <item x="1139"/>
        <item x="771"/>
        <item x="305"/>
        <item x="1218"/>
        <item x="158"/>
        <item x="878"/>
        <item x="1315"/>
        <item x="1379"/>
        <item x="823"/>
        <item x="919"/>
        <item x="1439"/>
        <item x="719"/>
        <item x="1242"/>
        <item x="628"/>
        <item x="332"/>
        <item x="311"/>
        <item x="1417"/>
        <item x="1133"/>
        <item x="484"/>
        <item x="409"/>
        <item x="1480"/>
        <item x="235"/>
        <item x="944"/>
        <item x="504"/>
        <item x="323"/>
        <item x="380"/>
        <item x="516"/>
        <item x="933"/>
        <item x="427"/>
        <item x="365"/>
        <item x="688"/>
        <item x="550"/>
        <item x="1488"/>
        <item x="1348"/>
        <item x="218"/>
        <item x="509"/>
        <item x="1093"/>
        <item x="413"/>
        <item x="1231"/>
        <item x="1261"/>
        <item x="618"/>
        <item x="475"/>
        <item x="1431"/>
        <item x="1316"/>
        <item x="1055"/>
        <item x="1196"/>
        <item x="641"/>
        <item x="1195"/>
        <item x="123"/>
        <item x="870"/>
        <item x="189"/>
        <item x="407"/>
        <item x="616"/>
        <item x="497"/>
        <item x="614"/>
        <item x="65"/>
        <item x="131"/>
        <item x="543"/>
        <item x="1466"/>
        <item x="287"/>
        <item x="1307"/>
        <item x="1401"/>
        <item x="1165"/>
        <item x="221"/>
        <item x="1199"/>
        <item x="164"/>
        <item x="858"/>
        <item x="258"/>
        <item x="1136"/>
        <item x="394"/>
        <item x="440"/>
        <item x="1308"/>
        <item x="1286"/>
        <item x="1155"/>
        <item x="695"/>
        <item x="887"/>
        <item x="592"/>
        <item x="1334"/>
        <item x="145"/>
        <item x="647"/>
        <item x="1414"/>
        <item x="1101"/>
        <item x="584"/>
        <item x="1097"/>
        <item x="1387"/>
        <item x="462"/>
        <item x="1225"/>
        <item x="1105"/>
        <item x="702"/>
        <item x="959"/>
        <item x="758"/>
        <item x="456"/>
        <item x="1365"/>
        <item x="351"/>
        <item x="540"/>
        <item x="1447"/>
        <item x="1067"/>
        <item x="60"/>
        <item x="1149"/>
        <item x="636"/>
        <item x="703"/>
        <item x="217"/>
        <item x="1347"/>
        <item x="120"/>
        <item x="119"/>
        <item x="186"/>
        <item x="72"/>
        <item x="680"/>
        <item x="756"/>
        <item x="575"/>
        <item x="171"/>
        <item x="541"/>
        <item x="585"/>
        <item x="1452"/>
        <item x="759"/>
        <item x="770"/>
        <item x="932"/>
        <item x="130"/>
        <item x="780"/>
        <item x="1006"/>
        <item x="1346"/>
        <item x="1051"/>
        <item x="1189"/>
        <item x="400"/>
        <item x="319"/>
        <item x="433"/>
        <item x="300"/>
        <item x="371"/>
        <item x="835"/>
        <item x="1370"/>
        <item x="116"/>
        <item x="1470"/>
        <item x="834"/>
        <item x="138"/>
        <item x="1140"/>
        <item x="574"/>
        <item x="298"/>
        <item x="990"/>
        <item x="30"/>
        <item x="1473"/>
        <item x="1450"/>
        <item x="1478"/>
        <item x="1335"/>
        <item x="570"/>
        <item x="91"/>
        <item x="506"/>
        <item x="539"/>
        <item x="760"/>
        <item x="1421"/>
        <item x="1045"/>
        <item x="669"/>
        <item x="134"/>
        <item x="1481"/>
        <item x="879"/>
        <item x="773"/>
        <item x="1209"/>
        <item x="67"/>
        <item x="1106"/>
        <item x="742"/>
        <item x="544"/>
        <item x="1043"/>
        <item x="1217"/>
        <item x="388"/>
        <item x="501"/>
        <item x="696"/>
        <item x="943"/>
        <item x="691"/>
        <item x="654"/>
        <item x="1130"/>
        <item x="1445"/>
        <item x="381"/>
        <item x="994"/>
        <item x="1003"/>
        <item x="899"/>
        <item x="139"/>
        <item x="1309"/>
        <item x="929"/>
        <item x="115"/>
        <item x="3"/>
        <item x="1338"/>
        <item x="685"/>
        <item x="1147"/>
        <item x="1407"/>
        <item x="607"/>
        <item x="1081"/>
        <item x="635"/>
        <item x="935"/>
        <item x="1216"/>
        <item x="856"/>
        <item x="1085"/>
        <item x="1074"/>
        <item x="559"/>
        <item x="936"/>
        <item x="815"/>
        <item x="1250"/>
        <item x="1297"/>
        <item x="610"/>
        <item x="481"/>
        <item x="571"/>
        <item x="1364"/>
        <item x="149"/>
        <item x="527"/>
        <item x="1492"/>
        <item x="419"/>
        <item x="851"/>
        <item x="259"/>
        <item x="982"/>
        <item x="128"/>
        <item x="1"/>
        <item x="652"/>
        <item x="1033"/>
        <item x="1355"/>
        <item x="1179"/>
        <item x="683"/>
        <item x="693"/>
        <item x="862"/>
        <item x="61"/>
        <item x="64"/>
        <item x="739"/>
        <item x="348"/>
        <item x="973"/>
        <item x="1042"/>
        <item x="1424"/>
        <item x="1203"/>
        <item x="37"/>
        <item x="565"/>
        <item x="1035"/>
        <item x="1495"/>
        <item x="1291"/>
        <item x="266"/>
        <item x="1422"/>
        <item x="820"/>
        <item x="1489"/>
        <item x="1469"/>
        <item x="1448"/>
        <item x="986"/>
        <item x="1019"/>
        <item x="113"/>
        <item x="951"/>
        <item x="526"/>
        <item x="1104"/>
        <item x="53"/>
        <item x="1238"/>
        <item x="1434"/>
        <item x="1490"/>
        <item x="1303"/>
        <item x="1202"/>
        <item x="237"/>
        <item x="1037"/>
        <item x="552"/>
        <item x="1197"/>
        <item x="1167"/>
        <item x="41"/>
        <item x="472"/>
        <item x="903"/>
        <item x="424"/>
        <item x="1193"/>
        <item x="471"/>
        <item x="909"/>
        <item x="343"/>
        <item x="401"/>
        <item x="704"/>
        <item x="330"/>
        <item x="1349"/>
        <item x="1499"/>
        <item x="803"/>
        <item x="722"/>
        <item x="1313"/>
        <item x="813"/>
        <item x="390"/>
        <item x="209"/>
        <item x="1279"/>
        <item x="385"/>
        <item x="244"/>
        <item x="16"/>
        <item x="1394"/>
        <item x="1358"/>
        <item x="299"/>
        <item x="326"/>
        <item x="589"/>
        <item x="76"/>
        <item x="310"/>
        <item x="416"/>
        <item x="1403"/>
        <item x="754"/>
        <item x="307"/>
        <item x="535"/>
        <item x="967"/>
        <item x="619"/>
        <item x="1150"/>
        <item x="1312"/>
        <item x="231"/>
        <item x="1386"/>
        <item x="800"/>
        <item x="1091"/>
        <item x="66"/>
        <item x="1168"/>
        <item x="916"/>
        <item x="125"/>
        <item x="1396"/>
        <item x="966"/>
        <item x="1427"/>
        <item x="325"/>
        <item x="997"/>
        <item x="913"/>
        <item x="437"/>
        <item x="888"/>
        <item x="1398"/>
        <item x="17"/>
        <item x="1221"/>
        <item x="78"/>
        <item x="359"/>
        <item x="1418"/>
        <item x="366"/>
        <item x="353"/>
        <item x="98"/>
        <item x="698"/>
        <item x="469"/>
        <item x="144"/>
        <item x="521"/>
        <item x="1260"/>
        <item x="23"/>
        <item x="31"/>
        <item x="154"/>
        <item x="458"/>
        <item x="88"/>
        <item x="1475"/>
        <item x="1257"/>
        <item x="1078"/>
        <item x="1112"/>
        <item x="1181"/>
        <item x="1453"/>
        <item x="827"/>
        <item x="276"/>
        <item x="358"/>
        <item x="525"/>
        <item x="728"/>
        <item x="893"/>
        <item x="1154"/>
        <item x="1420"/>
        <item x="264"/>
        <item x="580"/>
        <item x="613"/>
        <item x="1342"/>
        <item x="1041"/>
        <item x="1212"/>
        <item x="573"/>
        <item x="1080"/>
        <item x="852"/>
        <item x="459"/>
        <item x="1161"/>
        <item x="651"/>
        <item x="697"/>
        <item x="844"/>
        <item x="499"/>
        <item x="220"/>
        <item x="109"/>
        <item x="741"/>
        <item x="1025"/>
        <item x="518"/>
        <item x="1285"/>
        <item x="1304"/>
        <item x="649"/>
        <item x="623"/>
        <item x="883"/>
        <item x="1084"/>
        <item x="1057"/>
        <item x="783"/>
        <item x="179"/>
        <item x="1412"/>
        <item x="269"/>
        <item x="46"/>
        <item x="1241"/>
        <item x="906"/>
        <item x="1143"/>
        <item x="1263"/>
        <item x="561"/>
        <item x="513"/>
        <item x="796"/>
        <item x="112"/>
        <item x="586"/>
        <item x="837"/>
        <item x="931"/>
        <item x="1146"/>
        <item x="1028"/>
        <item x="163"/>
        <item x="377"/>
        <item x="624"/>
        <item x="1400"/>
        <item x="666"/>
        <item x="821"/>
        <item x="1185"/>
        <item x="1070"/>
        <item x="1059"/>
        <item x="778"/>
        <item x="386"/>
        <item x="1295"/>
        <item x="1083"/>
        <item x="802"/>
        <item x="784"/>
        <item x="1068"/>
        <item x="1416"/>
        <item x="590"/>
        <item x="912"/>
        <item x="591"/>
        <item x="750"/>
        <item x="1367"/>
        <item x="1354"/>
        <item x="1281"/>
        <item x="99"/>
        <item x="1164"/>
        <item x="877"/>
        <item x="536"/>
        <item x="251"/>
        <item x="898"/>
        <item x="650"/>
        <item x="90"/>
        <item x="701"/>
        <item x="62"/>
        <item x="632"/>
        <item x="978"/>
        <item x="124"/>
        <item x="133"/>
        <item x="25"/>
        <item x="1284"/>
        <item x="445"/>
        <item x="85"/>
        <item x="1337"/>
        <item x="103"/>
        <item x="1411"/>
        <item x="1058"/>
        <item x="849"/>
        <item x="662"/>
        <item x="1171"/>
        <item x="1404"/>
        <item x="1010"/>
        <item x="874"/>
        <item x="295"/>
        <item x="709"/>
        <item x="397"/>
        <item x="1166"/>
        <item x="1022"/>
        <item x="629"/>
        <item x="391"/>
        <item x="293"/>
        <item x="1064"/>
        <item x="940"/>
        <item x="479"/>
        <item x="795"/>
        <item x="1449"/>
        <item x="762"/>
        <item x="172"/>
        <item x="606"/>
        <item x="464"/>
        <item x="20"/>
        <item x="395"/>
        <item x="192"/>
        <item x="1004"/>
        <item x="705"/>
        <item x="1226"/>
        <item x="286"/>
        <item x="1357"/>
        <item x="155"/>
        <item x="1479"/>
        <item x="1383"/>
        <item x="882"/>
        <item x="853"/>
        <item x="285"/>
        <item x="282"/>
        <item x="327"/>
        <item x="1137"/>
        <item x="627"/>
        <item x="532"/>
        <item x="404"/>
        <item x="937"/>
        <item x="1428"/>
        <item x="117"/>
        <item x="1077"/>
        <item x="357"/>
        <item x="1472"/>
        <item x="1119"/>
        <item x="748"/>
        <item x="955"/>
        <item x="405"/>
        <item x="533"/>
        <item x="43"/>
        <item x="1224"/>
        <item x="1274"/>
        <item x="595"/>
        <item x="1356"/>
        <item x="49"/>
        <item x="81"/>
        <item x="1063"/>
        <item x="1273"/>
        <item x="489"/>
        <item x="846"/>
        <item x="659"/>
        <item x="816"/>
        <item x="498"/>
        <item x="1341"/>
        <item x="389"/>
        <item x="736"/>
        <item x="114"/>
        <item x="480"/>
        <item x="364"/>
        <item x="350"/>
        <item x="1350"/>
        <item x="534"/>
        <item x="789"/>
        <item x="1020"/>
        <item x="556"/>
        <item x="1494"/>
        <item x="168"/>
        <item x="1208"/>
        <item x="93"/>
        <item x="352"/>
        <item x="270"/>
        <item x="196"/>
        <item x="1110"/>
        <item x="1270"/>
        <item x="808"/>
        <item x="368"/>
        <item x="214"/>
        <item x="528"/>
        <item x="102"/>
        <item x="908"/>
        <item x="1232"/>
        <item x="463"/>
        <item x="101"/>
        <item x="242"/>
        <item x="1082"/>
        <item x="517"/>
        <item x="902"/>
        <item x="608"/>
        <item x="692"/>
        <item x="478"/>
        <item x="1076"/>
        <item x="1249"/>
        <item x="1298"/>
        <item x="1441"/>
        <item x="1339"/>
        <item x="494"/>
        <item x="379"/>
        <item x="1446"/>
        <item x="7"/>
        <item x="44"/>
        <item x="11"/>
        <item x="185"/>
        <item x="1283"/>
        <item x="1360"/>
        <item x="587"/>
        <item x="562"/>
        <item x="1289"/>
        <item x="1156"/>
        <item x="403"/>
        <item x="1075"/>
        <item x="272"/>
        <item x="1102"/>
        <item x="1220"/>
        <item x="1243"/>
        <item x="948"/>
        <item x="219"/>
        <item x="453"/>
        <item x="699"/>
        <item x="482"/>
        <item x="991"/>
        <item x="737"/>
        <item x="82"/>
        <item x="965"/>
        <item x="10"/>
        <item x="546"/>
        <item x="1290"/>
        <item x="180"/>
        <item x="265"/>
        <item x="450"/>
        <item x="439"/>
        <item x="289"/>
        <item x="1240"/>
        <item x="1343"/>
        <item x="946"/>
        <item x="5"/>
        <item x="1456"/>
        <item x="1173"/>
        <item x="393"/>
        <item x="668"/>
        <item x="892"/>
        <item x="280"/>
        <item x="663"/>
        <item x="1362"/>
        <item x="136"/>
        <item x="806"/>
        <item x="14"/>
        <item x="118"/>
        <item x="1336"/>
        <item x="1014"/>
        <item x="1497"/>
        <item x="153"/>
        <item x="296"/>
        <item x="1005"/>
        <item x="520"/>
        <item x="55"/>
        <item x="1008"/>
        <item x="732"/>
        <item x="175"/>
        <item x="724"/>
        <item x="476"/>
        <item x="814"/>
        <item x="190"/>
        <item x="1485"/>
        <item x="1230"/>
        <item x="1002"/>
        <item x="890"/>
        <item x="1436"/>
        <item x="545"/>
        <item x="1090"/>
        <item x="1141"/>
        <item x="1443"/>
        <item x="752"/>
        <item x="384"/>
        <item x="1292"/>
        <item x="557"/>
        <item x="901"/>
        <item x="48"/>
        <item x="249"/>
        <item x="679"/>
        <item x="1194"/>
        <item x="1053"/>
        <item x="1183"/>
        <item x="1094"/>
        <item x="638"/>
        <item x="1206"/>
        <item x="969"/>
        <item x="1293"/>
        <item x="612"/>
        <item x="578"/>
        <item x="757"/>
        <item x="839"/>
        <item x="33"/>
        <item x="216"/>
        <item x="774"/>
        <item x="554"/>
        <item x="1282"/>
        <item x="836"/>
        <item x="399"/>
        <item x="1252"/>
        <item x="493"/>
        <item x="376"/>
        <item x="1049"/>
        <item x="140"/>
        <item x="511"/>
        <item x="309"/>
        <item x="194"/>
        <item x="620"/>
        <item x="611"/>
        <item x="962"/>
        <item x="70"/>
        <item x="822"/>
        <item x="740"/>
        <item x="577"/>
        <item x="1038"/>
        <item x="414"/>
        <item x="152"/>
        <item x="1276"/>
        <item x="1331"/>
        <item x="1496"/>
        <item x="1151"/>
        <item x="1123"/>
        <item x="410"/>
        <item x="222"/>
        <item x="156"/>
        <item x="617"/>
        <item x="1302"/>
        <item x="983"/>
        <item x="818"/>
        <item x="660"/>
        <item x="791"/>
        <item x="442"/>
        <item x="292"/>
        <item x="1125"/>
        <item x="105"/>
        <item x="1031"/>
        <item x="566"/>
        <item x="177"/>
        <item x="1300"/>
        <item x="378"/>
        <item x="1138"/>
        <item x="761"/>
        <item x="819"/>
        <item x="515"/>
        <item x="418"/>
        <item x="1268"/>
        <item x="73"/>
        <item x="84"/>
        <item x="582"/>
        <item x="841"/>
        <item x="1254"/>
        <item x="807"/>
        <item x="864"/>
        <item x="605"/>
        <item x="970"/>
        <item x="241"/>
        <item x="766"/>
        <item x="1152"/>
        <item x="151"/>
        <item x="1192"/>
        <item x="653"/>
        <item x="992"/>
        <item x="176"/>
        <item x="1190"/>
        <item x="1465"/>
        <item x="1120"/>
        <item x="239"/>
        <item x="1159"/>
        <item x="507"/>
        <item x="700"/>
        <item x="655"/>
        <item x="1180"/>
        <item x="1099"/>
        <item x="787"/>
        <item x="1200"/>
        <item x="19"/>
        <item x="523"/>
        <item x="1174"/>
        <item x="75"/>
        <item x="438"/>
        <item x="1157"/>
        <item x="896"/>
        <item x="799"/>
        <item x="1311"/>
        <item x="1169"/>
        <item x="1069"/>
        <item x="1177"/>
        <item x="146"/>
        <item x="367"/>
        <item x="375"/>
        <item x="1148"/>
        <item x="731"/>
        <item x="211"/>
        <item x="1468"/>
        <item x="597"/>
        <item x="884"/>
        <item x="1425"/>
        <item x="89"/>
        <item x="885"/>
        <item x="232"/>
        <item x="1128"/>
        <item x="950"/>
        <item x="917"/>
        <item x="406"/>
        <item x="1262"/>
        <item x="576"/>
        <item x="674"/>
        <item x="1458"/>
        <item x="603"/>
        <item x="206"/>
        <item x="315"/>
        <item x="1463"/>
        <item x="1353"/>
        <item x="713"/>
        <item x="984"/>
        <item x="468"/>
        <item x="58"/>
        <item x="805"/>
        <item x="1305"/>
        <item x="255"/>
        <item x="907"/>
        <item x="753"/>
        <item x="657"/>
        <item x="312"/>
        <item x="588"/>
        <item x="227"/>
        <item x="162"/>
        <item x="69"/>
        <item x="1264"/>
        <item x="318"/>
        <item x="708"/>
        <item x="492"/>
        <item x="831"/>
        <item x="83"/>
        <item x="712"/>
        <item x="444"/>
        <item x="1046"/>
        <item x="1032"/>
        <item x="1409"/>
        <item x="976"/>
        <item x="745"/>
        <item x="56"/>
        <item x="594"/>
        <item x="96"/>
        <item x="1487"/>
        <item x="548"/>
        <item x="1163"/>
        <item x="1477"/>
        <item x="313"/>
        <item x="321"/>
        <item x="689"/>
        <item x="1442"/>
        <item x="904"/>
        <item x="895"/>
        <item x="1462"/>
        <item x="86"/>
        <item x="824"/>
        <item x="558"/>
        <item x="135"/>
        <item x="964"/>
        <item x="850"/>
        <item x="1277"/>
        <item x="1310"/>
        <item x="1015"/>
        <item x="160"/>
        <item x="1062"/>
        <item x="12"/>
        <item x="1109"/>
        <item x="392"/>
        <item x="127"/>
        <item x="1227"/>
        <item x="644"/>
        <item x="432"/>
        <item x="1476"/>
        <item x="677"/>
        <item x="1039"/>
        <item x="1266"/>
        <item x="200"/>
        <item x="686"/>
        <item x="230"/>
        <item x="855"/>
        <item x="203"/>
        <item x="252"/>
        <item x="514"/>
        <item x="1132"/>
        <item x="665"/>
        <item x="664"/>
        <item x="1118"/>
        <item x="720"/>
        <item x="779"/>
        <item x="794"/>
        <item x="1454"/>
        <item x="1229"/>
        <item x="1087"/>
        <item x="454"/>
        <item x="229"/>
        <item x="1317"/>
        <item x="1368"/>
        <item x="1437"/>
        <item x="995"/>
        <item x="97"/>
        <item x="1314"/>
        <item x="1267"/>
        <item x="637"/>
        <item x="1351"/>
        <item x="847"/>
        <item x="981"/>
        <item x="1052"/>
        <item x="682"/>
        <item x="316"/>
        <item x="1071"/>
        <item x="710"/>
        <item x="1050"/>
        <item x="234"/>
        <item x="522"/>
        <item x="868"/>
        <item x="1134"/>
        <item x="191"/>
        <item x="1474"/>
        <item x="28"/>
        <item x="336"/>
        <item x="867"/>
        <item x="598"/>
        <item x="734"/>
        <item x="1405"/>
        <item x="36"/>
        <item x="487"/>
        <item x="928"/>
        <item x="854"/>
        <item x="958"/>
        <item x="38"/>
        <item x="477"/>
        <item x="268"/>
        <item x="383"/>
        <item x="1056"/>
        <item x="294"/>
        <item x="34"/>
        <item x="694"/>
        <item x="727"/>
        <item x="897"/>
        <item x="275"/>
        <item x="781"/>
        <item x="9"/>
        <item x="408"/>
        <item x="329"/>
        <item x="1451"/>
        <item x="952"/>
        <item x="956"/>
        <item x="1018"/>
        <item x="999"/>
        <item x="207"/>
        <item x="707"/>
        <item x="599"/>
        <item x="833"/>
        <item x="792"/>
        <item x="857"/>
        <item x="1001"/>
        <item x="1029"/>
        <item x="279"/>
        <item x="173"/>
        <item x="1089"/>
        <item x="764"/>
        <item x="1325"/>
        <item x="993"/>
        <item x="924"/>
        <item x="1219"/>
        <item x="894"/>
        <item x="1024"/>
        <item x="810"/>
        <item x="601"/>
        <item x="985"/>
        <item x="334"/>
        <item x="486"/>
        <item x="922"/>
        <item x="1011"/>
        <item x="457"/>
        <item x="537"/>
        <item x="59"/>
        <item x="642"/>
        <item x="1017"/>
        <item x="455"/>
        <item x="22"/>
        <item x="1079"/>
        <item x="420"/>
        <item x="645"/>
        <item x="4"/>
        <item x="1361"/>
        <item x="256"/>
        <item x="448"/>
        <item x="274"/>
        <item x="1377"/>
        <item x="126"/>
        <item x="1460"/>
        <item x="15"/>
        <item x="224"/>
        <item x="1222"/>
        <item x="1072"/>
        <item x="706"/>
        <item x="579"/>
        <item x="308"/>
        <item x="1108"/>
        <item x="324"/>
        <item x="71"/>
        <item x="32"/>
        <item x="1296"/>
        <item x="6"/>
        <item x="746"/>
        <item x="1086"/>
        <item x="302"/>
        <item x="29"/>
        <item x="1371"/>
        <item x="1320"/>
        <item x="1095"/>
        <item x="656"/>
        <item x="747"/>
        <item x="1245"/>
        <item x="215"/>
        <item x="968"/>
        <item x="767"/>
        <item x="1214"/>
        <item x="106"/>
        <item x="1186"/>
        <item x="872"/>
        <item x="1380"/>
        <item x="63"/>
        <item x="1388"/>
        <item x="260"/>
        <item x="980"/>
        <item x="920"/>
        <item x="495"/>
        <item x="1333"/>
        <item x="1040"/>
        <item x="210"/>
        <item x="1129"/>
        <item x="150"/>
        <item x="254"/>
        <item x="1198"/>
        <item x="1160"/>
        <item x="658"/>
        <item x="510"/>
        <item x="347"/>
        <item x="538"/>
        <item x="875"/>
        <item x="174"/>
        <item x="524"/>
        <item x="1142"/>
        <item x="600"/>
        <item x="402"/>
        <item x="684"/>
        <item x="1384"/>
        <item x="531"/>
        <item x="1145"/>
        <item x="74"/>
        <item x="957"/>
        <item x="1419"/>
        <item x="923"/>
        <item x="430"/>
        <item x="891"/>
        <item x="1233"/>
        <item x="87"/>
        <item x="1374"/>
        <item x="661"/>
        <item x="412"/>
        <item x="1235"/>
        <item x="107"/>
        <item x="744"/>
        <item x="246"/>
        <item x="1107"/>
        <item x="714"/>
        <item x="989"/>
        <item x="195"/>
        <item x="213"/>
        <item x="547"/>
        <item x="765"/>
        <item x="1381"/>
        <item x="790"/>
        <item x="1012"/>
        <item x="344"/>
        <item x="261"/>
        <item x="202"/>
        <item x="1332"/>
        <item x="1321"/>
        <item x="725"/>
        <item x="45"/>
        <item x="832"/>
        <item x="865"/>
        <item x="1471"/>
        <item x="1408"/>
        <item x="1288"/>
        <item x="431"/>
        <item x="1211"/>
        <item x="1204"/>
        <item x="979"/>
        <item x="199"/>
        <item x="889"/>
        <item x="519"/>
        <item x="876"/>
        <item x="446"/>
        <item x="1065"/>
        <item x="1048"/>
        <item x="621"/>
        <item x="1483"/>
        <item x="786"/>
        <item x="1176"/>
        <item x="926"/>
        <item x="473"/>
        <item x="1395"/>
        <item x="474"/>
        <item x="947"/>
        <item x="1272"/>
        <item x="782"/>
        <item x="291"/>
        <item x="223"/>
        <item x="718"/>
        <item x="977"/>
        <item x="1464"/>
        <item x="640"/>
        <item x="148"/>
        <item x="441"/>
        <item x="460"/>
        <item x="1034"/>
        <item x="0"/>
        <item x="530"/>
        <item x="1287"/>
        <item x="354"/>
        <item x="735"/>
        <item x="551"/>
        <item x="340"/>
        <item x="436"/>
        <item x="423"/>
        <item x="422"/>
        <item x="555"/>
        <item x="801"/>
        <item x="362"/>
        <item x="785"/>
        <item x="1275"/>
        <item x="1026"/>
        <item x="1188"/>
        <item x="355"/>
        <item x="1009"/>
        <item x="204"/>
        <item x="225"/>
        <item x="593"/>
        <item x="461"/>
        <item x="165"/>
        <item x="1269"/>
        <item x="972"/>
        <item x="1280"/>
        <item x="749"/>
        <item x="817"/>
        <item x="1205"/>
        <item x="998"/>
        <item x="304"/>
        <item x="1175"/>
        <item x="1432"/>
        <item x="776"/>
        <item x="1092"/>
        <item x="100"/>
        <item x="1363"/>
        <item x="1486"/>
        <item x="633"/>
        <item x="337"/>
        <item x="502"/>
        <item x="226"/>
        <item x="828"/>
        <item x="485"/>
        <item x="467"/>
        <item x="193"/>
        <item x="490"/>
        <item x="1247"/>
        <item x="671"/>
        <item x="132"/>
        <item x="411"/>
        <item x="971"/>
        <item x="549"/>
        <item x="248"/>
        <item x="1131"/>
        <item x="451"/>
        <item x="939"/>
        <item x="166"/>
        <item x="804"/>
        <item x="129"/>
        <item x="1399"/>
        <item x="137"/>
        <item x="328"/>
        <item x="553"/>
        <item x="1459"/>
        <item x="257"/>
        <item x="361"/>
        <item x="370"/>
        <item x="1415"/>
        <item x="1444"/>
        <item x="1493"/>
        <item x="415"/>
        <item x="277"/>
        <item x="1372"/>
        <item x="1352"/>
        <item x="183"/>
        <item x="602"/>
        <item x="263"/>
        <item x="159"/>
        <item x="1278"/>
        <item x="24"/>
        <item x="1228"/>
        <item x="271"/>
        <item x="470"/>
        <item x="1329"/>
        <item x="425"/>
        <item x="240"/>
        <item x="1044"/>
        <item x="245"/>
        <item x="1375"/>
        <item x="1376"/>
        <item x="609"/>
        <item x="503"/>
        <item x="918"/>
        <item x="1406"/>
        <item x="212"/>
        <item x="1392"/>
        <item x="1382"/>
        <item x="1322"/>
        <item x="1244"/>
        <item x="238"/>
        <item x="1323"/>
        <item x="625"/>
        <item x="13"/>
        <item x="646"/>
        <item x="447"/>
        <item x="92"/>
        <item x="301"/>
        <item x="434"/>
        <item x="1100"/>
        <item x="564"/>
        <item x="1182"/>
        <item x="57"/>
        <item x="797"/>
        <item x="604"/>
        <item x="273"/>
        <item x="560"/>
        <item x="167"/>
        <item x="1207"/>
        <item x="1021"/>
        <item x="1306"/>
        <item x="915"/>
        <item x="643"/>
        <item x="496"/>
        <item x="47"/>
        <item x="1491"/>
        <item t="default"/>
      </items>
    </pivotField>
    <pivotField showAll="0"/>
    <pivotField showAll="0">
      <items count="8">
        <item x="4"/>
        <item x="5"/>
        <item x="3"/>
        <item x="6"/>
        <item x="1"/>
        <item x="2"/>
        <item x="0"/>
        <item t="default"/>
      </items>
    </pivotField>
    <pivotField showAll="0">
      <items count="7">
        <item x="4"/>
        <item x="2"/>
        <item x="3"/>
        <item x="1"/>
        <item x="0"/>
        <item x="5"/>
        <item t="default"/>
      </items>
    </pivotField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showAll="0"/>
    <pivotField showAll="0">
      <items count="4">
        <item x="0"/>
        <item x="1"/>
        <item x="2"/>
        <item t="default"/>
      </items>
    </pivotField>
    <pivotField showAll="0"/>
    <pivotField showAll="0" nonAutoSortDefault="1"/>
    <pivotField showAll="0" sortType="ascending" defaultSubtotal="0"/>
    <pivotField axis="axisRow" numFmtId="175" showAll="0">
      <items count="28">
        <item x="17"/>
        <item x="7"/>
        <item x="15"/>
        <item x="2"/>
        <item x="24"/>
        <item x="26"/>
        <item x="23"/>
        <item x="18"/>
        <item x="3"/>
        <item x="1"/>
        <item x="11"/>
        <item x="12"/>
        <item x="16"/>
        <item x="14"/>
        <item x="20"/>
        <item x="6"/>
        <item x="5"/>
        <item x="19"/>
        <item x="13"/>
        <item x="22"/>
        <item x="9"/>
        <item x="8"/>
        <item x="4"/>
        <item x="21"/>
        <item x="0"/>
        <item x="25"/>
        <item x="10"/>
        <item t="default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21"/>
  </rowFields>
  <rowItems count="2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 t="grand">
      <x/>
    </i>
  </rowItems>
  <colItems count="1">
    <i/>
  </colItems>
  <dataFields count="1">
    <dataField name="Total Tickets" fld="0" subtotal="count" baseField="24" baseItem="1"/>
  </dataFields>
  <formats count="5">
    <format dxfId="104">
      <pivotArea field="8" type="button" dataOnly="0" labelOnly="1" outline="0"/>
    </format>
    <format dxfId="105">
      <pivotArea dataOnly="0" labelOnly="1" outline="0" axis="axisValues" fieldPosition="0"/>
    </format>
    <format dxfId="34">
      <pivotArea field="21" type="button" dataOnly="0" labelOnly="1" outline="0" axis="axisRow" fieldPosition="0"/>
    </format>
    <format dxfId="27">
      <pivotArea dataOnly="0" labelOnly="1" outline="0" axis="axisValues" fieldPosition="0"/>
    </format>
    <format dxfId="24">
      <pivotArea field="21" type="button" dataOnly="0" labelOnly="1" outline="0" axis="axisRow" fieldPosition="0"/>
    </format>
  </formats>
  <chartFormats count="18">
    <chartFormat chart="1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3">
      <pivotArea type="data" outline="0" fieldPosition="0">
        <references count="2">
          <reference field="4294967294" count="1" selected="0">
            <x v="0"/>
          </reference>
          <reference field="21" count="1" selected="0">
            <x v="12"/>
          </reference>
        </references>
      </pivotArea>
    </chartFormat>
    <chartFormat chart="10" format="4">
      <pivotArea type="data" outline="0" fieldPosition="0">
        <references count="2">
          <reference field="4294967294" count="1" selected="0">
            <x v="0"/>
          </reference>
          <reference field="21" count="1" selected="0">
            <x v="14"/>
          </reference>
        </references>
      </pivotArea>
    </chartFormat>
    <chartFormat chart="10" format="5">
      <pivotArea type="data" outline="0" fieldPosition="0">
        <references count="2">
          <reference field="4294967294" count="1" selected="0">
            <x v="0"/>
          </reference>
          <reference field="21" count="1" selected="0">
            <x v="1"/>
          </reference>
        </references>
      </pivotArea>
    </chartFormat>
    <chartFormat chart="10" format="6">
      <pivotArea type="data" outline="0" fieldPosition="0">
        <references count="2">
          <reference field="4294967294" count="1" selected="0">
            <x v="0"/>
          </reference>
          <reference field="21" count="1" selected="0">
            <x v="2"/>
          </reference>
        </references>
      </pivotArea>
    </chartFormat>
    <chartFormat chart="10" format="7">
      <pivotArea type="data" outline="0" fieldPosition="0">
        <references count="2">
          <reference field="4294967294" count="1" selected="0">
            <x v="0"/>
          </reference>
          <reference field="21" count="1" selected="0">
            <x v="3"/>
          </reference>
        </references>
      </pivotArea>
    </chartFormat>
    <chartFormat chart="10" format="8">
      <pivotArea type="data" outline="0" fieldPosition="0">
        <references count="2">
          <reference field="4294967294" count="1" selected="0">
            <x v="0"/>
          </reference>
          <reference field="21" count="1" selected="0">
            <x v="5"/>
          </reference>
        </references>
      </pivotArea>
    </chartFormat>
    <chartFormat chart="10" format="9">
      <pivotArea type="data" outline="0" fieldPosition="0">
        <references count="2">
          <reference field="4294967294" count="1" selected="0">
            <x v="0"/>
          </reference>
          <reference field="21" count="1" selected="0">
            <x v="6"/>
          </reference>
        </references>
      </pivotArea>
    </chartFormat>
    <chartFormat chart="10" format="10">
      <pivotArea type="data" outline="0" fieldPosition="0">
        <references count="2">
          <reference field="4294967294" count="1" selected="0">
            <x v="0"/>
          </reference>
          <reference field="21" count="1" selected="0">
            <x v="9"/>
          </reference>
        </references>
      </pivotArea>
    </chartFormat>
    <chartFormat chart="10" format="11">
      <pivotArea type="data" outline="0" fieldPosition="0">
        <references count="2">
          <reference field="4294967294" count="1" selected="0">
            <x v="0"/>
          </reference>
          <reference field="21" count="1" selected="0">
            <x v="10"/>
          </reference>
        </references>
      </pivotArea>
    </chartFormat>
    <chartFormat chart="10" format="12">
      <pivotArea type="data" outline="0" fieldPosition="0">
        <references count="2">
          <reference field="4294967294" count="1" selected="0">
            <x v="0"/>
          </reference>
          <reference field="21" count="1" selected="0">
            <x v="15"/>
          </reference>
        </references>
      </pivotArea>
    </chartFormat>
    <chartFormat chart="10" format="13">
      <pivotArea type="data" outline="0" fieldPosition="0">
        <references count="2">
          <reference field="4294967294" count="1" selected="0">
            <x v="0"/>
          </reference>
          <reference field="21" count="1" selected="0">
            <x v="16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0"/>
          </reference>
          <reference field="21" count="1" selected="0">
            <x v="17"/>
          </reference>
        </references>
      </pivotArea>
    </chartFormat>
    <chartFormat chart="10" format="15">
      <pivotArea type="data" outline="0" fieldPosition="0">
        <references count="2">
          <reference field="4294967294" count="1" selected="0">
            <x v="0"/>
          </reference>
          <reference field="21" count="1" selected="0">
            <x v="18"/>
          </reference>
        </references>
      </pivotArea>
    </chartFormat>
    <chartFormat chart="10" format="16">
      <pivotArea type="data" outline="0" fieldPosition="0">
        <references count="2">
          <reference field="4294967294" count="1" selected="0">
            <x v="0"/>
          </reference>
          <reference field="21" count="1" selected="0">
            <x v="20"/>
          </reference>
        </references>
      </pivotArea>
    </chartFormat>
    <chartFormat chart="10" format="17">
      <pivotArea type="data" outline="0" fieldPosition="0">
        <references count="2">
          <reference field="4294967294" count="1" selected="0">
            <x v="0"/>
          </reference>
          <reference field="21" count="1" selected="0">
            <x v="23"/>
          </reference>
        </references>
      </pivotArea>
    </chartFormat>
    <chartFormat chart="10" format="18">
      <pivotArea type="data" outline="0" fieldPosition="0">
        <references count="2">
          <reference field="4294967294" count="1" selected="0">
            <x v="0"/>
          </reference>
          <reference field="21" count="1" selected="0">
            <x v="24"/>
          </reference>
        </references>
      </pivotArea>
    </chartFormat>
    <chartFormat chart="10" format="19">
      <pivotArea type="data" outline="0" fieldPosition="0">
        <references count="2">
          <reference field="4294967294" count="1" selected="0">
            <x v="0"/>
          </reference>
          <reference field="21" count="1" selected="0">
            <x v="2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517EC3F-4CFD-4D7F-9E20-83930DC4ACDB}" name="PivotTable5" cacheId="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 rowHeaderCaption="Channel">
  <location ref="D3:F11" firstHeaderRow="0" firstDataRow="1" firstDataCol="1" rowPageCount="1" colPageCount="1"/>
  <pivotFields count="27">
    <pivotField dataField="1" showAll="0"/>
    <pivotField showAll="0"/>
    <pivotField showAll="0"/>
    <pivotField showAll="0"/>
    <pivotField showAll="0"/>
    <pivotField showAll="0"/>
    <pivotField numFmtId="22" showAll="0">
      <items count="1501">
        <item x="1162"/>
        <item x="811"/>
        <item x="198"/>
        <item x="228"/>
        <item x="1482"/>
        <item x="963"/>
        <item x="953"/>
        <item x="615"/>
        <item x="690"/>
        <item x="26"/>
        <item x="1172"/>
        <item x="247"/>
        <item x="1016"/>
        <item x="793"/>
        <item x="1201"/>
        <item x="278"/>
        <item x="35"/>
        <item x="1234"/>
        <item x="1359"/>
        <item x="738"/>
        <item x="1215"/>
        <item x="40"/>
        <item x="104"/>
        <item x="288"/>
        <item x="1027"/>
        <item x="861"/>
        <item x="435"/>
        <item x="1378"/>
        <item x="1111"/>
        <item x="320"/>
        <item x="1178"/>
        <item x="1117"/>
        <item x="1430"/>
        <item x="54"/>
        <item x="1121"/>
        <item x="1023"/>
        <item x="840"/>
        <item x="859"/>
        <item x="331"/>
        <item x="1438"/>
        <item x="157"/>
        <item x="583"/>
        <item x="250"/>
        <item x="1256"/>
        <item x="723"/>
        <item x="147"/>
        <item x="181"/>
        <item x="27"/>
        <item x="1213"/>
        <item x="1103"/>
        <item x="1340"/>
        <item x="1391"/>
        <item x="333"/>
        <item x="863"/>
        <item x="143"/>
        <item x="161"/>
        <item x="934"/>
        <item x="363"/>
        <item x="349"/>
        <item x="1327"/>
        <item x="42"/>
        <item x="108"/>
        <item x="631"/>
        <item x="1122"/>
        <item x="449"/>
        <item x="1326"/>
        <item x="111"/>
        <item x="1330"/>
        <item x="1385"/>
        <item x="1467"/>
        <item x="51"/>
        <item x="843"/>
        <item x="681"/>
        <item x="342"/>
        <item x="838"/>
        <item x="341"/>
        <item x="182"/>
        <item x="396"/>
        <item x="297"/>
        <item x="961"/>
        <item x="52"/>
        <item x="1389"/>
        <item x="845"/>
        <item x="667"/>
        <item x="1413"/>
        <item x="769"/>
        <item x="905"/>
        <item x="1271"/>
        <item x="338"/>
        <item x="208"/>
        <item x="142"/>
        <item x="1435"/>
        <item x="942"/>
        <item x="715"/>
        <item x="974"/>
        <item x="777"/>
        <item x="673"/>
        <item x="1061"/>
        <item x="798"/>
        <item x="921"/>
        <item x="1236"/>
        <item x="1484"/>
        <item x="1098"/>
        <item x="95"/>
        <item x="900"/>
        <item x="1344"/>
        <item x="676"/>
        <item x="360"/>
        <item x="1073"/>
        <item x="1115"/>
        <item x="306"/>
        <item x="335"/>
        <item x="848"/>
        <item x="121"/>
        <item x="8"/>
        <item x="572"/>
        <item x="768"/>
        <item x="869"/>
        <item x="1248"/>
        <item x="1153"/>
        <item x="1393"/>
        <item x="1345"/>
        <item x="1410"/>
        <item x="421"/>
        <item x="1457"/>
        <item x="648"/>
        <item x="678"/>
        <item x="339"/>
        <item x="1124"/>
        <item x="1255"/>
        <item x="428"/>
        <item x="417"/>
        <item x="488"/>
        <item x="626"/>
        <item x="596"/>
        <item x="1060"/>
        <item x="80"/>
        <item x="1402"/>
        <item x="505"/>
        <item x="50"/>
        <item x="687"/>
        <item x="1366"/>
        <item x="1088"/>
        <item x="303"/>
        <item x="21"/>
        <item x="1455"/>
        <item x="262"/>
        <item x="452"/>
        <item x="866"/>
        <item x="205"/>
        <item x="284"/>
        <item x="975"/>
        <item x="567"/>
        <item x="1237"/>
        <item x="178"/>
        <item x="1013"/>
        <item x="197"/>
        <item x="910"/>
        <item x="829"/>
        <item x="1116"/>
        <item x="491"/>
        <item x="860"/>
        <item x="369"/>
        <item x="465"/>
        <item x="886"/>
        <item x="670"/>
        <item x="672"/>
        <item x="826"/>
        <item x="927"/>
        <item x="721"/>
        <item x="1187"/>
        <item x="930"/>
        <item x="1299"/>
        <item x="1429"/>
        <item x="788"/>
        <item x="1239"/>
        <item x="382"/>
        <item x="141"/>
        <item x="634"/>
        <item x="1498"/>
        <item x="1246"/>
        <item x="184"/>
        <item x="581"/>
        <item x="1301"/>
        <item x="730"/>
        <item x="1426"/>
        <item x="830"/>
        <item x="1210"/>
        <item x="1007"/>
        <item x="717"/>
        <item x="1036"/>
        <item x="267"/>
        <item x="1373"/>
        <item x="373"/>
        <item x="290"/>
        <item x="726"/>
        <item x="1423"/>
        <item x="429"/>
        <item x="170"/>
        <item x="1030"/>
        <item x="483"/>
        <item x="68"/>
        <item x="812"/>
        <item x="39"/>
        <item x="622"/>
        <item x="500"/>
        <item x="187"/>
        <item x="253"/>
        <item x="426"/>
        <item x="374"/>
        <item x="1191"/>
        <item x="314"/>
        <item x="77"/>
        <item x="842"/>
        <item x="925"/>
        <item x="1066"/>
        <item x="763"/>
        <item x="945"/>
        <item x="2"/>
        <item x="630"/>
        <item x="283"/>
        <item x="201"/>
        <item x="18"/>
        <item x="322"/>
        <item x="1158"/>
        <item x="94"/>
        <item x="1397"/>
        <item x="639"/>
        <item x="1135"/>
        <item x="1324"/>
        <item x="1127"/>
        <item x="711"/>
        <item x="466"/>
        <item x="755"/>
        <item x="317"/>
        <item x="563"/>
        <item x="941"/>
        <item x="1265"/>
        <item x="1433"/>
        <item x="281"/>
        <item x="122"/>
        <item x="775"/>
        <item x="372"/>
        <item x="1170"/>
        <item x="809"/>
        <item x="569"/>
        <item x="996"/>
        <item x="1126"/>
        <item x="1390"/>
        <item x="733"/>
        <item x="716"/>
        <item x="1369"/>
        <item x="988"/>
        <item x="233"/>
        <item x="346"/>
        <item x="356"/>
        <item x="1319"/>
        <item x="949"/>
        <item x="1000"/>
        <item x="881"/>
        <item x="954"/>
        <item x="960"/>
        <item x="743"/>
        <item x="772"/>
        <item x="110"/>
        <item x="729"/>
        <item x="1113"/>
        <item x="529"/>
        <item x="1047"/>
        <item x="880"/>
        <item x="188"/>
        <item x="1328"/>
        <item x="1251"/>
        <item x="1258"/>
        <item x="825"/>
        <item x="512"/>
        <item x="987"/>
        <item x="443"/>
        <item x="914"/>
        <item x="1440"/>
        <item x="1114"/>
        <item x="79"/>
        <item x="1253"/>
        <item x="508"/>
        <item x="345"/>
        <item x="1096"/>
        <item x="675"/>
        <item x="243"/>
        <item x="169"/>
        <item x="871"/>
        <item x="236"/>
        <item x="1461"/>
        <item x="1184"/>
        <item x="751"/>
        <item x="911"/>
        <item x="542"/>
        <item x="398"/>
        <item x="1223"/>
        <item x="873"/>
        <item x="568"/>
        <item x="1054"/>
        <item x="387"/>
        <item x="1144"/>
        <item x="1259"/>
        <item x="938"/>
        <item x="1318"/>
        <item x="1294"/>
        <item x="1139"/>
        <item x="771"/>
        <item x="305"/>
        <item x="1218"/>
        <item x="158"/>
        <item x="878"/>
        <item x="1315"/>
        <item x="1379"/>
        <item x="823"/>
        <item x="919"/>
        <item x="1439"/>
        <item x="719"/>
        <item x="1242"/>
        <item x="628"/>
        <item x="332"/>
        <item x="311"/>
        <item x="1417"/>
        <item x="1133"/>
        <item x="484"/>
        <item x="409"/>
        <item x="1480"/>
        <item x="235"/>
        <item x="944"/>
        <item x="504"/>
        <item x="323"/>
        <item x="380"/>
        <item x="516"/>
        <item x="933"/>
        <item x="427"/>
        <item x="365"/>
        <item x="688"/>
        <item x="550"/>
        <item x="1488"/>
        <item x="1348"/>
        <item x="218"/>
        <item x="509"/>
        <item x="1093"/>
        <item x="413"/>
        <item x="1231"/>
        <item x="1261"/>
        <item x="618"/>
        <item x="475"/>
        <item x="1431"/>
        <item x="1316"/>
        <item x="1055"/>
        <item x="1196"/>
        <item x="641"/>
        <item x="1195"/>
        <item x="123"/>
        <item x="870"/>
        <item x="189"/>
        <item x="407"/>
        <item x="616"/>
        <item x="497"/>
        <item x="614"/>
        <item x="65"/>
        <item x="131"/>
        <item x="543"/>
        <item x="1466"/>
        <item x="287"/>
        <item x="1307"/>
        <item x="1401"/>
        <item x="1165"/>
        <item x="221"/>
        <item x="1199"/>
        <item x="164"/>
        <item x="858"/>
        <item x="258"/>
        <item x="1136"/>
        <item x="394"/>
        <item x="440"/>
        <item x="1308"/>
        <item x="1286"/>
        <item x="1155"/>
        <item x="695"/>
        <item x="887"/>
        <item x="592"/>
        <item x="1334"/>
        <item x="145"/>
        <item x="647"/>
        <item x="1414"/>
        <item x="1101"/>
        <item x="584"/>
        <item x="1097"/>
        <item x="1387"/>
        <item x="462"/>
        <item x="1225"/>
        <item x="1105"/>
        <item x="702"/>
        <item x="959"/>
        <item x="758"/>
        <item x="456"/>
        <item x="1365"/>
        <item x="351"/>
        <item x="540"/>
        <item x="1447"/>
        <item x="1067"/>
        <item x="60"/>
        <item x="1149"/>
        <item x="636"/>
        <item x="703"/>
        <item x="217"/>
        <item x="1347"/>
        <item x="120"/>
        <item x="119"/>
        <item x="186"/>
        <item x="72"/>
        <item x="680"/>
        <item x="756"/>
        <item x="575"/>
        <item x="171"/>
        <item x="541"/>
        <item x="585"/>
        <item x="1452"/>
        <item x="759"/>
        <item x="770"/>
        <item x="932"/>
        <item x="130"/>
        <item x="780"/>
        <item x="1006"/>
        <item x="1346"/>
        <item x="1051"/>
        <item x="1189"/>
        <item x="400"/>
        <item x="319"/>
        <item x="433"/>
        <item x="300"/>
        <item x="371"/>
        <item x="835"/>
        <item x="1370"/>
        <item x="116"/>
        <item x="1470"/>
        <item x="834"/>
        <item x="138"/>
        <item x="1140"/>
        <item x="574"/>
        <item x="298"/>
        <item x="990"/>
        <item x="30"/>
        <item x="1473"/>
        <item x="1450"/>
        <item x="1478"/>
        <item x="1335"/>
        <item x="570"/>
        <item x="91"/>
        <item x="506"/>
        <item x="539"/>
        <item x="760"/>
        <item x="1421"/>
        <item x="1045"/>
        <item x="669"/>
        <item x="134"/>
        <item x="1481"/>
        <item x="879"/>
        <item x="773"/>
        <item x="1209"/>
        <item x="67"/>
        <item x="1106"/>
        <item x="742"/>
        <item x="544"/>
        <item x="1043"/>
        <item x="1217"/>
        <item x="388"/>
        <item x="501"/>
        <item x="696"/>
        <item x="943"/>
        <item x="691"/>
        <item x="654"/>
        <item x="1130"/>
        <item x="1445"/>
        <item x="381"/>
        <item x="994"/>
        <item x="1003"/>
        <item x="899"/>
        <item x="139"/>
        <item x="1309"/>
        <item x="929"/>
        <item x="115"/>
        <item x="3"/>
        <item x="1338"/>
        <item x="685"/>
        <item x="1147"/>
        <item x="1407"/>
        <item x="607"/>
        <item x="1081"/>
        <item x="635"/>
        <item x="935"/>
        <item x="1216"/>
        <item x="856"/>
        <item x="1085"/>
        <item x="1074"/>
        <item x="559"/>
        <item x="936"/>
        <item x="815"/>
        <item x="1250"/>
        <item x="1297"/>
        <item x="610"/>
        <item x="481"/>
        <item x="571"/>
        <item x="1364"/>
        <item x="149"/>
        <item x="527"/>
        <item x="1492"/>
        <item x="419"/>
        <item x="851"/>
        <item x="259"/>
        <item x="982"/>
        <item x="128"/>
        <item x="1"/>
        <item x="652"/>
        <item x="1033"/>
        <item x="1355"/>
        <item x="1179"/>
        <item x="683"/>
        <item x="693"/>
        <item x="862"/>
        <item x="61"/>
        <item x="64"/>
        <item x="739"/>
        <item x="348"/>
        <item x="973"/>
        <item x="1042"/>
        <item x="1424"/>
        <item x="1203"/>
        <item x="37"/>
        <item x="565"/>
        <item x="1035"/>
        <item x="1495"/>
        <item x="1291"/>
        <item x="266"/>
        <item x="1422"/>
        <item x="820"/>
        <item x="1489"/>
        <item x="1469"/>
        <item x="1448"/>
        <item x="986"/>
        <item x="1019"/>
        <item x="113"/>
        <item x="951"/>
        <item x="526"/>
        <item x="1104"/>
        <item x="53"/>
        <item x="1238"/>
        <item x="1434"/>
        <item x="1490"/>
        <item x="1303"/>
        <item x="1202"/>
        <item x="237"/>
        <item x="1037"/>
        <item x="552"/>
        <item x="1197"/>
        <item x="1167"/>
        <item x="41"/>
        <item x="472"/>
        <item x="903"/>
        <item x="424"/>
        <item x="1193"/>
        <item x="471"/>
        <item x="909"/>
        <item x="343"/>
        <item x="401"/>
        <item x="704"/>
        <item x="330"/>
        <item x="1349"/>
        <item x="1499"/>
        <item x="803"/>
        <item x="722"/>
        <item x="1313"/>
        <item x="813"/>
        <item x="390"/>
        <item x="209"/>
        <item x="1279"/>
        <item x="385"/>
        <item x="244"/>
        <item x="16"/>
        <item x="1394"/>
        <item x="1358"/>
        <item x="299"/>
        <item x="326"/>
        <item x="589"/>
        <item x="76"/>
        <item x="310"/>
        <item x="416"/>
        <item x="1403"/>
        <item x="754"/>
        <item x="307"/>
        <item x="535"/>
        <item x="967"/>
        <item x="619"/>
        <item x="1150"/>
        <item x="1312"/>
        <item x="231"/>
        <item x="1386"/>
        <item x="800"/>
        <item x="1091"/>
        <item x="66"/>
        <item x="1168"/>
        <item x="916"/>
        <item x="125"/>
        <item x="1396"/>
        <item x="966"/>
        <item x="1427"/>
        <item x="325"/>
        <item x="997"/>
        <item x="913"/>
        <item x="437"/>
        <item x="888"/>
        <item x="1398"/>
        <item x="17"/>
        <item x="1221"/>
        <item x="78"/>
        <item x="359"/>
        <item x="1418"/>
        <item x="366"/>
        <item x="353"/>
        <item x="98"/>
        <item x="698"/>
        <item x="469"/>
        <item x="144"/>
        <item x="521"/>
        <item x="1260"/>
        <item x="23"/>
        <item x="31"/>
        <item x="154"/>
        <item x="458"/>
        <item x="88"/>
        <item x="1475"/>
        <item x="1257"/>
        <item x="1078"/>
        <item x="1112"/>
        <item x="1181"/>
        <item x="1453"/>
        <item x="827"/>
        <item x="276"/>
        <item x="358"/>
        <item x="525"/>
        <item x="728"/>
        <item x="893"/>
        <item x="1154"/>
        <item x="1420"/>
        <item x="264"/>
        <item x="580"/>
        <item x="613"/>
        <item x="1342"/>
        <item x="1041"/>
        <item x="1212"/>
        <item x="573"/>
        <item x="1080"/>
        <item x="852"/>
        <item x="459"/>
        <item x="1161"/>
        <item x="651"/>
        <item x="697"/>
        <item x="844"/>
        <item x="499"/>
        <item x="220"/>
        <item x="109"/>
        <item x="741"/>
        <item x="1025"/>
        <item x="518"/>
        <item x="1285"/>
        <item x="1304"/>
        <item x="649"/>
        <item x="623"/>
        <item x="883"/>
        <item x="1084"/>
        <item x="1057"/>
        <item x="783"/>
        <item x="179"/>
        <item x="1412"/>
        <item x="269"/>
        <item x="46"/>
        <item x="1241"/>
        <item x="906"/>
        <item x="1143"/>
        <item x="1263"/>
        <item x="561"/>
        <item x="513"/>
        <item x="796"/>
        <item x="112"/>
        <item x="586"/>
        <item x="837"/>
        <item x="931"/>
        <item x="1146"/>
        <item x="1028"/>
        <item x="163"/>
        <item x="377"/>
        <item x="624"/>
        <item x="1400"/>
        <item x="666"/>
        <item x="821"/>
        <item x="1185"/>
        <item x="1070"/>
        <item x="1059"/>
        <item x="778"/>
        <item x="386"/>
        <item x="1295"/>
        <item x="1083"/>
        <item x="802"/>
        <item x="784"/>
        <item x="1068"/>
        <item x="1416"/>
        <item x="590"/>
        <item x="912"/>
        <item x="591"/>
        <item x="750"/>
        <item x="1367"/>
        <item x="1354"/>
        <item x="1281"/>
        <item x="99"/>
        <item x="1164"/>
        <item x="877"/>
        <item x="536"/>
        <item x="251"/>
        <item x="898"/>
        <item x="650"/>
        <item x="90"/>
        <item x="701"/>
        <item x="62"/>
        <item x="632"/>
        <item x="978"/>
        <item x="124"/>
        <item x="133"/>
        <item x="25"/>
        <item x="1284"/>
        <item x="445"/>
        <item x="85"/>
        <item x="1337"/>
        <item x="103"/>
        <item x="1411"/>
        <item x="1058"/>
        <item x="849"/>
        <item x="662"/>
        <item x="1171"/>
        <item x="1404"/>
        <item x="1010"/>
        <item x="874"/>
        <item x="295"/>
        <item x="709"/>
        <item x="397"/>
        <item x="1166"/>
        <item x="1022"/>
        <item x="629"/>
        <item x="391"/>
        <item x="293"/>
        <item x="1064"/>
        <item x="940"/>
        <item x="479"/>
        <item x="795"/>
        <item x="1449"/>
        <item x="762"/>
        <item x="172"/>
        <item x="606"/>
        <item x="464"/>
        <item x="20"/>
        <item x="395"/>
        <item x="192"/>
        <item x="1004"/>
        <item x="705"/>
        <item x="1226"/>
        <item x="286"/>
        <item x="1357"/>
        <item x="155"/>
        <item x="1479"/>
        <item x="1383"/>
        <item x="882"/>
        <item x="853"/>
        <item x="285"/>
        <item x="282"/>
        <item x="327"/>
        <item x="1137"/>
        <item x="627"/>
        <item x="532"/>
        <item x="404"/>
        <item x="937"/>
        <item x="1428"/>
        <item x="117"/>
        <item x="1077"/>
        <item x="357"/>
        <item x="1472"/>
        <item x="1119"/>
        <item x="748"/>
        <item x="955"/>
        <item x="405"/>
        <item x="533"/>
        <item x="43"/>
        <item x="1224"/>
        <item x="1274"/>
        <item x="595"/>
        <item x="1356"/>
        <item x="49"/>
        <item x="81"/>
        <item x="1063"/>
        <item x="1273"/>
        <item x="489"/>
        <item x="846"/>
        <item x="659"/>
        <item x="816"/>
        <item x="498"/>
        <item x="1341"/>
        <item x="389"/>
        <item x="736"/>
        <item x="114"/>
        <item x="480"/>
        <item x="364"/>
        <item x="350"/>
        <item x="1350"/>
        <item x="534"/>
        <item x="789"/>
        <item x="1020"/>
        <item x="556"/>
        <item x="1494"/>
        <item x="168"/>
        <item x="1208"/>
        <item x="93"/>
        <item x="352"/>
        <item x="270"/>
        <item x="196"/>
        <item x="1110"/>
        <item x="1270"/>
        <item x="808"/>
        <item x="368"/>
        <item x="214"/>
        <item x="528"/>
        <item x="102"/>
        <item x="908"/>
        <item x="1232"/>
        <item x="463"/>
        <item x="101"/>
        <item x="242"/>
        <item x="1082"/>
        <item x="517"/>
        <item x="902"/>
        <item x="608"/>
        <item x="692"/>
        <item x="478"/>
        <item x="1076"/>
        <item x="1249"/>
        <item x="1298"/>
        <item x="1441"/>
        <item x="1339"/>
        <item x="494"/>
        <item x="379"/>
        <item x="1446"/>
        <item x="7"/>
        <item x="44"/>
        <item x="11"/>
        <item x="185"/>
        <item x="1283"/>
        <item x="1360"/>
        <item x="587"/>
        <item x="562"/>
        <item x="1289"/>
        <item x="1156"/>
        <item x="403"/>
        <item x="1075"/>
        <item x="272"/>
        <item x="1102"/>
        <item x="1220"/>
        <item x="1243"/>
        <item x="948"/>
        <item x="219"/>
        <item x="453"/>
        <item x="699"/>
        <item x="482"/>
        <item x="991"/>
        <item x="737"/>
        <item x="82"/>
        <item x="965"/>
        <item x="10"/>
        <item x="546"/>
        <item x="1290"/>
        <item x="180"/>
        <item x="265"/>
        <item x="450"/>
        <item x="439"/>
        <item x="289"/>
        <item x="1240"/>
        <item x="1343"/>
        <item x="946"/>
        <item x="5"/>
        <item x="1456"/>
        <item x="1173"/>
        <item x="393"/>
        <item x="668"/>
        <item x="892"/>
        <item x="280"/>
        <item x="663"/>
        <item x="1362"/>
        <item x="136"/>
        <item x="806"/>
        <item x="14"/>
        <item x="118"/>
        <item x="1336"/>
        <item x="1014"/>
        <item x="1497"/>
        <item x="153"/>
        <item x="296"/>
        <item x="1005"/>
        <item x="520"/>
        <item x="55"/>
        <item x="1008"/>
        <item x="732"/>
        <item x="175"/>
        <item x="724"/>
        <item x="476"/>
        <item x="814"/>
        <item x="190"/>
        <item x="1485"/>
        <item x="1230"/>
        <item x="1002"/>
        <item x="890"/>
        <item x="1436"/>
        <item x="545"/>
        <item x="1090"/>
        <item x="1141"/>
        <item x="1443"/>
        <item x="752"/>
        <item x="384"/>
        <item x="1292"/>
        <item x="557"/>
        <item x="901"/>
        <item x="48"/>
        <item x="249"/>
        <item x="679"/>
        <item x="1194"/>
        <item x="1053"/>
        <item x="1183"/>
        <item x="1094"/>
        <item x="638"/>
        <item x="1206"/>
        <item x="969"/>
        <item x="1293"/>
        <item x="612"/>
        <item x="578"/>
        <item x="757"/>
        <item x="839"/>
        <item x="33"/>
        <item x="216"/>
        <item x="774"/>
        <item x="554"/>
        <item x="1282"/>
        <item x="836"/>
        <item x="399"/>
        <item x="1252"/>
        <item x="493"/>
        <item x="376"/>
        <item x="1049"/>
        <item x="140"/>
        <item x="511"/>
        <item x="309"/>
        <item x="194"/>
        <item x="620"/>
        <item x="611"/>
        <item x="962"/>
        <item x="70"/>
        <item x="822"/>
        <item x="740"/>
        <item x="577"/>
        <item x="1038"/>
        <item x="414"/>
        <item x="152"/>
        <item x="1276"/>
        <item x="1331"/>
        <item x="1496"/>
        <item x="1151"/>
        <item x="1123"/>
        <item x="410"/>
        <item x="222"/>
        <item x="156"/>
        <item x="617"/>
        <item x="1302"/>
        <item x="983"/>
        <item x="818"/>
        <item x="660"/>
        <item x="791"/>
        <item x="442"/>
        <item x="292"/>
        <item x="1125"/>
        <item x="105"/>
        <item x="1031"/>
        <item x="566"/>
        <item x="177"/>
        <item x="1300"/>
        <item x="378"/>
        <item x="1138"/>
        <item x="761"/>
        <item x="819"/>
        <item x="515"/>
        <item x="418"/>
        <item x="1268"/>
        <item x="73"/>
        <item x="84"/>
        <item x="582"/>
        <item x="841"/>
        <item x="1254"/>
        <item x="807"/>
        <item x="864"/>
        <item x="605"/>
        <item x="970"/>
        <item x="241"/>
        <item x="766"/>
        <item x="1152"/>
        <item x="151"/>
        <item x="1192"/>
        <item x="653"/>
        <item x="992"/>
        <item x="176"/>
        <item x="1190"/>
        <item x="1465"/>
        <item x="1120"/>
        <item x="239"/>
        <item x="1159"/>
        <item x="507"/>
        <item x="700"/>
        <item x="655"/>
        <item x="1180"/>
        <item x="1099"/>
        <item x="787"/>
        <item x="1200"/>
        <item x="19"/>
        <item x="523"/>
        <item x="1174"/>
        <item x="75"/>
        <item x="438"/>
        <item x="1157"/>
        <item x="896"/>
        <item x="799"/>
        <item x="1311"/>
        <item x="1169"/>
        <item x="1069"/>
        <item x="1177"/>
        <item x="146"/>
        <item x="367"/>
        <item x="375"/>
        <item x="1148"/>
        <item x="731"/>
        <item x="211"/>
        <item x="1468"/>
        <item x="597"/>
        <item x="884"/>
        <item x="1425"/>
        <item x="89"/>
        <item x="885"/>
        <item x="232"/>
        <item x="1128"/>
        <item x="950"/>
        <item x="917"/>
        <item x="406"/>
        <item x="1262"/>
        <item x="576"/>
        <item x="674"/>
        <item x="1458"/>
        <item x="603"/>
        <item x="206"/>
        <item x="315"/>
        <item x="1463"/>
        <item x="1353"/>
        <item x="713"/>
        <item x="984"/>
        <item x="468"/>
        <item x="58"/>
        <item x="805"/>
        <item x="1305"/>
        <item x="255"/>
        <item x="907"/>
        <item x="753"/>
        <item x="657"/>
        <item x="312"/>
        <item x="588"/>
        <item x="227"/>
        <item x="162"/>
        <item x="69"/>
        <item x="1264"/>
        <item x="318"/>
        <item x="708"/>
        <item x="492"/>
        <item x="831"/>
        <item x="83"/>
        <item x="712"/>
        <item x="444"/>
        <item x="1046"/>
        <item x="1032"/>
        <item x="1409"/>
        <item x="976"/>
        <item x="745"/>
        <item x="56"/>
        <item x="594"/>
        <item x="96"/>
        <item x="1487"/>
        <item x="548"/>
        <item x="1163"/>
        <item x="1477"/>
        <item x="313"/>
        <item x="321"/>
        <item x="689"/>
        <item x="1442"/>
        <item x="904"/>
        <item x="895"/>
        <item x="1462"/>
        <item x="86"/>
        <item x="824"/>
        <item x="558"/>
        <item x="135"/>
        <item x="964"/>
        <item x="850"/>
        <item x="1277"/>
        <item x="1310"/>
        <item x="1015"/>
        <item x="160"/>
        <item x="1062"/>
        <item x="12"/>
        <item x="1109"/>
        <item x="392"/>
        <item x="127"/>
        <item x="1227"/>
        <item x="644"/>
        <item x="432"/>
        <item x="1476"/>
        <item x="677"/>
        <item x="1039"/>
        <item x="1266"/>
        <item x="200"/>
        <item x="686"/>
        <item x="230"/>
        <item x="855"/>
        <item x="203"/>
        <item x="252"/>
        <item x="514"/>
        <item x="1132"/>
        <item x="665"/>
        <item x="664"/>
        <item x="1118"/>
        <item x="720"/>
        <item x="779"/>
        <item x="794"/>
        <item x="1454"/>
        <item x="1229"/>
        <item x="1087"/>
        <item x="454"/>
        <item x="229"/>
        <item x="1317"/>
        <item x="1368"/>
        <item x="1437"/>
        <item x="995"/>
        <item x="97"/>
        <item x="1314"/>
        <item x="1267"/>
        <item x="637"/>
        <item x="1351"/>
        <item x="847"/>
        <item x="981"/>
        <item x="1052"/>
        <item x="682"/>
        <item x="316"/>
        <item x="1071"/>
        <item x="710"/>
        <item x="1050"/>
        <item x="234"/>
        <item x="522"/>
        <item x="868"/>
        <item x="1134"/>
        <item x="191"/>
        <item x="1474"/>
        <item x="28"/>
        <item x="336"/>
        <item x="867"/>
        <item x="598"/>
        <item x="734"/>
        <item x="1405"/>
        <item x="36"/>
        <item x="487"/>
        <item x="928"/>
        <item x="854"/>
        <item x="958"/>
        <item x="38"/>
        <item x="477"/>
        <item x="268"/>
        <item x="383"/>
        <item x="1056"/>
        <item x="294"/>
        <item x="34"/>
        <item x="694"/>
        <item x="727"/>
        <item x="897"/>
        <item x="275"/>
        <item x="781"/>
        <item x="9"/>
        <item x="408"/>
        <item x="329"/>
        <item x="1451"/>
        <item x="952"/>
        <item x="956"/>
        <item x="1018"/>
        <item x="999"/>
        <item x="207"/>
        <item x="707"/>
        <item x="599"/>
        <item x="833"/>
        <item x="792"/>
        <item x="857"/>
        <item x="1001"/>
        <item x="1029"/>
        <item x="279"/>
        <item x="173"/>
        <item x="1089"/>
        <item x="764"/>
        <item x="1325"/>
        <item x="993"/>
        <item x="924"/>
        <item x="1219"/>
        <item x="894"/>
        <item x="1024"/>
        <item x="810"/>
        <item x="601"/>
        <item x="985"/>
        <item x="334"/>
        <item x="486"/>
        <item x="922"/>
        <item x="1011"/>
        <item x="457"/>
        <item x="537"/>
        <item x="59"/>
        <item x="642"/>
        <item x="1017"/>
        <item x="455"/>
        <item x="22"/>
        <item x="1079"/>
        <item x="420"/>
        <item x="645"/>
        <item x="4"/>
        <item x="1361"/>
        <item x="256"/>
        <item x="448"/>
        <item x="274"/>
        <item x="1377"/>
        <item x="126"/>
        <item x="1460"/>
        <item x="15"/>
        <item x="224"/>
        <item x="1222"/>
        <item x="1072"/>
        <item x="706"/>
        <item x="579"/>
        <item x="308"/>
        <item x="1108"/>
        <item x="324"/>
        <item x="71"/>
        <item x="32"/>
        <item x="1296"/>
        <item x="6"/>
        <item x="746"/>
        <item x="1086"/>
        <item x="302"/>
        <item x="29"/>
        <item x="1371"/>
        <item x="1320"/>
        <item x="1095"/>
        <item x="656"/>
        <item x="747"/>
        <item x="1245"/>
        <item x="215"/>
        <item x="968"/>
        <item x="767"/>
        <item x="1214"/>
        <item x="106"/>
        <item x="1186"/>
        <item x="872"/>
        <item x="1380"/>
        <item x="63"/>
        <item x="1388"/>
        <item x="260"/>
        <item x="980"/>
        <item x="920"/>
        <item x="495"/>
        <item x="1333"/>
        <item x="1040"/>
        <item x="210"/>
        <item x="1129"/>
        <item x="150"/>
        <item x="254"/>
        <item x="1198"/>
        <item x="1160"/>
        <item x="658"/>
        <item x="510"/>
        <item x="347"/>
        <item x="538"/>
        <item x="875"/>
        <item x="174"/>
        <item x="524"/>
        <item x="1142"/>
        <item x="600"/>
        <item x="402"/>
        <item x="684"/>
        <item x="1384"/>
        <item x="531"/>
        <item x="1145"/>
        <item x="74"/>
        <item x="957"/>
        <item x="1419"/>
        <item x="923"/>
        <item x="430"/>
        <item x="891"/>
        <item x="1233"/>
        <item x="87"/>
        <item x="1374"/>
        <item x="661"/>
        <item x="412"/>
        <item x="1235"/>
        <item x="107"/>
        <item x="744"/>
        <item x="246"/>
        <item x="1107"/>
        <item x="714"/>
        <item x="989"/>
        <item x="195"/>
        <item x="213"/>
        <item x="547"/>
        <item x="765"/>
        <item x="1381"/>
        <item x="790"/>
        <item x="1012"/>
        <item x="344"/>
        <item x="261"/>
        <item x="202"/>
        <item x="1332"/>
        <item x="1321"/>
        <item x="725"/>
        <item x="45"/>
        <item x="832"/>
        <item x="865"/>
        <item x="1471"/>
        <item x="1408"/>
        <item x="1288"/>
        <item x="431"/>
        <item x="1211"/>
        <item x="1204"/>
        <item x="979"/>
        <item x="199"/>
        <item x="889"/>
        <item x="519"/>
        <item x="876"/>
        <item x="446"/>
        <item x="1065"/>
        <item x="1048"/>
        <item x="621"/>
        <item x="1483"/>
        <item x="786"/>
        <item x="1176"/>
        <item x="926"/>
        <item x="473"/>
        <item x="1395"/>
        <item x="474"/>
        <item x="947"/>
        <item x="1272"/>
        <item x="782"/>
        <item x="291"/>
        <item x="223"/>
        <item x="718"/>
        <item x="977"/>
        <item x="1464"/>
        <item x="640"/>
        <item x="148"/>
        <item x="441"/>
        <item x="460"/>
        <item x="1034"/>
        <item x="0"/>
        <item x="530"/>
        <item x="1287"/>
        <item x="354"/>
        <item x="735"/>
        <item x="551"/>
        <item x="340"/>
        <item x="436"/>
        <item x="423"/>
        <item x="422"/>
        <item x="555"/>
        <item x="801"/>
        <item x="362"/>
        <item x="785"/>
        <item x="1275"/>
        <item x="1026"/>
        <item x="1188"/>
        <item x="355"/>
        <item x="1009"/>
        <item x="204"/>
        <item x="225"/>
        <item x="593"/>
        <item x="461"/>
        <item x="165"/>
        <item x="1269"/>
        <item x="972"/>
        <item x="1280"/>
        <item x="749"/>
        <item x="817"/>
        <item x="1205"/>
        <item x="998"/>
        <item x="304"/>
        <item x="1175"/>
        <item x="1432"/>
        <item x="776"/>
        <item x="1092"/>
        <item x="100"/>
        <item x="1363"/>
        <item x="1486"/>
        <item x="633"/>
        <item x="337"/>
        <item x="502"/>
        <item x="226"/>
        <item x="828"/>
        <item x="485"/>
        <item x="467"/>
        <item x="193"/>
        <item x="490"/>
        <item x="1247"/>
        <item x="671"/>
        <item x="132"/>
        <item x="411"/>
        <item x="971"/>
        <item x="549"/>
        <item x="248"/>
        <item x="1131"/>
        <item x="451"/>
        <item x="939"/>
        <item x="166"/>
        <item x="804"/>
        <item x="129"/>
        <item x="1399"/>
        <item x="137"/>
        <item x="328"/>
        <item x="553"/>
        <item x="1459"/>
        <item x="257"/>
        <item x="361"/>
        <item x="370"/>
        <item x="1415"/>
        <item x="1444"/>
        <item x="1493"/>
        <item x="415"/>
        <item x="277"/>
        <item x="1372"/>
        <item x="1352"/>
        <item x="183"/>
        <item x="602"/>
        <item x="263"/>
        <item x="159"/>
        <item x="1278"/>
        <item x="24"/>
        <item x="1228"/>
        <item x="271"/>
        <item x="470"/>
        <item x="1329"/>
        <item x="425"/>
        <item x="240"/>
        <item x="1044"/>
        <item x="245"/>
        <item x="1375"/>
        <item x="1376"/>
        <item x="609"/>
        <item x="503"/>
        <item x="918"/>
        <item x="1406"/>
        <item x="212"/>
        <item x="1392"/>
        <item x="1382"/>
        <item x="1322"/>
        <item x="1244"/>
        <item x="238"/>
        <item x="1323"/>
        <item x="625"/>
        <item x="13"/>
        <item x="646"/>
        <item x="447"/>
        <item x="92"/>
        <item x="301"/>
        <item x="434"/>
        <item x="1100"/>
        <item x="564"/>
        <item x="1182"/>
        <item x="57"/>
        <item x="797"/>
        <item x="604"/>
        <item x="273"/>
        <item x="560"/>
        <item x="167"/>
        <item x="1207"/>
        <item x="1021"/>
        <item x="1306"/>
        <item x="915"/>
        <item x="643"/>
        <item x="496"/>
        <item x="47"/>
        <item x="1491"/>
        <item t="default"/>
      </items>
    </pivotField>
    <pivotField showAll="0"/>
    <pivotField axis="axisRow" showAll="0" sortType="descending">
      <items count="8">
        <item x="4"/>
        <item x="5"/>
        <item x="3"/>
        <item x="6"/>
        <item x="1"/>
        <item x="2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4">
        <item x="0"/>
        <item x="1"/>
        <item x="2"/>
        <item t="default"/>
      </items>
    </pivotField>
    <pivotField dataField="1" showAll="0"/>
    <pivotField showAll="0"/>
    <pivotField showAll="0"/>
    <pivotField numFmtId="175" showAll="0">
      <items count="28">
        <item x="17"/>
        <item x="7"/>
        <item x="15"/>
        <item x="2"/>
        <item x="24"/>
        <item x="26"/>
        <item x="23"/>
        <item x="18"/>
        <item x="3"/>
        <item x="1"/>
        <item x="11"/>
        <item x="12"/>
        <item x="16"/>
        <item x="14"/>
        <item x="20"/>
        <item x="6"/>
        <item x="5"/>
        <item x="19"/>
        <item x="13"/>
        <item x="22"/>
        <item x="9"/>
        <item x="8"/>
        <item x="4"/>
        <item x="21"/>
        <item x="0"/>
        <item x="25"/>
        <item x="10"/>
        <item t="default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8"/>
  </rowFields>
  <rowItems count="8">
    <i>
      <x v="3"/>
    </i>
    <i>
      <x v="4"/>
    </i>
    <i>
      <x/>
    </i>
    <i>
      <x v="1"/>
    </i>
    <i>
      <x v="2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pageFields count="1">
    <pageField fld="17" hier="-1"/>
  </pageFields>
  <dataFields count="2">
    <dataField name="Total Tickets" fld="0" subtotal="count" baseField="0" baseItem="0"/>
    <dataField name="Closed" fld="18" baseField="0" baseItem="0"/>
  </dataFields>
  <formats count="5">
    <format dxfId="115">
      <pivotArea field="8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36">
      <pivotArea field="8" type="button" dataOnly="0" labelOnly="1" outline="0" axis="axisRow" fieldPosition="0"/>
    </format>
    <format dxfId="35">
      <pivotArea field="8" type="button" dataOnly="0" labelOnly="1" outline="0" axis="axisRow" fieldPosition="0"/>
    </format>
    <format dxfId="33">
      <pivotArea field="8" type="button" dataOnly="0" labelOnly="1" outline="0" axis="axisRow" fieldPosition="0"/>
    </format>
    <format dxfId="3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hartFormats count="2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4DACEE-4C3C-4443-BCD4-DD3520C84314}" name="PivotTable3" cacheId="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 rowHeaderCaption="Channel">
  <location ref="A3:B11" firstHeaderRow="1" firstDataRow="1" firstDataCol="1"/>
  <pivotFields count="27">
    <pivotField dataField="1" showAll="0"/>
    <pivotField showAll="0"/>
    <pivotField showAll="0"/>
    <pivotField showAll="0"/>
    <pivotField showAll="0"/>
    <pivotField showAll="0"/>
    <pivotField numFmtId="22" showAll="0">
      <items count="1501">
        <item x="1162"/>
        <item x="811"/>
        <item x="198"/>
        <item x="228"/>
        <item x="1482"/>
        <item x="963"/>
        <item x="953"/>
        <item x="615"/>
        <item x="690"/>
        <item x="26"/>
        <item x="1172"/>
        <item x="247"/>
        <item x="1016"/>
        <item x="793"/>
        <item x="1201"/>
        <item x="278"/>
        <item x="35"/>
        <item x="1234"/>
        <item x="1359"/>
        <item x="738"/>
        <item x="1215"/>
        <item x="40"/>
        <item x="104"/>
        <item x="288"/>
        <item x="1027"/>
        <item x="861"/>
        <item x="435"/>
        <item x="1378"/>
        <item x="1111"/>
        <item x="320"/>
        <item x="1178"/>
        <item x="1117"/>
        <item x="1430"/>
        <item x="54"/>
        <item x="1121"/>
        <item x="1023"/>
        <item x="840"/>
        <item x="859"/>
        <item x="331"/>
        <item x="1438"/>
        <item x="157"/>
        <item x="583"/>
        <item x="250"/>
        <item x="1256"/>
        <item x="723"/>
        <item x="147"/>
        <item x="181"/>
        <item x="27"/>
        <item x="1213"/>
        <item x="1103"/>
        <item x="1340"/>
        <item x="1391"/>
        <item x="333"/>
        <item x="863"/>
        <item x="143"/>
        <item x="161"/>
        <item x="934"/>
        <item x="363"/>
        <item x="349"/>
        <item x="1327"/>
        <item x="42"/>
        <item x="108"/>
        <item x="631"/>
        <item x="1122"/>
        <item x="449"/>
        <item x="1326"/>
        <item x="111"/>
        <item x="1330"/>
        <item x="1385"/>
        <item x="1467"/>
        <item x="51"/>
        <item x="843"/>
        <item x="681"/>
        <item x="342"/>
        <item x="838"/>
        <item x="341"/>
        <item x="182"/>
        <item x="396"/>
        <item x="297"/>
        <item x="961"/>
        <item x="52"/>
        <item x="1389"/>
        <item x="845"/>
        <item x="667"/>
        <item x="1413"/>
        <item x="769"/>
        <item x="905"/>
        <item x="1271"/>
        <item x="338"/>
        <item x="208"/>
        <item x="142"/>
        <item x="1435"/>
        <item x="942"/>
        <item x="715"/>
        <item x="974"/>
        <item x="777"/>
        <item x="673"/>
        <item x="1061"/>
        <item x="798"/>
        <item x="921"/>
        <item x="1236"/>
        <item x="1484"/>
        <item x="1098"/>
        <item x="95"/>
        <item x="900"/>
        <item x="1344"/>
        <item x="676"/>
        <item x="360"/>
        <item x="1073"/>
        <item x="1115"/>
        <item x="306"/>
        <item x="335"/>
        <item x="848"/>
        <item x="121"/>
        <item x="8"/>
        <item x="572"/>
        <item x="768"/>
        <item x="869"/>
        <item x="1248"/>
        <item x="1153"/>
        <item x="1393"/>
        <item x="1345"/>
        <item x="1410"/>
        <item x="421"/>
        <item x="1457"/>
        <item x="648"/>
        <item x="678"/>
        <item x="339"/>
        <item x="1124"/>
        <item x="1255"/>
        <item x="428"/>
        <item x="417"/>
        <item x="488"/>
        <item x="626"/>
        <item x="596"/>
        <item x="1060"/>
        <item x="80"/>
        <item x="1402"/>
        <item x="505"/>
        <item x="50"/>
        <item x="687"/>
        <item x="1366"/>
        <item x="1088"/>
        <item x="303"/>
        <item x="21"/>
        <item x="1455"/>
        <item x="262"/>
        <item x="452"/>
        <item x="866"/>
        <item x="205"/>
        <item x="284"/>
        <item x="975"/>
        <item x="567"/>
        <item x="1237"/>
        <item x="178"/>
        <item x="1013"/>
        <item x="197"/>
        <item x="910"/>
        <item x="829"/>
        <item x="1116"/>
        <item x="491"/>
        <item x="860"/>
        <item x="369"/>
        <item x="465"/>
        <item x="886"/>
        <item x="670"/>
        <item x="672"/>
        <item x="826"/>
        <item x="927"/>
        <item x="721"/>
        <item x="1187"/>
        <item x="930"/>
        <item x="1299"/>
        <item x="1429"/>
        <item x="788"/>
        <item x="1239"/>
        <item x="382"/>
        <item x="141"/>
        <item x="634"/>
        <item x="1498"/>
        <item x="1246"/>
        <item x="184"/>
        <item x="581"/>
        <item x="1301"/>
        <item x="730"/>
        <item x="1426"/>
        <item x="830"/>
        <item x="1210"/>
        <item x="1007"/>
        <item x="717"/>
        <item x="1036"/>
        <item x="267"/>
        <item x="1373"/>
        <item x="373"/>
        <item x="290"/>
        <item x="726"/>
        <item x="1423"/>
        <item x="429"/>
        <item x="170"/>
        <item x="1030"/>
        <item x="483"/>
        <item x="68"/>
        <item x="812"/>
        <item x="39"/>
        <item x="622"/>
        <item x="500"/>
        <item x="187"/>
        <item x="253"/>
        <item x="426"/>
        <item x="374"/>
        <item x="1191"/>
        <item x="314"/>
        <item x="77"/>
        <item x="842"/>
        <item x="925"/>
        <item x="1066"/>
        <item x="763"/>
        <item x="945"/>
        <item x="2"/>
        <item x="630"/>
        <item x="283"/>
        <item x="201"/>
        <item x="18"/>
        <item x="322"/>
        <item x="1158"/>
        <item x="94"/>
        <item x="1397"/>
        <item x="639"/>
        <item x="1135"/>
        <item x="1324"/>
        <item x="1127"/>
        <item x="711"/>
        <item x="466"/>
        <item x="755"/>
        <item x="317"/>
        <item x="563"/>
        <item x="941"/>
        <item x="1265"/>
        <item x="1433"/>
        <item x="281"/>
        <item x="122"/>
        <item x="775"/>
        <item x="372"/>
        <item x="1170"/>
        <item x="809"/>
        <item x="569"/>
        <item x="996"/>
        <item x="1126"/>
        <item x="1390"/>
        <item x="733"/>
        <item x="716"/>
        <item x="1369"/>
        <item x="988"/>
        <item x="233"/>
        <item x="346"/>
        <item x="356"/>
        <item x="1319"/>
        <item x="949"/>
        <item x="1000"/>
        <item x="881"/>
        <item x="954"/>
        <item x="960"/>
        <item x="743"/>
        <item x="772"/>
        <item x="110"/>
        <item x="729"/>
        <item x="1113"/>
        <item x="529"/>
        <item x="1047"/>
        <item x="880"/>
        <item x="188"/>
        <item x="1328"/>
        <item x="1251"/>
        <item x="1258"/>
        <item x="825"/>
        <item x="512"/>
        <item x="987"/>
        <item x="443"/>
        <item x="914"/>
        <item x="1440"/>
        <item x="1114"/>
        <item x="79"/>
        <item x="1253"/>
        <item x="508"/>
        <item x="345"/>
        <item x="1096"/>
        <item x="675"/>
        <item x="243"/>
        <item x="169"/>
        <item x="871"/>
        <item x="236"/>
        <item x="1461"/>
        <item x="1184"/>
        <item x="751"/>
        <item x="911"/>
        <item x="542"/>
        <item x="398"/>
        <item x="1223"/>
        <item x="873"/>
        <item x="568"/>
        <item x="1054"/>
        <item x="387"/>
        <item x="1144"/>
        <item x="1259"/>
        <item x="938"/>
        <item x="1318"/>
        <item x="1294"/>
        <item x="1139"/>
        <item x="771"/>
        <item x="305"/>
        <item x="1218"/>
        <item x="158"/>
        <item x="878"/>
        <item x="1315"/>
        <item x="1379"/>
        <item x="823"/>
        <item x="919"/>
        <item x="1439"/>
        <item x="719"/>
        <item x="1242"/>
        <item x="628"/>
        <item x="332"/>
        <item x="311"/>
        <item x="1417"/>
        <item x="1133"/>
        <item x="484"/>
        <item x="409"/>
        <item x="1480"/>
        <item x="235"/>
        <item x="944"/>
        <item x="504"/>
        <item x="323"/>
        <item x="380"/>
        <item x="516"/>
        <item x="933"/>
        <item x="427"/>
        <item x="365"/>
        <item x="688"/>
        <item x="550"/>
        <item x="1488"/>
        <item x="1348"/>
        <item x="218"/>
        <item x="509"/>
        <item x="1093"/>
        <item x="413"/>
        <item x="1231"/>
        <item x="1261"/>
        <item x="618"/>
        <item x="475"/>
        <item x="1431"/>
        <item x="1316"/>
        <item x="1055"/>
        <item x="1196"/>
        <item x="641"/>
        <item x="1195"/>
        <item x="123"/>
        <item x="870"/>
        <item x="189"/>
        <item x="407"/>
        <item x="616"/>
        <item x="497"/>
        <item x="614"/>
        <item x="65"/>
        <item x="131"/>
        <item x="543"/>
        <item x="1466"/>
        <item x="287"/>
        <item x="1307"/>
        <item x="1401"/>
        <item x="1165"/>
        <item x="221"/>
        <item x="1199"/>
        <item x="164"/>
        <item x="858"/>
        <item x="258"/>
        <item x="1136"/>
        <item x="394"/>
        <item x="440"/>
        <item x="1308"/>
        <item x="1286"/>
        <item x="1155"/>
        <item x="695"/>
        <item x="887"/>
        <item x="592"/>
        <item x="1334"/>
        <item x="145"/>
        <item x="647"/>
        <item x="1414"/>
        <item x="1101"/>
        <item x="584"/>
        <item x="1097"/>
        <item x="1387"/>
        <item x="462"/>
        <item x="1225"/>
        <item x="1105"/>
        <item x="702"/>
        <item x="959"/>
        <item x="758"/>
        <item x="456"/>
        <item x="1365"/>
        <item x="351"/>
        <item x="540"/>
        <item x="1447"/>
        <item x="1067"/>
        <item x="60"/>
        <item x="1149"/>
        <item x="636"/>
        <item x="703"/>
        <item x="217"/>
        <item x="1347"/>
        <item x="120"/>
        <item x="119"/>
        <item x="186"/>
        <item x="72"/>
        <item x="680"/>
        <item x="756"/>
        <item x="575"/>
        <item x="171"/>
        <item x="541"/>
        <item x="585"/>
        <item x="1452"/>
        <item x="759"/>
        <item x="770"/>
        <item x="932"/>
        <item x="130"/>
        <item x="780"/>
        <item x="1006"/>
        <item x="1346"/>
        <item x="1051"/>
        <item x="1189"/>
        <item x="400"/>
        <item x="319"/>
        <item x="433"/>
        <item x="300"/>
        <item x="371"/>
        <item x="835"/>
        <item x="1370"/>
        <item x="116"/>
        <item x="1470"/>
        <item x="834"/>
        <item x="138"/>
        <item x="1140"/>
        <item x="574"/>
        <item x="298"/>
        <item x="990"/>
        <item x="30"/>
        <item x="1473"/>
        <item x="1450"/>
        <item x="1478"/>
        <item x="1335"/>
        <item x="570"/>
        <item x="91"/>
        <item x="506"/>
        <item x="539"/>
        <item x="760"/>
        <item x="1421"/>
        <item x="1045"/>
        <item x="669"/>
        <item x="134"/>
        <item x="1481"/>
        <item x="879"/>
        <item x="773"/>
        <item x="1209"/>
        <item x="67"/>
        <item x="1106"/>
        <item x="742"/>
        <item x="544"/>
        <item x="1043"/>
        <item x="1217"/>
        <item x="388"/>
        <item x="501"/>
        <item x="696"/>
        <item x="943"/>
        <item x="691"/>
        <item x="654"/>
        <item x="1130"/>
        <item x="1445"/>
        <item x="381"/>
        <item x="994"/>
        <item x="1003"/>
        <item x="899"/>
        <item x="139"/>
        <item x="1309"/>
        <item x="929"/>
        <item x="115"/>
        <item x="3"/>
        <item x="1338"/>
        <item x="685"/>
        <item x="1147"/>
        <item x="1407"/>
        <item x="607"/>
        <item x="1081"/>
        <item x="635"/>
        <item x="935"/>
        <item x="1216"/>
        <item x="856"/>
        <item x="1085"/>
        <item x="1074"/>
        <item x="559"/>
        <item x="936"/>
        <item x="815"/>
        <item x="1250"/>
        <item x="1297"/>
        <item x="610"/>
        <item x="481"/>
        <item x="571"/>
        <item x="1364"/>
        <item x="149"/>
        <item x="527"/>
        <item x="1492"/>
        <item x="419"/>
        <item x="851"/>
        <item x="259"/>
        <item x="982"/>
        <item x="128"/>
        <item x="1"/>
        <item x="652"/>
        <item x="1033"/>
        <item x="1355"/>
        <item x="1179"/>
        <item x="683"/>
        <item x="693"/>
        <item x="862"/>
        <item x="61"/>
        <item x="64"/>
        <item x="739"/>
        <item x="348"/>
        <item x="973"/>
        <item x="1042"/>
        <item x="1424"/>
        <item x="1203"/>
        <item x="37"/>
        <item x="565"/>
        <item x="1035"/>
        <item x="1495"/>
        <item x="1291"/>
        <item x="266"/>
        <item x="1422"/>
        <item x="820"/>
        <item x="1489"/>
        <item x="1469"/>
        <item x="1448"/>
        <item x="986"/>
        <item x="1019"/>
        <item x="113"/>
        <item x="951"/>
        <item x="526"/>
        <item x="1104"/>
        <item x="53"/>
        <item x="1238"/>
        <item x="1434"/>
        <item x="1490"/>
        <item x="1303"/>
        <item x="1202"/>
        <item x="237"/>
        <item x="1037"/>
        <item x="552"/>
        <item x="1197"/>
        <item x="1167"/>
        <item x="41"/>
        <item x="472"/>
        <item x="903"/>
        <item x="424"/>
        <item x="1193"/>
        <item x="471"/>
        <item x="909"/>
        <item x="343"/>
        <item x="401"/>
        <item x="704"/>
        <item x="330"/>
        <item x="1349"/>
        <item x="1499"/>
        <item x="803"/>
        <item x="722"/>
        <item x="1313"/>
        <item x="813"/>
        <item x="390"/>
        <item x="209"/>
        <item x="1279"/>
        <item x="385"/>
        <item x="244"/>
        <item x="16"/>
        <item x="1394"/>
        <item x="1358"/>
        <item x="299"/>
        <item x="326"/>
        <item x="589"/>
        <item x="76"/>
        <item x="310"/>
        <item x="416"/>
        <item x="1403"/>
        <item x="754"/>
        <item x="307"/>
        <item x="535"/>
        <item x="967"/>
        <item x="619"/>
        <item x="1150"/>
        <item x="1312"/>
        <item x="231"/>
        <item x="1386"/>
        <item x="800"/>
        <item x="1091"/>
        <item x="66"/>
        <item x="1168"/>
        <item x="916"/>
        <item x="125"/>
        <item x="1396"/>
        <item x="966"/>
        <item x="1427"/>
        <item x="325"/>
        <item x="997"/>
        <item x="913"/>
        <item x="437"/>
        <item x="888"/>
        <item x="1398"/>
        <item x="17"/>
        <item x="1221"/>
        <item x="78"/>
        <item x="359"/>
        <item x="1418"/>
        <item x="366"/>
        <item x="353"/>
        <item x="98"/>
        <item x="698"/>
        <item x="469"/>
        <item x="144"/>
        <item x="521"/>
        <item x="1260"/>
        <item x="23"/>
        <item x="31"/>
        <item x="154"/>
        <item x="458"/>
        <item x="88"/>
        <item x="1475"/>
        <item x="1257"/>
        <item x="1078"/>
        <item x="1112"/>
        <item x="1181"/>
        <item x="1453"/>
        <item x="827"/>
        <item x="276"/>
        <item x="358"/>
        <item x="525"/>
        <item x="728"/>
        <item x="893"/>
        <item x="1154"/>
        <item x="1420"/>
        <item x="264"/>
        <item x="580"/>
        <item x="613"/>
        <item x="1342"/>
        <item x="1041"/>
        <item x="1212"/>
        <item x="573"/>
        <item x="1080"/>
        <item x="852"/>
        <item x="459"/>
        <item x="1161"/>
        <item x="651"/>
        <item x="697"/>
        <item x="844"/>
        <item x="499"/>
        <item x="220"/>
        <item x="109"/>
        <item x="741"/>
        <item x="1025"/>
        <item x="518"/>
        <item x="1285"/>
        <item x="1304"/>
        <item x="649"/>
        <item x="623"/>
        <item x="883"/>
        <item x="1084"/>
        <item x="1057"/>
        <item x="783"/>
        <item x="179"/>
        <item x="1412"/>
        <item x="269"/>
        <item x="46"/>
        <item x="1241"/>
        <item x="906"/>
        <item x="1143"/>
        <item x="1263"/>
        <item x="561"/>
        <item x="513"/>
        <item x="796"/>
        <item x="112"/>
        <item x="586"/>
        <item x="837"/>
        <item x="931"/>
        <item x="1146"/>
        <item x="1028"/>
        <item x="163"/>
        <item x="377"/>
        <item x="624"/>
        <item x="1400"/>
        <item x="666"/>
        <item x="821"/>
        <item x="1185"/>
        <item x="1070"/>
        <item x="1059"/>
        <item x="778"/>
        <item x="386"/>
        <item x="1295"/>
        <item x="1083"/>
        <item x="802"/>
        <item x="784"/>
        <item x="1068"/>
        <item x="1416"/>
        <item x="590"/>
        <item x="912"/>
        <item x="591"/>
        <item x="750"/>
        <item x="1367"/>
        <item x="1354"/>
        <item x="1281"/>
        <item x="99"/>
        <item x="1164"/>
        <item x="877"/>
        <item x="536"/>
        <item x="251"/>
        <item x="898"/>
        <item x="650"/>
        <item x="90"/>
        <item x="701"/>
        <item x="62"/>
        <item x="632"/>
        <item x="978"/>
        <item x="124"/>
        <item x="133"/>
        <item x="25"/>
        <item x="1284"/>
        <item x="445"/>
        <item x="85"/>
        <item x="1337"/>
        <item x="103"/>
        <item x="1411"/>
        <item x="1058"/>
        <item x="849"/>
        <item x="662"/>
        <item x="1171"/>
        <item x="1404"/>
        <item x="1010"/>
        <item x="874"/>
        <item x="295"/>
        <item x="709"/>
        <item x="397"/>
        <item x="1166"/>
        <item x="1022"/>
        <item x="629"/>
        <item x="391"/>
        <item x="293"/>
        <item x="1064"/>
        <item x="940"/>
        <item x="479"/>
        <item x="795"/>
        <item x="1449"/>
        <item x="762"/>
        <item x="172"/>
        <item x="606"/>
        <item x="464"/>
        <item x="20"/>
        <item x="395"/>
        <item x="192"/>
        <item x="1004"/>
        <item x="705"/>
        <item x="1226"/>
        <item x="286"/>
        <item x="1357"/>
        <item x="155"/>
        <item x="1479"/>
        <item x="1383"/>
        <item x="882"/>
        <item x="853"/>
        <item x="285"/>
        <item x="282"/>
        <item x="327"/>
        <item x="1137"/>
        <item x="627"/>
        <item x="532"/>
        <item x="404"/>
        <item x="937"/>
        <item x="1428"/>
        <item x="117"/>
        <item x="1077"/>
        <item x="357"/>
        <item x="1472"/>
        <item x="1119"/>
        <item x="748"/>
        <item x="955"/>
        <item x="405"/>
        <item x="533"/>
        <item x="43"/>
        <item x="1224"/>
        <item x="1274"/>
        <item x="595"/>
        <item x="1356"/>
        <item x="49"/>
        <item x="81"/>
        <item x="1063"/>
        <item x="1273"/>
        <item x="489"/>
        <item x="846"/>
        <item x="659"/>
        <item x="816"/>
        <item x="498"/>
        <item x="1341"/>
        <item x="389"/>
        <item x="736"/>
        <item x="114"/>
        <item x="480"/>
        <item x="364"/>
        <item x="350"/>
        <item x="1350"/>
        <item x="534"/>
        <item x="789"/>
        <item x="1020"/>
        <item x="556"/>
        <item x="1494"/>
        <item x="168"/>
        <item x="1208"/>
        <item x="93"/>
        <item x="352"/>
        <item x="270"/>
        <item x="196"/>
        <item x="1110"/>
        <item x="1270"/>
        <item x="808"/>
        <item x="368"/>
        <item x="214"/>
        <item x="528"/>
        <item x="102"/>
        <item x="908"/>
        <item x="1232"/>
        <item x="463"/>
        <item x="101"/>
        <item x="242"/>
        <item x="1082"/>
        <item x="517"/>
        <item x="902"/>
        <item x="608"/>
        <item x="692"/>
        <item x="478"/>
        <item x="1076"/>
        <item x="1249"/>
        <item x="1298"/>
        <item x="1441"/>
        <item x="1339"/>
        <item x="494"/>
        <item x="379"/>
        <item x="1446"/>
        <item x="7"/>
        <item x="44"/>
        <item x="11"/>
        <item x="185"/>
        <item x="1283"/>
        <item x="1360"/>
        <item x="587"/>
        <item x="562"/>
        <item x="1289"/>
        <item x="1156"/>
        <item x="403"/>
        <item x="1075"/>
        <item x="272"/>
        <item x="1102"/>
        <item x="1220"/>
        <item x="1243"/>
        <item x="948"/>
        <item x="219"/>
        <item x="453"/>
        <item x="699"/>
        <item x="482"/>
        <item x="991"/>
        <item x="737"/>
        <item x="82"/>
        <item x="965"/>
        <item x="10"/>
        <item x="546"/>
        <item x="1290"/>
        <item x="180"/>
        <item x="265"/>
        <item x="450"/>
        <item x="439"/>
        <item x="289"/>
        <item x="1240"/>
        <item x="1343"/>
        <item x="946"/>
        <item x="5"/>
        <item x="1456"/>
        <item x="1173"/>
        <item x="393"/>
        <item x="668"/>
        <item x="892"/>
        <item x="280"/>
        <item x="663"/>
        <item x="1362"/>
        <item x="136"/>
        <item x="806"/>
        <item x="14"/>
        <item x="118"/>
        <item x="1336"/>
        <item x="1014"/>
        <item x="1497"/>
        <item x="153"/>
        <item x="296"/>
        <item x="1005"/>
        <item x="520"/>
        <item x="55"/>
        <item x="1008"/>
        <item x="732"/>
        <item x="175"/>
        <item x="724"/>
        <item x="476"/>
        <item x="814"/>
        <item x="190"/>
        <item x="1485"/>
        <item x="1230"/>
        <item x="1002"/>
        <item x="890"/>
        <item x="1436"/>
        <item x="545"/>
        <item x="1090"/>
        <item x="1141"/>
        <item x="1443"/>
        <item x="752"/>
        <item x="384"/>
        <item x="1292"/>
        <item x="557"/>
        <item x="901"/>
        <item x="48"/>
        <item x="249"/>
        <item x="679"/>
        <item x="1194"/>
        <item x="1053"/>
        <item x="1183"/>
        <item x="1094"/>
        <item x="638"/>
        <item x="1206"/>
        <item x="969"/>
        <item x="1293"/>
        <item x="612"/>
        <item x="578"/>
        <item x="757"/>
        <item x="839"/>
        <item x="33"/>
        <item x="216"/>
        <item x="774"/>
        <item x="554"/>
        <item x="1282"/>
        <item x="836"/>
        <item x="399"/>
        <item x="1252"/>
        <item x="493"/>
        <item x="376"/>
        <item x="1049"/>
        <item x="140"/>
        <item x="511"/>
        <item x="309"/>
        <item x="194"/>
        <item x="620"/>
        <item x="611"/>
        <item x="962"/>
        <item x="70"/>
        <item x="822"/>
        <item x="740"/>
        <item x="577"/>
        <item x="1038"/>
        <item x="414"/>
        <item x="152"/>
        <item x="1276"/>
        <item x="1331"/>
        <item x="1496"/>
        <item x="1151"/>
        <item x="1123"/>
        <item x="410"/>
        <item x="222"/>
        <item x="156"/>
        <item x="617"/>
        <item x="1302"/>
        <item x="983"/>
        <item x="818"/>
        <item x="660"/>
        <item x="791"/>
        <item x="442"/>
        <item x="292"/>
        <item x="1125"/>
        <item x="105"/>
        <item x="1031"/>
        <item x="566"/>
        <item x="177"/>
        <item x="1300"/>
        <item x="378"/>
        <item x="1138"/>
        <item x="761"/>
        <item x="819"/>
        <item x="515"/>
        <item x="418"/>
        <item x="1268"/>
        <item x="73"/>
        <item x="84"/>
        <item x="582"/>
        <item x="841"/>
        <item x="1254"/>
        <item x="807"/>
        <item x="864"/>
        <item x="605"/>
        <item x="970"/>
        <item x="241"/>
        <item x="766"/>
        <item x="1152"/>
        <item x="151"/>
        <item x="1192"/>
        <item x="653"/>
        <item x="992"/>
        <item x="176"/>
        <item x="1190"/>
        <item x="1465"/>
        <item x="1120"/>
        <item x="239"/>
        <item x="1159"/>
        <item x="507"/>
        <item x="700"/>
        <item x="655"/>
        <item x="1180"/>
        <item x="1099"/>
        <item x="787"/>
        <item x="1200"/>
        <item x="19"/>
        <item x="523"/>
        <item x="1174"/>
        <item x="75"/>
        <item x="438"/>
        <item x="1157"/>
        <item x="896"/>
        <item x="799"/>
        <item x="1311"/>
        <item x="1169"/>
        <item x="1069"/>
        <item x="1177"/>
        <item x="146"/>
        <item x="367"/>
        <item x="375"/>
        <item x="1148"/>
        <item x="731"/>
        <item x="211"/>
        <item x="1468"/>
        <item x="597"/>
        <item x="884"/>
        <item x="1425"/>
        <item x="89"/>
        <item x="885"/>
        <item x="232"/>
        <item x="1128"/>
        <item x="950"/>
        <item x="917"/>
        <item x="406"/>
        <item x="1262"/>
        <item x="576"/>
        <item x="674"/>
        <item x="1458"/>
        <item x="603"/>
        <item x="206"/>
        <item x="315"/>
        <item x="1463"/>
        <item x="1353"/>
        <item x="713"/>
        <item x="984"/>
        <item x="468"/>
        <item x="58"/>
        <item x="805"/>
        <item x="1305"/>
        <item x="255"/>
        <item x="907"/>
        <item x="753"/>
        <item x="657"/>
        <item x="312"/>
        <item x="588"/>
        <item x="227"/>
        <item x="162"/>
        <item x="69"/>
        <item x="1264"/>
        <item x="318"/>
        <item x="708"/>
        <item x="492"/>
        <item x="831"/>
        <item x="83"/>
        <item x="712"/>
        <item x="444"/>
        <item x="1046"/>
        <item x="1032"/>
        <item x="1409"/>
        <item x="976"/>
        <item x="745"/>
        <item x="56"/>
        <item x="594"/>
        <item x="96"/>
        <item x="1487"/>
        <item x="548"/>
        <item x="1163"/>
        <item x="1477"/>
        <item x="313"/>
        <item x="321"/>
        <item x="689"/>
        <item x="1442"/>
        <item x="904"/>
        <item x="895"/>
        <item x="1462"/>
        <item x="86"/>
        <item x="824"/>
        <item x="558"/>
        <item x="135"/>
        <item x="964"/>
        <item x="850"/>
        <item x="1277"/>
        <item x="1310"/>
        <item x="1015"/>
        <item x="160"/>
        <item x="1062"/>
        <item x="12"/>
        <item x="1109"/>
        <item x="392"/>
        <item x="127"/>
        <item x="1227"/>
        <item x="644"/>
        <item x="432"/>
        <item x="1476"/>
        <item x="677"/>
        <item x="1039"/>
        <item x="1266"/>
        <item x="200"/>
        <item x="686"/>
        <item x="230"/>
        <item x="855"/>
        <item x="203"/>
        <item x="252"/>
        <item x="514"/>
        <item x="1132"/>
        <item x="665"/>
        <item x="664"/>
        <item x="1118"/>
        <item x="720"/>
        <item x="779"/>
        <item x="794"/>
        <item x="1454"/>
        <item x="1229"/>
        <item x="1087"/>
        <item x="454"/>
        <item x="229"/>
        <item x="1317"/>
        <item x="1368"/>
        <item x="1437"/>
        <item x="995"/>
        <item x="97"/>
        <item x="1314"/>
        <item x="1267"/>
        <item x="637"/>
        <item x="1351"/>
        <item x="847"/>
        <item x="981"/>
        <item x="1052"/>
        <item x="682"/>
        <item x="316"/>
        <item x="1071"/>
        <item x="710"/>
        <item x="1050"/>
        <item x="234"/>
        <item x="522"/>
        <item x="868"/>
        <item x="1134"/>
        <item x="191"/>
        <item x="1474"/>
        <item x="28"/>
        <item x="336"/>
        <item x="867"/>
        <item x="598"/>
        <item x="734"/>
        <item x="1405"/>
        <item x="36"/>
        <item x="487"/>
        <item x="928"/>
        <item x="854"/>
        <item x="958"/>
        <item x="38"/>
        <item x="477"/>
        <item x="268"/>
        <item x="383"/>
        <item x="1056"/>
        <item x="294"/>
        <item x="34"/>
        <item x="694"/>
        <item x="727"/>
        <item x="897"/>
        <item x="275"/>
        <item x="781"/>
        <item x="9"/>
        <item x="408"/>
        <item x="329"/>
        <item x="1451"/>
        <item x="952"/>
        <item x="956"/>
        <item x="1018"/>
        <item x="999"/>
        <item x="207"/>
        <item x="707"/>
        <item x="599"/>
        <item x="833"/>
        <item x="792"/>
        <item x="857"/>
        <item x="1001"/>
        <item x="1029"/>
        <item x="279"/>
        <item x="173"/>
        <item x="1089"/>
        <item x="764"/>
        <item x="1325"/>
        <item x="993"/>
        <item x="924"/>
        <item x="1219"/>
        <item x="894"/>
        <item x="1024"/>
        <item x="810"/>
        <item x="601"/>
        <item x="985"/>
        <item x="334"/>
        <item x="486"/>
        <item x="922"/>
        <item x="1011"/>
        <item x="457"/>
        <item x="537"/>
        <item x="59"/>
        <item x="642"/>
        <item x="1017"/>
        <item x="455"/>
        <item x="22"/>
        <item x="1079"/>
        <item x="420"/>
        <item x="645"/>
        <item x="4"/>
        <item x="1361"/>
        <item x="256"/>
        <item x="448"/>
        <item x="274"/>
        <item x="1377"/>
        <item x="126"/>
        <item x="1460"/>
        <item x="15"/>
        <item x="224"/>
        <item x="1222"/>
        <item x="1072"/>
        <item x="706"/>
        <item x="579"/>
        <item x="308"/>
        <item x="1108"/>
        <item x="324"/>
        <item x="71"/>
        <item x="32"/>
        <item x="1296"/>
        <item x="6"/>
        <item x="746"/>
        <item x="1086"/>
        <item x="302"/>
        <item x="29"/>
        <item x="1371"/>
        <item x="1320"/>
        <item x="1095"/>
        <item x="656"/>
        <item x="747"/>
        <item x="1245"/>
        <item x="215"/>
        <item x="968"/>
        <item x="767"/>
        <item x="1214"/>
        <item x="106"/>
        <item x="1186"/>
        <item x="872"/>
        <item x="1380"/>
        <item x="63"/>
        <item x="1388"/>
        <item x="260"/>
        <item x="980"/>
        <item x="920"/>
        <item x="495"/>
        <item x="1333"/>
        <item x="1040"/>
        <item x="210"/>
        <item x="1129"/>
        <item x="150"/>
        <item x="254"/>
        <item x="1198"/>
        <item x="1160"/>
        <item x="658"/>
        <item x="510"/>
        <item x="347"/>
        <item x="538"/>
        <item x="875"/>
        <item x="174"/>
        <item x="524"/>
        <item x="1142"/>
        <item x="600"/>
        <item x="402"/>
        <item x="684"/>
        <item x="1384"/>
        <item x="531"/>
        <item x="1145"/>
        <item x="74"/>
        <item x="957"/>
        <item x="1419"/>
        <item x="923"/>
        <item x="430"/>
        <item x="891"/>
        <item x="1233"/>
        <item x="87"/>
        <item x="1374"/>
        <item x="661"/>
        <item x="412"/>
        <item x="1235"/>
        <item x="107"/>
        <item x="744"/>
        <item x="246"/>
        <item x="1107"/>
        <item x="714"/>
        <item x="989"/>
        <item x="195"/>
        <item x="213"/>
        <item x="547"/>
        <item x="765"/>
        <item x="1381"/>
        <item x="790"/>
        <item x="1012"/>
        <item x="344"/>
        <item x="261"/>
        <item x="202"/>
        <item x="1332"/>
        <item x="1321"/>
        <item x="725"/>
        <item x="45"/>
        <item x="832"/>
        <item x="865"/>
        <item x="1471"/>
        <item x="1408"/>
        <item x="1288"/>
        <item x="431"/>
        <item x="1211"/>
        <item x="1204"/>
        <item x="979"/>
        <item x="199"/>
        <item x="889"/>
        <item x="519"/>
        <item x="876"/>
        <item x="446"/>
        <item x="1065"/>
        <item x="1048"/>
        <item x="621"/>
        <item x="1483"/>
        <item x="786"/>
        <item x="1176"/>
        <item x="926"/>
        <item x="473"/>
        <item x="1395"/>
        <item x="474"/>
        <item x="947"/>
        <item x="1272"/>
        <item x="782"/>
        <item x="291"/>
        <item x="223"/>
        <item x="718"/>
        <item x="977"/>
        <item x="1464"/>
        <item x="640"/>
        <item x="148"/>
        <item x="441"/>
        <item x="460"/>
        <item x="1034"/>
        <item x="0"/>
        <item x="530"/>
        <item x="1287"/>
        <item x="354"/>
        <item x="735"/>
        <item x="551"/>
        <item x="340"/>
        <item x="436"/>
        <item x="423"/>
        <item x="422"/>
        <item x="555"/>
        <item x="801"/>
        <item x="362"/>
        <item x="785"/>
        <item x="1275"/>
        <item x="1026"/>
        <item x="1188"/>
        <item x="355"/>
        <item x="1009"/>
        <item x="204"/>
        <item x="225"/>
        <item x="593"/>
        <item x="461"/>
        <item x="165"/>
        <item x="1269"/>
        <item x="972"/>
        <item x="1280"/>
        <item x="749"/>
        <item x="817"/>
        <item x="1205"/>
        <item x="998"/>
        <item x="304"/>
        <item x="1175"/>
        <item x="1432"/>
        <item x="776"/>
        <item x="1092"/>
        <item x="100"/>
        <item x="1363"/>
        <item x="1486"/>
        <item x="633"/>
        <item x="337"/>
        <item x="502"/>
        <item x="226"/>
        <item x="828"/>
        <item x="485"/>
        <item x="467"/>
        <item x="193"/>
        <item x="490"/>
        <item x="1247"/>
        <item x="671"/>
        <item x="132"/>
        <item x="411"/>
        <item x="971"/>
        <item x="549"/>
        <item x="248"/>
        <item x="1131"/>
        <item x="451"/>
        <item x="939"/>
        <item x="166"/>
        <item x="804"/>
        <item x="129"/>
        <item x="1399"/>
        <item x="137"/>
        <item x="328"/>
        <item x="553"/>
        <item x="1459"/>
        <item x="257"/>
        <item x="361"/>
        <item x="370"/>
        <item x="1415"/>
        <item x="1444"/>
        <item x="1493"/>
        <item x="415"/>
        <item x="277"/>
        <item x="1372"/>
        <item x="1352"/>
        <item x="183"/>
        <item x="602"/>
        <item x="263"/>
        <item x="159"/>
        <item x="1278"/>
        <item x="24"/>
        <item x="1228"/>
        <item x="271"/>
        <item x="470"/>
        <item x="1329"/>
        <item x="425"/>
        <item x="240"/>
        <item x="1044"/>
        <item x="245"/>
        <item x="1375"/>
        <item x="1376"/>
        <item x="609"/>
        <item x="503"/>
        <item x="918"/>
        <item x="1406"/>
        <item x="212"/>
        <item x="1392"/>
        <item x="1382"/>
        <item x="1322"/>
        <item x="1244"/>
        <item x="238"/>
        <item x="1323"/>
        <item x="625"/>
        <item x="13"/>
        <item x="646"/>
        <item x="447"/>
        <item x="92"/>
        <item x="301"/>
        <item x="434"/>
        <item x="1100"/>
        <item x="564"/>
        <item x="1182"/>
        <item x="57"/>
        <item x="797"/>
        <item x="604"/>
        <item x="273"/>
        <item x="560"/>
        <item x="167"/>
        <item x="1207"/>
        <item x="1021"/>
        <item x="1306"/>
        <item x="915"/>
        <item x="643"/>
        <item x="496"/>
        <item x="47"/>
        <item x="1491"/>
        <item t="default"/>
      </items>
    </pivotField>
    <pivotField showAll="0"/>
    <pivotField axis="axisRow" showAll="0" sortType="descending">
      <items count="8">
        <item x="4"/>
        <item x="5"/>
        <item x="3"/>
        <item x="6"/>
        <item x="1"/>
        <item x="2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4">
        <item x="0"/>
        <item x="1"/>
        <item x="2"/>
        <item t="default"/>
      </items>
    </pivotField>
    <pivotField showAll="0"/>
    <pivotField showAll="0"/>
    <pivotField showAll="0"/>
    <pivotField numFmtId="175" showAll="0">
      <items count="28">
        <item x="17"/>
        <item x="7"/>
        <item x="15"/>
        <item x="2"/>
        <item x="24"/>
        <item x="26"/>
        <item x="23"/>
        <item x="18"/>
        <item x="3"/>
        <item x="1"/>
        <item x="11"/>
        <item x="12"/>
        <item x="16"/>
        <item x="14"/>
        <item x="20"/>
        <item x="6"/>
        <item x="5"/>
        <item x="19"/>
        <item x="13"/>
        <item x="22"/>
        <item x="9"/>
        <item x="8"/>
        <item x="4"/>
        <item x="21"/>
        <item x="0"/>
        <item x="25"/>
        <item x="10"/>
        <item t="default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8"/>
  </rowFields>
  <rowItems count="8">
    <i>
      <x v="3"/>
    </i>
    <i>
      <x v="4"/>
    </i>
    <i>
      <x/>
    </i>
    <i>
      <x v="1"/>
    </i>
    <i>
      <x v="2"/>
    </i>
    <i>
      <x v="5"/>
    </i>
    <i>
      <x v="6"/>
    </i>
    <i t="grand">
      <x/>
    </i>
  </rowItems>
  <colItems count="1">
    <i/>
  </colItems>
  <dataFields count="1">
    <dataField name="Total Tickets" fld="0" subtotal="count" baseField="0" baseItem="0"/>
  </dataFields>
  <formats count="4">
    <format dxfId="107">
      <pivotArea field="8" type="button" dataOnly="0" labelOnly="1" outline="0" axis="axisRow" fieldPosition="0"/>
    </format>
    <format dxfId="106">
      <pivotArea dataOnly="0" labelOnly="1" outline="0" axis="axisValues" fieldPosition="0"/>
    </format>
    <format dxfId="29">
      <pivotArea dataOnly="0" labelOnly="1" outline="0" axis="axisValues" fieldPosition="0"/>
    </format>
    <format dxfId="25">
      <pivotArea field="8" type="button" dataOnly="0" labelOnly="1" outline="0" axis="axisRow" fieldPosition="0"/>
    </format>
  </formats>
  <chartFormats count="4"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8" count="1" selected="0">
            <x v="4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8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5BB3E1-4369-4DEC-85BB-205771EA4323}" name="PivotTable13" cacheId="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 rowHeaderCaption="Issue Type">
  <location ref="A13:F21" firstHeaderRow="1" firstDataRow="2" firstDataCol="1"/>
  <pivotFields count="27">
    <pivotField showAll="0"/>
    <pivotField showAll="0"/>
    <pivotField showAll="0"/>
    <pivotField showAll="0"/>
    <pivotField showAll="0"/>
    <pivotField showAll="0"/>
    <pivotField numFmtId="22" showAll="0">
      <items count="1501">
        <item x="1162"/>
        <item x="811"/>
        <item x="198"/>
        <item x="228"/>
        <item x="1482"/>
        <item x="963"/>
        <item x="953"/>
        <item x="615"/>
        <item x="690"/>
        <item x="26"/>
        <item x="1172"/>
        <item x="247"/>
        <item x="1016"/>
        <item x="793"/>
        <item x="1201"/>
        <item x="278"/>
        <item x="35"/>
        <item x="1234"/>
        <item x="1359"/>
        <item x="738"/>
        <item x="1215"/>
        <item x="40"/>
        <item x="104"/>
        <item x="288"/>
        <item x="1027"/>
        <item x="861"/>
        <item x="435"/>
        <item x="1378"/>
        <item x="1111"/>
        <item x="320"/>
        <item x="1178"/>
        <item x="1117"/>
        <item x="1430"/>
        <item x="54"/>
        <item x="1121"/>
        <item x="1023"/>
        <item x="840"/>
        <item x="859"/>
        <item x="331"/>
        <item x="1438"/>
        <item x="157"/>
        <item x="583"/>
        <item x="250"/>
        <item x="1256"/>
        <item x="723"/>
        <item x="147"/>
        <item x="181"/>
        <item x="27"/>
        <item x="1213"/>
        <item x="1103"/>
        <item x="1340"/>
        <item x="1391"/>
        <item x="333"/>
        <item x="863"/>
        <item x="143"/>
        <item x="161"/>
        <item x="934"/>
        <item x="363"/>
        <item x="349"/>
        <item x="1327"/>
        <item x="42"/>
        <item x="108"/>
        <item x="631"/>
        <item x="1122"/>
        <item x="449"/>
        <item x="1326"/>
        <item x="111"/>
        <item x="1330"/>
        <item x="1385"/>
        <item x="1467"/>
        <item x="51"/>
        <item x="843"/>
        <item x="681"/>
        <item x="342"/>
        <item x="838"/>
        <item x="341"/>
        <item x="182"/>
        <item x="396"/>
        <item x="297"/>
        <item x="961"/>
        <item x="52"/>
        <item x="1389"/>
        <item x="845"/>
        <item x="667"/>
        <item x="1413"/>
        <item x="769"/>
        <item x="905"/>
        <item x="1271"/>
        <item x="338"/>
        <item x="208"/>
        <item x="142"/>
        <item x="1435"/>
        <item x="942"/>
        <item x="715"/>
        <item x="974"/>
        <item x="777"/>
        <item x="673"/>
        <item x="1061"/>
        <item x="798"/>
        <item x="921"/>
        <item x="1236"/>
        <item x="1484"/>
        <item x="1098"/>
        <item x="95"/>
        <item x="900"/>
        <item x="1344"/>
        <item x="676"/>
        <item x="360"/>
        <item x="1073"/>
        <item x="1115"/>
        <item x="306"/>
        <item x="335"/>
        <item x="848"/>
        <item x="121"/>
        <item x="8"/>
        <item x="572"/>
        <item x="768"/>
        <item x="869"/>
        <item x="1248"/>
        <item x="1153"/>
        <item x="1393"/>
        <item x="1345"/>
        <item x="1410"/>
        <item x="421"/>
        <item x="1457"/>
        <item x="648"/>
        <item x="678"/>
        <item x="339"/>
        <item x="1124"/>
        <item x="1255"/>
        <item x="428"/>
        <item x="417"/>
        <item x="488"/>
        <item x="626"/>
        <item x="596"/>
        <item x="1060"/>
        <item x="80"/>
        <item x="1402"/>
        <item x="505"/>
        <item x="50"/>
        <item x="687"/>
        <item x="1366"/>
        <item x="1088"/>
        <item x="303"/>
        <item x="21"/>
        <item x="1455"/>
        <item x="262"/>
        <item x="452"/>
        <item x="866"/>
        <item x="205"/>
        <item x="284"/>
        <item x="975"/>
        <item x="567"/>
        <item x="1237"/>
        <item x="178"/>
        <item x="1013"/>
        <item x="197"/>
        <item x="910"/>
        <item x="829"/>
        <item x="1116"/>
        <item x="491"/>
        <item x="860"/>
        <item x="369"/>
        <item x="465"/>
        <item x="886"/>
        <item x="670"/>
        <item x="672"/>
        <item x="826"/>
        <item x="927"/>
        <item x="721"/>
        <item x="1187"/>
        <item x="930"/>
        <item x="1299"/>
        <item x="1429"/>
        <item x="788"/>
        <item x="1239"/>
        <item x="382"/>
        <item x="141"/>
        <item x="634"/>
        <item x="1498"/>
        <item x="1246"/>
        <item x="184"/>
        <item x="581"/>
        <item x="1301"/>
        <item x="730"/>
        <item x="1426"/>
        <item x="830"/>
        <item x="1210"/>
        <item x="1007"/>
        <item x="717"/>
        <item x="1036"/>
        <item x="267"/>
        <item x="1373"/>
        <item x="373"/>
        <item x="290"/>
        <item x="726"/>
        <item x="1423"/>
        <item x="429"/>
        <item x="170"/>
        <item x="1030"/>
        <item x="483"/>
        <item x="68"/>
        <item x="812"/>
        <item x="39"/>
        <item x="622"/>
        <item x="500"/>
        <item x="187"/>
        <item x="253"/>
        <item x="426"/>
        <item x="374"/>
        <item x="1191"/>
        <item x="314"/>
        <item x="77"/>
        <item x="842"/>
        <item x="925"/>
        <item x="1066"/>
        <item x="763"/>
        <item x="945"/>
        <item x="2"/>
        <item x="630"/>
        <item x="283"/>
        <item x="201"/>
        <item x="18"/>
        <item x="322"/>
        <item x="1158"/>
        <item x="94"/>
        <item x="1397"/>
        <item x="639"/>
        <item x="1135"/>
        <item x="1324"/>
        <item x="1127"/>
        <item x="711"/>
        <item x="466"/>
        <item x="755"/>
        <item x="317"/>
        <item x="563"/>
        <item x="941"/>
        <item x="1265"/>
        <item x="1433"/>
        <item x="281"/>
        <item x="122"/>
        <item x="775"/>
        <item x="372"/>
        <item x="1170"/>
        <item x="809"/>
        <item x="569"/>
        <item x="996"/>
        <item x="1126"/>
        <item x="1390"/>
        <item x="733"/>
        <item x="716"/>
        <item x="1369"/>
        <item x="988"/>
        <item x="233"/>
        <item x="346"/>
        <item x="356"/>
        <item x="1319"/>
        <item x="949"/>
        <item x="1000"/>
        <item x="881"/>
        <item x="954"/>
        <item x="960"/>
        <item x="743"/>
        <item x="772"/>
        <item x="110"/>
        <item x="729"/>
        <item x="1113"/>
        <item x="529"/>
        <item x="1047"/>
        <item x="880"/>
        <item x="188"/>
        <item x="1328"/>
        <item x="1251"/>
        <item x="1258"/>
        <item x="825"/>
        <item x="512"/>
        <item x="987"/>
        <item x="443"/>
        <item x="914"/>
        <item x="1440"/>
        <item x="1114"/>
        <item x="79"/>
        <item x="1253"/>
        <item x="508"/>
        <item x="345"/>
        <item x="1096"/>
        <item x="675"/>
        <item x="243"/>
        <item x="169"/>
        <item x="871"/>
        <item x="236"/>
        <item x="1461"/>
        <item x="1184"/>
        <item x="751"/>
        <item x="911"/>
        <item x="542"/>
        <item x="398"/>
        <item x="1223"/>
        <item x="873"/>
        <item x="568"/>
        <item x="1054"/>
        <item x="387"/>
        <item x="1144"/>
        <item x="1259"/>
        <item x="938"/>
        <item x="1318"/>
        <item x="1294"/>
        <item x="1139"/>
        <item x="771"/>
        <item x="305"/>
        <item x="1218"/>
        <item x="158"/>
        <item x="878"/>
        <item x="1315"/>
        <item x="1379"/>
        <item x="823"/>
        <item x="919"/>
        <item x="1439"/>
        <item x="719"/>
        <item x="1242"/>
        <item x="628"/>
        <item x="332"/>
        <item x="311"/>
        <item x="1417"/>
        <item x="1133"/>
        <item x="484"/>
        <item x="409"/>
        <item x="1480"/>
        <item x="235"/>
        <item x="944"/>
        <item x="504"/>
        <item x="323"/>
        <item x="380"/>
        <item x="516"/>
        <item x="933"/>
        <item x="427"/>
        <item x="365"/>
        <item x="688"/>
        <item x="550"/>
        <item x="1488"/>
        <item x="1348"/>
        <item x="218"/>
        <item x="509"/>
        <item x="1093"/>
        <item x="413"/>
        <item x="1231"/>
        <item x="1261"/>
        <item x="618"/>
        <item x="475"/>
        <item x="1431"/>
        <item x="1316"/>
        <item x="1055"/>
        <item x="1196"/>
        <item x="641"/>
        <item x="1195"/>
        <item x="123"/>
        <item x="870"/>
        <item x="189"/>
        <item x="407"/>
        <item x="616"/>
        <item x="497"/>
        <item x="614"/>
        <item x="65"/>
        <item x="131"/>
        <item x="543"/>
        <item x="1466"/>
        <item x="287"/>
        <item x="1307"/>
        <item x="1401"/>
        <item x="1165"/>
        <item x="221"/>
        <item x="1199"/>
        <item x="164"/>
        <item x="858"/>
        <item x="258"/>
        <item x="1136"/>
        <item x="394"/>
        <item x="440"/>
        <item x="1308"/>
        <item x="1286"/>
        <item x="1155"/>
        <item x="695"/>
        <item x="887"/>
        <item x="592"/>
        <item x="1334"/>
        <item x="145"/>
        <item x="647"/>
        <item x="1414"/>
        <item x="1101"/>
        <item x="584"/>
        <item x="1097"/>
        <item x="1387"/>
        <item x="462"/>
        <item x="1225"/>
        <item x="1105"/>
        <item x="702"/>
        <item x="959"/>
        <item x="758"/>
        <item x="456"/>
        <item x="1365"/>
        <item x="351"/>
        <item x="540"/>
        <item x="1447"/>
        <item x="1067"/>
        <item x="60"/>
        <item x="1149"/>
        <item x="636"/>
        <item x="703"/>
        <item x="217"/>
        <item x="1347"/>
        <item x="120"/>
        <item x="119"/>
        <item x="186"/>
        <item x="72"/>
        <item x="680"/>
        <item x="756"/>
        <item x="575"/>
        <item x="171"/>
        <item x="541"/>
        <item x="585"/>
        <item x="1452"/>
        <item x="759"/>
        <item x="770"/>
        <item x="932"/>
        <item x="130"/>
        <item x="780"/>
        <item x="1006"/>
        <item x="1346"/>
        <item x="1051"/>
        <item x="1189"/>
        <item x="400"/>
        <item x="319"/>
        <item x="433"/>
        <item x="300"/>
        <item x="371"/>
        <item x="835"/>
        <item x="1370"/>
        <item x="116"/>
        <item x="1470"/>
        <item x="834"/>
        <item x="138"/>
        <item x="1140"/>
        <item x="574"/>
        <item x="298"/>
        <item x="990"/>
        <item x="30"/>
        <item x="1473"/>
        <item x="1450"/>
        <item x="1478"/>
        <item x="1335"/>
        <item x="570"/>
        <item x="91"/>
        <item x="506"/>
        <item x="539"/>
        <item x="760"/>
        <item x="1421"/>
        <item x="1045"/>
        <item x="669"/>
        <item x="134"/>
        <item x="1481"/>
        <item x="879"/>
        <item x="773"/>
        <item x="1209"/>
        <item x="67"/>
        <item x="1106"/>
        <item x="742"/>
        <item x="544"/>
        <item x="1043"/>
        <item x="1217"/>
        <item x="388"/>
        <item x="501"/>
        <item x="696"/>
        <item x="943"/>
        <item x="691"/>
        <item x="654"/>
        <item x="1130"/>
        <item x="1445"/>
        <item x="381"/>
        <item x="994"/>
        <item x="1003"/>
        <item x="899"/>
        <item x="139"/>
        <item x="1309"/>
        <item x="929"/>
        <item x="115"/>
        <item x="3"/>
        <item x="1338"/>
        <item x="685"/>
        <item x="1147"/>
        <item x="1407"/>
        <item x="607"/>
        <item x="1081"/>
        <item x="635"/>
        <item x="935"/>
        <item x="1216"/>
        <item x="856"/>
        <item x="1085"/>
        <item x="1074"/>
        <item x="559"/>
        <item x="936"/>
        <item x="815"/>
        <item x="1250"/>
        <item x="1297"/>
        <item x="610"/>
        <item x="481"/>
        <item x="571"/>
        <item x="1364"/>
        <item x="149"/>
        <item x="527"/>
        <item x="1492"/>
        <item x="419"/>
        <item x="851"/>
        <item x="259"/>
        <item x="982"/>
        <item x="128"/>
        <item x="1"/>
        <item x="652"/>
        <item x="1033"/>
        <item x="1355"/>
        <item x="1179"/>
        <item x="683"/>
        <item x="693"/>
        <item x="862"/>
        <item x="61"/>
        <item x="64"/>
        <item x="739"/>
        <item x="348"/>
        <item x="973"/>
        <item x="1042"/>
        <item x="1424"/>
        <item x="1203"/>
        <item x="37"/>
        <item x="565"/>
        <item x="1035"/>
        <item x="1495"/>
        <item x="1291"/>
        <item x="266"/>
        <item x="1422"/>
        <item x="820"/>
        <item x="1489"/>
        <item x="1469"/>
        <item x="1448"/>
        <item x="986"/>
        <item x="1019"/>
        <item x="113"/>
        <item x="951"/>
        <item x="526"/>
        <item x="1104"/>
        <item x="53"/>
        <item x="1238"/>
        <item x="1434"/>
        <item x="1490"/>
        <item x="1303"/>
        <item x="1202"/>
        <item x="237"/>
        <item x="1037"/>
        <item x="552"/>
        <item x="1197"/>
        <item x="1167"/>
        <item x="41"/>
        <item x="472"/>
        <item x="903"/>
        <item x="424"/>
        <item x="1193"/>
        <item x="471"/>
        <item x="909"/>
        <item x="343"/>
        <item x="401"/>
        <item x="704"/>
        <item x="330"/>
        <item x="1349"/>
        <item x="1499"/>
        <item x="803"/>
        <item x="722"/>
        <item x="1313"/>
        <item x="813"/>
        <item x="390"/>
        <item x="209"/>
        <item x="1279"/>
        <item x="385"/>
        <item x="244"/>
        <item x="16"/>
        <item x="1394"/>
        <item x="1358"/>
        <item x="299"/>
        <item x="326"/>
        <item x="589"/>
        <item x="76"/>
        <item x="310"/>
        <item x="416"/>
        <item x="1403"/>
        <item x="754"/>
        <item x="307"/>
        <item x="535"/>
        <item x="967"/>
        <item x="619"/>
        <item x="1150"/>
        <item x="1312"/>
        <item x="231"/>
        <item x="1386"/>
        <item x="800"/>
        <item x="1091"/>
        <item x="66"/>
        <item x="1168"/>
        <item x="916"/>
        <item x="125"/>
        <item x="1396"/>
        <item x="966"/>
        <item x="1427"/>
        <item x="325"/>
        <item x="997"/>
        <item x="913"/>
        <item x="437"/>
        <item x="888"/>
        <item x="1398"/>
        <item x="17"/>
        <item x="1221"/>
        <item x="78"/>
        <item x="359"/>
        <item x="1418"/>
        <item x="366"/>
        <item x="353"/>
        <item x="98"/>
        <item x="698"/>
        <item x="469"/>
        <item x="144"/>
        <item x="521"/>
        <item x="1260"/>
        <item x="23"/>
        <item x="31"/>
        <item x="154"/>
        <item x="458"/>
        <item x="88"/>
        <item x="1475"/>
        <item x="1257"/>
        <item x="1078"/>
        <item x="1112"/>
        <item x="1181"/>
        <item x="1453"/>
        <item x="827"/>
        <item x="276"/>
        <item x="358"/>
        <item x="525"/>
        <item x="728"/>
        <item x="893"/>
        <item x="1154"/>
        <item x="1420"/>
        <item x="264"/>
        <item x="580"/>
        <item x="613"/>
        <item x="1342"/>
        <item x="1041"/>
        <item x="1212"/>
        <item x="573"/>
        <item x="1080"/>
        <item x="852"/>
        <item x="459"/>
        <item x="1161"/>
        <item x="651"/>
        <item x="697"/>
        <item x="844"/>
        <item x="499"/>
        <item x="220"/>
        <item x="109"/>
        <item x="741"/>
        <item x="1025"/>
        <item x="518"/>
        <item x="1285"/>
        <item x="1304"/>
        <item x="649"/>
        <item x="623"/>
        <item x="883"/>
        <item x="1084"/>
        <item x="1057"/>
        <item x="783"/>
        <item x="179"/>
        <item x="1412"/>
        <item x="269"/>
        <item x="46"/>
        <item x="1241"/>
        <item x="906"/>
        <item x="1143"/>
        <item x="1263"/>
        <item x="561"/>
        <item x="513"/>
        <item x="796"/>
        <item x="112"/>
        <item x="586"/>
        <item x="837"/>
        <item x="931"/>
        <item x="1146"/>
        <item x="1028"/>
        <item x="163"/>
        <item x="377"/>
        <item x="624"/>
        <item x="1400"/>
        <item x="666"/>
        <item x="821"/>
        <item x="1185"/>
        <item x="1070"/>
        <item x="1059"/>
        <item x="778"/>
        <item x="386"/>
        <item x="1295"/>
        <item x="1083"/>
        <item x="802"/>
        <item x="784"/>
        <item x="1068"/>
        <item x="1416"/>
        <item x="590"/>
        <item x="912"/>
        <item x="591"/>
        <item x="750"/>
        <item x="1367"/>
        <item x="1354"/>
        <item x="1281"/>
        <item x="99"/>
        <item x="1164"/>
        <item x="877"/>
        <item x="536"/>
        <item x="251"/>
        <item x="898"/>
        <item x="650"/>
        <item x="90"/>
        <item x="701"/>
        <item x="62"/>
        <item x="632"/>
        <item x="978"/>
        <item x="124"/>
        <item x="133"/>
        <item x="25"/>
        <item x="1284"/>
        <item x="445"/>
        <item x="85"/>
        <item x="1337"/>
        <item x="103"/>
        <item x="1411"/>
        <item x="1058"/>
        <item x="849"/>
        <item x="662"/>
        <item x="1171"/>
        <item x="1404"/>
        <item x="1010"/>
        <item x="874"/>
        <item x="295"/>
        <item x="709"/>
        <item x="397"/>
        <item x="1166"/>
        <item x="1022"/>
        <item x="629"/>
        <item x="391"/>
        <item x="293"/>
        <item x="1064"/>
        <item x="940"/>
        <item x="479"/>
        <item x="795"/>
        <item x="1449"/>
        <item x="762"/>
        <item x="172"/>
        <item x="606"/>
        <item x="464"/>
        <item x="20"/>
        <item x="395"/>
        <item x="192"/>
        <item x="1004"/>
        <item x="705"/>
        <item x="1226"/>
        <item x="286"/>
        <item x="1357"/>
        <item x="155"/>
        <item x="1479"/>
        <item x="1383"/>
        <item x="882"/>
        <item x="853"/>
        <item x="285"/>
        <item x="282"/>
        <item x="327"/>
        <item x="1137"/>
        <item x="627"/>
        <item x="532"/>
        <item x="404"/>
        <item x="937"/>
        <item x="1428"/>
        <item x="117"/>
        <item x="1077"/>
        <item x="357"/>
        <item x="1472"/>
        <item x="1119"/>
        <item x="748"/>
        <item x="955"/>
        <item x="405"/>
        <item x="533"/>
        <item x="43"/>
        <item x="1224"/>
        <item x="1274"/>
        <item x="595"/>
        <item x="1356"/>
        <item x="49"/>
        <item x="81"/>
        <item x="1063"/>
        <item x="1273"/>
        <item x="489"/>
        <item x="846"/>
        <item x="659"/>
        <item x="816"/>
        <item x="498"/>
        <item x="1341"/>
        <item x="389"/>
        <item x="736"/>
        <item x="114"/>
        <item x="480"/>
        <item x="364"/>
        <item x="350"/>
        <item x="1350"/>
        <item x="534"/>
        <item x="789"/>
        <item x="1020"/>
        <item x="556"/>
        <item x="1494"/>
        <item x="168"/>
        <item x="1208"/>
        <item x="93"/>
        <item x="352"/>
        <item x="270"/>
        <item x="196"/>
        <item x="1110"/>
        <item x="1270"/>
        <item x="808"/>
        <item x="368"/>
        <item x="214"/>
        <item x="528"/>
        <item x="102"/>
        <item x="908"/>
        <item x="1232"/>
        <item x="463"/>
        <item x="101"/>
        <item x="242"/>
        <item x="1082"/>
        <item x="517"/>
        <item x="902"/>
        <item x="608"/>
        <item x="692"/>
        <item x="478"/>
        <item x="1076"/>
        <item x="1249"/>
        <item x="1298"/>
        <item x="1441"/>
        <item x="1339"/>
        <item x="494"/>
        <item x="379"/>
        <item x="1446"/>
        <item x="7"/>
        <item x="44"/>
        <item x="11"/>
        <item x="185"/>
        <item x="1283"/>
        <item x="1360"/>
        <item x="587"/>
        <item x="562"/>
        <item x="1289"/>
        <item x="1156"/>
        <item x="403"/>
        <item x="1075"/>
        <item x="272"/>
        <item x="1102"/>
        <item x="1220"/>
        <item x="1243"/>
        <item x="948"/>
        <item x="219"/>
        <item x="453"/>
        <item x="699"/>
        <item x="482"/>
        <item x="991"/>
        <item x="737"/>
        <item x="82"/>
        <item x="965"/>
        <item x="10"/>
        <item x="546"/>
        <item x="1290"/>
        <item x="180"/>
        <item x="265"/>
        <item x="450"/>
        <item x="439"/>
        <item x="289"/>
        <item x="1240"/>
        <item x="1343"/>
        <item x="946"/>
        <item x="5"/>
        <item x="1456"/>
        <item x="1173"/>
        <item x="393"/>
        <item x="668"/>
        <item x="892"/>
        <item x="280"/>
        <item x="663"/>
        <item x="1362"/>
        <item x="136"/>
        <item x="806"/>
        <item x="14"/>
        <item x="118"/>
        <item x="1336"/>
        <item x="1014"/>
        <item x="1497"/>
        <item x="153"/>
        <item x="296"/>
        <item x="1005"/>
        <item x="520"/>
        <item x="55"/>
        <item x="1008"/>
        <item x="732"/>
        <item x="175"/>
        <item x="724"/>
        <item x="476"/>
        <item x="814"/>
        <item x="190"/>
        <item x="1485"/>
        <item x="1230"/>
        <item x="1002"/>
        <item x="890"/>
        <item x="1436"/>
        <item x="545"/>
        <item x="1090"/>
        <item x="1141"/>
        <item x="1443"/>
        <item x="752"/>
        <item x="384"/>
        <item x="1292"/>
        <item x="557"/>
        <item x="901"/>
        <item x="48"/>
        <item x="249"/>
        <item x="679"/>
        <item x="1194"/>
        <item x="1053"/>
        <item x="1183"/>
        <item x="1094"/>
        <item x="638"/>
        <item x="1206"/>
        <item x="969"/>
        <item x="1293"/>
        <item x="612"/>
        <item x="578"/>
        <item x="757"/>
        <item x="839"/>
        <item x="33"/>
        <item x="216"/>
        <item x="774"/>
        <item x="554"/>
        <item x="1282"/>
        <item x="836"/>
        <item x="399"/>
        <item x="1252"/>
        <item x="493"/>
        <item x="376"/>
        <item x="1049"/>
        <item x="140"/>
        <item x="511"/>
        <item x="309"/>
        <item x="194"/>
        <item x="620"/>
        <item x="611"/>
        <item x="962"/>
        <item x="70"/>
        <item x="822"/>
        <item x="740"/>
        <item x="577"/>
        <item x="1038"/>
        <item x="414"/>
        <item x="152"/>
        <item x="1276"/>
        <item x="1331"/>
        <item x="1496"/>
        <item x="1151"/>
        <item x="1123"/>
        <item x="410"/>
        <item x="222"/>
        <item x="156"/>
        <item x="617"/>
        <item x="1302"/>
        <item x="983"/>
        <item x="818"/>
        <item x="660"/>
        <item x="791"/>
        <item x="442"/>
        <item x="292"/>
        <item x="1125"/>
        <item x="105"/>
        <item x="1031"/>
        <item x="566"/>
        <item x="177"/>
        <item x="1300"/>
        <item x="378"/>
        <item x="1138"/>
        <item x="761"/>
        <item x="819"/>
        <item x="515"/>
        <item x="418"/>
        <item x="1268"/>
        <item x="73"/>
        <item x="84"/>
        <item x="582"/>
        <item x="841"/>
        <item x="1254"/>
        <item x="807"/>
        <item x="864"/>
        <item x="605"/>
        <item x="970"/>
        <item x="241"/>
        <item x="766"/>
        <item x="1152"/>
        <item x="151"/>
        <item x="1192"/>
        <item x="653"/>
        <item x="992"/>
        <item x="176"/>
        <item x="1190"/>
        <item x="1465"/>
        <item x="1120"/>
        <item x="239"/>
        <item x="1159"/>
        <item x="507"/>
        <item x="700"/>
        <item x="655"/>
        <item x="1180"/>
        <item x="1099"/>
        <item x="787"/>
        <item x="1200"/>
        <item x="19"/>
        <item x="523"/>
        <item x="1174"/>
        <item x="75"/>
        <item x="438"/>
        <item x="1157"/>
        <item x="896"/>
        <item x="799"/>
        <item x="1311"/>
        <item x="1169"/>
        <item x="1069"/>
        <item x="1177"/>
        <item x="146"/>
        <item x="367"/>
        <item x="375"/>
        <item x="1148"/>
        <item x="731"/>
        <item x="211"/>
        <item x="1468"/>
        <item x="597"/>
        <item x="884"/>
        <item x="1425"/>
        <item x="89"/>
        <item x="885"/>
        <item x="232"/>
        <item x="1128"/>
        <item x="950"/>
        <item x="917"/>
        <item x="406"/>
        <item x="1262"/>
        <item x="576"/>
        <item x="674"/>
        <item x="1458"/>
        <item x="603"/>
        <item x="206"/>
        <item x="315"/>
        <item x="1463"/>
        <item x="1353"/>
        <item x="713"/>
        <item x="984"/>
        <item x="468"/>
        <item x="58"/>
        <item x="805"/>
        <item x="1305"/>
        <item x="255"/>
        <item x="907"/>
        <item x="753"/>
        <item x="657"/>
        <item x="312"/>
        <item x="588"/>
        <item x="227"/>
        <item x="162"/>
        <item x="69"/>
        <item x="1264"/>
        <item x="318"/>
        <item x="708"/>
        <item x="492"/>
        <item x="831"/>
        <item x="83"/>
        <item x="712"/>
        <item x="444"/>
        <item x="1046"/>
        <item x="1032"/>
        <item x="1409"/>
        <item x="976"/>
        <item x="745"/>
        <item x="56"/>
        <item x="594"/>
        <item x="96"/>
        <item x="1487"/>
        <item x="548"/>
        <item x="1163"/>
        <item x="1477"/>
        <item x="313"/>
        <item x="321"/>
        <item x="689"/>
        <item x="1442"/>
        <item x="904"/>
        <item x="895"/>
        <item x="1462"/>
        <item x="86"/>
        <item x="824"/>
        <item x="558"/>
        <item x="135"/>
        <item x="964"/>
        <item x="850"/>
        <item x="1277"/>
        <item x="1310"/>
        <item x="1015"/>
        <item x="160"/>
        <item x="1062"/>
        <item x="12"/>
        <item x="1109"/>
        <item x="392"/>
        <item x="127"/>
        <item x="1227"/>
        <item x="644"/>
        <item x="432"/>
        <item x="1476"/>
        <item x="677"/>
        <item x="1039"/>
        <item x="1266"/>
        <item x="200"/>
        <item x="686"/>
        <item x="230"/>
        <item x="855"/>
        <item x="203"/>
        <item x="252"/>
        <item x="514"/>
        <item x="1132"/>
        <item x="665"/>
        <item x="664"/>
        <item x="1118"/>
        <item x="720"/>
        <item x="779"/>
        <item x="794"/>
        <item x="1454"/>
        <item x="1229"/>
        <item x="1087"/>
        <item x="454"/>
        <item x="229"/>
        <item x="1317"/>
        <item x="1368"/>
        <item x="1437"/>
        <item x="995"/>
        <item x="97"/>
        <item x="1314"/>
        <item x="1267"/>
        <item x="637"/>
        <item x="1351"/>
        <item x="847"/>
        <item x="981"/>
        <item x="1052"/>
        <item x="682"/>
        <item x="316"/>
        <item x="1071"/>
        <item x="710"/>
        <item x="1050"/>
        <item x="234"/>
        <item x="522"/>
        <item x="868"/>
        <item x="1134"/>
        <item x="191"/>
        <item x="1474"/>
        <item x="28"/>
        <item x="336"/>
        <item x="867"/>
        <item x="598"/>
        <item x="734"/>
        <item x="1405"/>
        <item x="36"/>
        <item x="487"/>
        <item x="928"/>
        <item x="854"/>
        <item x="958"/>
        <item x="38"/>
        <item x="477"/>
        <item x="268"/>
        <item x="383"/>
        <item x="1056"/>
        <item x="294"/>
        <item x="34"/>
        <item x="694"/>
        <item x="727"/>
        <item x="897"/>
        <item x="275"/>
        <item x="781"/>
        <item x="9"/>
        <item x="408"/>
        <item x="329"/>
        <item x="1451"/>
        <item x="952"/>
        <item x="956"/>
        <item x="1018"/>
        <item x="999"/>
        <item x="207"/>
        <item x="707"/>
        <item x="599"/>
        <item x="833"/>
        <item x="792"/>
        <item x="857"/>
        <item x="1001"/>
        <item x="1029"/>
        <item x="279"/>
        <item x="173"/>
        <item x="1089"/>
        <item x="764"/>
        <item x="1325"/>
        <item x="993"/>
        <item x="924"/>
        <item x="1219"/>
        <item x="894"/>
        <item x="1024"/>
        <item x="810"/>
        <item x="601"/>
        <item x="985"/>
        <item x="334"/>
        <item x="486"/>
        <item x="922"/>
        <item x="1011"/>
        <item x="457"/>
        <item x="537"/>
        <item x="59"/>
        <item x="642"/>
        <item x="1017"/>
        <item x="455"/>
        <item x="22"/>
        <item x="1079"/>
        <item x="420"/>
        <item x="645"/>
        <item x="4"/>
        <item x="1361"/>
        <item x="256"/>
        <item x="448"/>
        <item x="274"/>
        <item x="1377"/>
        <item x="126"/>
        <item x="1460"/>
        <item x="15"/>
        <item x="224"/>
        <item x="1222"/>
        <item x="1072"/>
        <item x="706"/>
        <item x="579"/>
        <item x="308"/>
        <item x="1108"/>
        <item x="324"/>
        <item x="71"/>
        <item x="32"/>
        <item x="1296"/>
        <item x="6"/>
        <item x="746"/>
        <item x="1086"/>
        <item x="302"/>
        <item x="29"/>
        <item x="1371"/>
        <item x="1320"/>
        <item x="1095"/>
        <item x="656"/>
        <item x="747"/>
        <item x="1245"/>
        <item x="215"/>
        <item x="968"/>
        <item x="767"/>
        <item x="1214"/>
        <item x="106"/>
        <item x="1186"/>
        <item x="872"/>
        <item x="1380"/>
        <item x="63"/>
        <item x="1388"/>
        <item x="260"/>
        <item x="980"/>
        <item x="920"/>
        <item x="495"/>
        <item x="1333"/>
        <item x="1040"/>
        <item x="210"/>
        <item x="1129"/>
        <item x="150"/>
        <item x="254"/>
        <item x="1198"/>
        <item x="1160"/>
        <item x="658"/>
        <item x="510"/>
        <item x="347"/>
        <item x="538"/>
        <item x="875"/>
        <item x="174"/>
        <item x="524"/>
        <item x="1142"/>
        <item x="600"/>
        <item x="402"/>
        <item x="684"/>
        <item x="1384"/>
        <item x="531"/>
        <item x="1145"/>
        <item x="74"/>
        <item x="957"/>
        <item x="1419"/>
        <item x="923"/>
        <item x="430"/>
        <item x="891"/>
        <item x="1233"/>
        <item x="87"/>
        <item x="1374"/>
        <item x="661"/>
        <item x="412"/>
        <item x="1235"/>
        <item x="107"/>
        <item x="744"/>
        <item x="246"/>
        <item x="1107"/>
        <item x="714"/>
        <item x="989"/>
        <item x="195"/>
        <item x="213"/>
        <item x="547"/>
        <item x="765"/>
        <item x="1381"/>
        <item x="790"/>
        <item x="1012"/>
        <item x="344"/>
        <item x="261"/>
        <item x="202"/>
        <item x="1332"/>
        <item x="1321"/>
        <item x="725"/>
        <item x="45"/>
        <item x="832"/>
        <item x="865"/>
        <item x="1471"/>
        <item x="1408"/>
        <item x="1288"/>
        <item x="431"/>
        <item x="1211"/>
        <item x="1204"/>
        <item x="979"/>
        <item x="199"/>
        <item x="889"/>
        <item x="519"/>
        <item x="876"/>
        <item x="446"/>
        <item x="1065"/>
        <item x="1048"/>
        <item x="621"/>
        <item x="1483"/>
        <item x="786"/>
        <item x="1176"/>
        <item x="926"/>
        <item x="473"/>
        <item x="1395"/>
        <item x="474"/>
        <item x="947"/>
        <item x="1272"/>
        <item x="782"/>
        <item x="291"/>
        <item x="223"/>
        <item x="718"/>
        <item x="977"/>
        <item x="1464"/>
        <item x="640"/>
        <item x="148"/>
        <item x="441"/>
        <item x="460"/>
        <item x="1034"/>
        <item x="0"/>
        <item x="530"/>
        <item x="1287"/>
        <item x="354"/>
        <item x="735"/>
        <item x="551"/>
        <item x="340"/>
        <item x="436"/>
        <item x="423"/>
        <item x="422"/>
        <item x="555"/>
        <item x="801"/>
        <item x="362"/>
        <item x="785"/>
        <item x="1275"/>
        <item x="1026"/>
        <item x="1188"/>
        <item x="355"/>
        <item x="1009"/>
        <item x="204"/>
        <item x="225"/>
        <item x="593"/>
        <item x="461"/>
        <item x="165"/>
        <item x="1269"/>
        <item x="972"/>
        <item x="1280"/>
        <item x="749"/>
        <item x="817"/>
        <item x="1205"/>
        <item x="998"/>
        <item x="304"/>
        <item x="1175"/>
        <item x="1432"/>
        <item x="776"/>
        <item x="1092"/>
        <item x="100"/>
        <item x="1363"/>
        <item x="1486"/>
        <item x="633"/>
        <item x="337"/>
        <item x="502"/>
        <item x="226"/>
        <item x="828"/>
        <item x="485"/>
        <item x="467"/>
        <item x="193"/>
        <item x="490"/>
        <item x="1247"/>
        <item x="671"/>
        <item x="132"/>
        <item x="411"/>
        <item x="971"/>
        <item x="549"/>
        <item x="248"/>
        <item x="1131"/>
        <item x="451"/>
        <item x="939"/>
        <item x="166"/>
        <item x="804"/>
        <item x="129"/>
        <item x="1399"/>
        <item x="137"/>
        <item x="328"/>
        <item x="553"/>
        <item x="1459"/>
        <item x="257"/>
        <item x="361"/>
        <item x="370"/>
        <item x="1415"/>
        <item x="1444"/>
        <item x="1493"/>
        <item x="415"/>
        <item x="277"/>
        <item x="1372"/>
        <item x="1352"/>
        <item x="183"/>
        <item x="602"/>
        <item x="263"/>
        <item x="159"/>
        <item x="1278"/>
        <item x="24"/>
        <item x="1228"/>
        <item x="271"/>
        <item x="470"/>
        <item x="1329"/>
        <item x="425"/>
        <item x="240"/>
        <item x="1044"/>
        <item x="245"/>
        <item x="1375"/>
        <item x="1376"/>
        <item x="609"/>
        <item x="503"/>
        <item x="918"/>
        <item x="1406"/>
        <item x="212"/>
        <item x="1392"/>
        <item x="1382"/>
        <item x="1322"/>
        <item x="1244"/>
        <item x="238"/>
        <item x="1323"/>
        <item x="625"/>
        <item x="13"/>
        <item x="646"/>
        <item x="447"/>
        <item x="92"/>
        <item x="301"/>
        <item x="434"/>
        <item x="1100"/>
        <item x="564"/>
        <item x="1182"/>
        <item x="57"/>
        <item x="797"/>
        <item x="604"/>
        <item x="273"/>
        <item x="560"/>
        <item x="167"/>
        <item x="1207"/>
        <item x="1021"/>
        <item x="1306"/>
        <item x="915"/>
        <item x="643"/>
        <item x="496"/>
        <item x="47"/>
        <item x="1491"/>
        <item t="default"/>
      </items>
    </pivotField>
    <pivotField showAll="0"/>
    <pivotField showAll="0"/>
    <pivotField axis="axisRow" showAll="0">
      <items count="7">
        <item x="4"/>
        <item x="2"/>
        <item x="3"/>
        <item x="1"/>
        <item x="0"/>
        <item x="5"/>
        <item t="default"/>
      </items>
    </pivotField>
    <pivotField axis="axisCol" showAll="0">
      <items count="5">
        <item x="3"/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>
      <items count="4">
        <item x="0"/>
        <item x="1"/>
        <item x="2"/>
        <item t="default"/>
      </items>
    </pivotField>
    <pivotField showAll="0"/>
    <pivotField showAll="0"/>
    <pivotField showAll="0"/>
    <pivotField numFmtId="175"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showAll="0" defaultSubtotal="0"/>
    <pivotField showAll="0" defaultSubtotal="0">
      <items count="5">
        <item x="0"/>
        <item x="1"/>
        <item x="2"/>
        <item x="3"/>
        <item x="4"/>
      </items>
    </pivotField>
  </pivotFields>
  <rowFields count="1">
    <field x="9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0"/>
  </colFields>
  <colItems count="5">
    <i>
      <x/>
    </i>
    <i>
      <x v="1"/>
    </i>
    <i>
      <x v="2"/>
    </i>
    <i>
      <x v="3"/>
    </i>
    <i t="grand">
      <x/>
    </i>
  </colItems>
  <dataFields count="1">
    <dataField name="Priority Level" fld="17" subtotal="count" baseField="0" baseItem="0"/>
  </dataFields>
  <formats count="1">
    <format dxfId="15">
      <pivotArea outline="0" collapsedLevelsAreSubtotals="1" fieldPosition="0"/>
    </format>
  </formats>
  <conditionalFormats count="3">
    <conditionalFormat priority="3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9" count="6">
              <x v="0"/>
              <x v="1"/>
              <x v="2"/>
              <x v="3"/>
              <x v="4"/>
              <x v="5"/>
            </reference>
            <reference field="10" count="4" selected="0">
              <x v="0"/>
              <x v="1"/>
              <x v="2"/>
              <x v="3"/>
            </reference>
          </references>
        </pivotArea>
      </pivotAreas>
    </conditionalFormat>
    <conditionalFormat priority="2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9" count="6">
              <x v="0"/>
              <x v="1"/>
              <x v="2"/>
              <x v="3"/>
              <x v="4"/>
              <x v="5"/>
            </reference>
            <reference field="10" count="4" selected="0">
              <x v="0"/>
              <x v="1"/>
              <x v="2"/>
              <x v="3"/>
            </reference>
          </references>
        </pivotArea>
      </pivotAreas>
    </conditionalFormat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9" count="6">
              <x v="0"/>
              <x v="1"/>
              <x v="2"/>
              <x v="3"/>
              <x v="4"/>
              <x v="5"/>
            </reference>
            <reference field="10" count="4" selected="0">
              <x v="0"/>
              <x v="1"/>
              <x v="2"/>
              <x v="3"/>
            </reference>
          </references>
        </pivotArea>
      </pivotAreas>
    </conditionalFormat>
  </conditional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CFCFEF-4FF6-4A2A-B382-15E7E44D343E}" name="PivotTable12" cacheId="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 rowHeaderCaption="Priority Level">
  <location ref="A3:E9" firstHeaderRow="1" firstDataRow="2" firstDataCol="1"/>
  <pivotFields count="27">
    <pivotField showAll="0"/>
    <pivotField showAll="0"/>
    <pivotField showAll="0"/>
    <pivotField showAll="0"/>
    <pivotField showAll="0"/>
    <pivotField showAll="0"/>
    <pivotField numFmtId="22" showAll="0">
      <items count="1501">
        <item x="1162"/>
        <item x="811"/>
        <item x="198"/>
        <item x="228"/>
        <item x="1482"/>
        <item x="963"/>
        <item x="953"/>
        <item x="615"/>
        <item x="690"/>
        <item x="26"/>
        <item x="1172"/>
        <item x="247"/>
        <item x="1016"/>
        <item x="793"/>
        <item x="1201"/>
        <item x="278"/>
        <item x="35"/>
        <item x="1234"/>
        <item x="1359"/>
        <item x="738"/>
        <item x="1215"/>
        <item x="40"/>
        <item x="104"/>
        <item x="288"/>
        <item x="1027"/>
        <item x="861"/>
        <item x="435"/>
        <item x="1378"/>
        <item x="1111"/>
        <item x="320"/>
        <item x="1178"/>
        <item x="1117"/>
        <item x="1430"/>
        <item x="54"/>
        <item x="1121"/>
        <item x="1023"/>
        <item x="840"/>
        <item x="859"/>
        <item x="331"/>
        <item x="1438"/>
        <item x="157"/>
        <item x="583"/>
        <item x="250"/>
        <item x="1256"/>
        <item x="723"/>
        <item x="147"/>
        <item x="181"/>
        <item x="27"/>
        <item x="1213"/>
        <item x="1103"/>
        <item x="1340"/>
        <item x="1391"/>
        <item x="333"/>
        <item x="863"/>
        <item x="143"/>
        <item x="161"/>
        <item x="934"/>
        <item x="363"/>
        <item x="349"/>
        <item x="1327"/>
        <item x="42"/>
        <item x="108"/>
        <item x="631"/>
        <item x="1122"/>
        <item x="449"/>
        <item x="1326"/>
        <item x="111"/>
        <item x="1330"/>
        <item x="1385"/>
        <item x="1467"/>
        <item x="51"/>
        <item x="843"/>
        <item x="681"/>
        <item x="342"/>
        <item x="838"/>
        <item x="341"/>
        <item x="182"/>
        <item x="396"/>
        <item x="297"/>
        <item x="961"/>
        <item x="52"/>
        <item x="1389"/>
        <item x="845"/>
        <item x="667"/>
        <item x="1413"/>
        <item x="769"/>
        <item x="905"/>
        <item x="1271"/>
        <item x="338"/>
        <item x="208"/>
        <item x="142"/>
        <item x="1435"/>
        <item x="942"/>
        <item x="715"/>
        <item x="974"/>
        <item x="777"/>
        <item x="673"/>
        <item x="1061"/>
        <item x="798"/>
        <item x="921"/>
        <item x="1236"/>
        <item x="1484"/>
        <item x="1098"/>
        <item x="95"/>
        <item x="900"/>
        <item x="1344"/>
        <item x="676"/>
        <item x="360"/>
        <item x="1073"/>
        <item x="1115"/>
        <item x="306"/>
        <item x="335"/>
        <item x="848"/>
        <item x="121"/>
        <item x="8"/>
        <item x="572"/>
        <item x="768"/>
        <item x="869"/>
        <item x="1248"/>
        <item x="1153"/>
        <item x="1393"/>
        <item x="1345"/>
        <item x="1410"/>
        <item x="421"/>
        <item x="1457"/>
        <item x="648"/>
        <item x="678"/>
        <item x="339"/>
        <item x="1124"/>
        <item x="1255"/>
        <item x="428"/>
        <item x="417"/>
        <item x="488"/>
        <item x="626"/>
        <item x="596"/>
        <item x="1060"/>
        <item x="80"/>
        <item x="1402"/>
        <item x="505"/>
        <item x="50"/>
        <item x="687"/>
        <item x="1366"/>
        <item x="1088"/>
        <item x="303"/>
        <item x="21"/>
        <item x="1455"/>
        <item x="262"/>
        <item x="452"/>
        <item x="866"/>
        <item x="205"/>
        <item x="284"/>
        <item x="975"/>
        <item x="567"/>
        <item x="1237"/>
        <item x="178"/>
        <item x="1013"/>
        <item x="197"/>
        <item x="910"/>
        <item x="829"/>
        <item x="1116"/>
        <item x="491"/>
        <item x="860"/>
        <item x="369"/>
        <item x="465"/>
        <item x="886"/>
        <item x="670"/>
        <item x="672"/>
        <item x="826"/>
        <item x="927"/>
        <item x="721"/>
        <item x="1187"/>
        <item x="930"/>
        <item x="1299"/>
        <item x="1429"/>
        <item x="788"/>
        <item x="1239"/>
        <item x="382"/>
        <item x="141"/>
        <item x="634"/>
        <item x="1498"/>
        <item x="1246"/>
        <item x="184"/>
        <item x="581"/>
        <item x="1301"/>
        <item x="730"/>
        <item x="1426"/>
        <item x="830"/>
        <item x="1210"/>
        <item x="1007"/>
        <item x="717"/>
        <item x="1036"/>
        <item x="267"/>
        <item x="1373"/>
        <item x="373"/>
        <item x="290"/>
        <item x="726"/>
        <item x="1423"/>
        <item x="429"/>
        <item x="170"/>
        <item x="1030"/>
        <item x="483"/>
        <item x="68"/>
        <item x="812"/>
        <item x="39"/>
        <item x="622"/>
        <item x="500"/>
        <item x="187"/>
        <item x="253"/>
        <item x="426"/>
        <item x="374"/>
        <item x="1191"/>
        <item x="314"/>
        <item x="77"/>
        <item x="842"/>
        <item x="925"/>
        <item x="1066"/>
        <item x="763"/>
        <item x="945"/>
        <item x="2"/>
        <item x="630"/>
        <item x="283"/>
        <item x="201"/>
        <item x="18"/>
        <item x="322"/>
        <item x="1158"/>
        <item x="94"/>
        <item x="1397"/>
        <item x="639"/>
        <item x="1135"/>
        <item x="1324"/>
        <item x="1127"/>
        <item x="711"/>
        <item x="466"/>
        <item x="755"/>
        <item x="317"/>
        <item x="563"/>
        <item x="941"/>
        <item x="1265"/>
        <item x="1433"/>
        <item x="281"/>
        <item x="122"/>
        <item x="775"/>
        <item x="372"/>
        <item x="1170"/>
        <item x="809"/>
        <item x="569"/>
        <item x="996"/>
        <item x="1126"/>
        <item x="1390"/>
        <item x="733"/>
        <item x="716"/>
        <item x="1369"/>
        <item x="988"/>
        <item x="233"/>
        <item x="346"/>
        <item x="356"/>
        <item x="1319"/>
        <item x="949"/>
        <item x="1000"/>
        <item x="881"/>
        <item x="954"/>
        <item x="960"/>
        <item x="743"/>
        <item x="772"/>
        <item x="110"/>
        <item x="729"/>
        <item x="1113"/>
        <item x="529"/>
        <item x="1047"/>
        <item x="880"/>
        <item x="188"/>
        <item x="1328"/>
        <item x="1251"/>
        <item x="1258"/>
        <item x="825"/>
        <item x="512"/>
        <item x="987"/>
        <item x="443"/>
        <item x="914"/>
        <item x="1440"/>
        <item x="1114"/>
        <item x="79"/>
        <item x="1253"/>
        <item x="508"/>
        <item x="345"/>
        <item x="1096"/>
        <item x="675"/>
        <item x="243"/>
        <item x="169"/>
        <item x="871"/>
        <item x="236"/>
        <item x="1461"/>
        <item x="1184"/>
        <item x="751"/>
        <item x="911"/>
        <item x="542"/>
        <item x="398"/>
        <item x="1223"/>
        <item x="873"/>
        <item x="568"/>
        <item x="1054"/>
        <item x="387"/>
        <item x="1144"/>
        <item x="1259"/>
        <item x="938"/>
        <item x="1318"/>
        <item x="1294"/>
        <item x="1139"/>
        <item x="771"/>
        <item x="305"/>
        <item x="1218"/>
        <item x="158"/>
        <item x="878"/>
        <item x="1315"/>
        <item x="1379"/>
        <item x="823"/>
        <item x="919"/>
        <item x="1439"/>
        <item x="719"/>
        <item x="1242"/>
        <item x="628"/>
        <item x="332"/>
        <item x="311"/>
        <item x="1417"/>
        <item x="1133"/>
        <item x="484"/>
        <item x="409"/>
        <item x="1480"/>
        <item x="235"/>
        <item x="944"/>
        <item x="504"/>
        <item x="323"/>
        <item x="380"/>
        <item x="516"/>
        <item x="933"/>
        <item x="427"/>
        <item x="365"/>
        <item x="688"/>
        <item x="550"/>
        <item x="1488"/>
        <item x="1348"/>
        <item x="218"/>
        <item x="509"/>
        <item x="1093"/>
        <item x="413"/>
        <item x="1231"/>
        <item x="1261"/>
        <item x="618"/>
        <item x="475"/>
        <item x="1431"/>
        <item x="1316"/>
        <item x="1055"/>
        <item x="1196"/>
        <item x="641"/>
        <item x="1195"/>
        <item x="123"/>
        <item x="870"/>
        <item x="189"/>
        <item x="407"/>
        <item x="616"/>
        <item x="497"/>
        <item x="614"/>
        <item x="65"/>
        <item x="131"/>
        <item x="543"/>
        <item x="1466"/>
        <item x="287"/>
        <item x="1307"/>
        <item x="1401"/>
        <item x="1165"/>
        <item x="221"/>
        <item x="1199"/>
        <item x="164"/>
        <item x="858"/>
        <item x="258"/>
        <item x="1136"/>
        <item x="394"/>
        <item x="440"/>
        <item x="1308"/>
        <item x="1286"/>
        <item x="1155"/>
        <item x="695"/>
        <item x="887"/>
        <item x="592"/>
        <item x="1334"/>
        <item x="145"/>
        <item x="647"/>
        <item x="1414"/>
        <item x="1101"/>
        <item x="584"/>
        <item x="1097"/>
        <item x="1387"/>
        <item x="462"/>
        <item x="1225"/>
        <item x="1105"/>
        <item x="702"/>
        <item x="959"/>
        <item x="758"/>
        <item x="456"/>
        <item x="1365"/>
        <item x="351"/>
        <item x="540"/>
        <item x="1447"/>
        <item x="1067"/>
        <item x="60"/>
        <item x="1149"/>
        <item x="636"/>
        <item x="703"/>
        <item x="217"/>
        <item x="1347"/>
        <item x="120"/>
        <item x="119"/>
        <item x="186"/>
        <item x="72"/>
        <item x="680"/>
        <item x="756"/>
        <item x="575"/>
        <item x="171"/>
        <item x="541"/>
        <item x="585"/>
        <item x="1452"/>
        <item x="759"/>
        <item x="770"/>
        <item x="932"/>
        <item x="130"/>
        <item x="780"/>
        <item x="1006"/>
        <item x="1346"/>
        <item x="1051"/>
        <item x="1189"/>
        <item x="400"/>
        <item x="319"/>
        <item x="433"/>
        <item x="300"/>
        <item x="371"/>
        <item x="835"/>
        <item x="1370"/>
        <item x="116"/>
        <item x="1470"/>
        <item x="834"/>
        <item x="138"/>
        <item x="1140"/>
        <item x="574"/>
        <item x="298"/>
        <item x="990"/>
        <item x="30"/>
        <item x="1473"/>
        <item x="1450"/>
        <item x="1478"/>
        <item x="1335"/>
        <item x="570"/>
        <item x="91"/>
        <item x="506"/>
        <item x="539"/>
        <item x="760"/>
        <item x="1421"/>
        <item x="1045"/>
        <item x="669"/>
        <item x="134"/>
        <item x="1481"/>
        <item x="879"/>
        <item x="773"/>
        <item x="1209"/>
        <item x="67"/>
        <item x="1106"/>
        <item x="742"/>
        <item x="544"/>
        <item x="1043"/>
        <item x="1217"/>
        <item x="388"/>
        <item x="501"/>
        <item x="696"/>
        <item x="943"/>
        <item x="691"/>
        <item x="654"/>
        <item x="1130"/>
        <item x="1445"/>
        <item x="381"/>
        <item x="994"/>
        <item x="1003"/>
        <item x="899"/>
        <item x="139"/>
        <item x="1309"/>
        <item x="929"/>
        <item x="115"/>
        <item x="3"/>
        <item x="1338"/>
        <item x="685"/>
        <item x="1147"/>
        <item x="1407"/>
        <item x="607"/>
        <item x="1081"/>
        <item x="635"/>
        <item x="935"/>
        <item x="1216"/>
        <item x="856"/>
        <item x="1085"/>
        <item x="1074"/>
        <item x="559"/>
        <item x="936"/>
        <item x="815"/>
        <item x="1250"/>
        <item x="1297"/>
        <item x="610"/>
        <item x="481"/>
        <item x="571"/>
        <item x="1364"/>
        <item x="149"/>
        <item x="527"/>
        <item x="1492"/>
        <item x="419"/>
        <item x="851"/>
        <item x="259"/>
        <item x="982"/>
        <item x="128"/>
        <item x="1"/>
        <item x="652"/>
        <item x="1033"/>
        <item x="1355"/>
        <item x="1179"/>
        <item x="683"/>
        <item x="693"/>
        <item x="862"/>
        <item x="61"/>
        <item x="64"/>
        <item x="739"/>
        <item x="348"/>
        <item x="973"/>
        <item x="1042"/>
        <item x="1424"/>
        <item x="1203"/>
        <item x="37"/>
        <item x="565"/>
        <item x="1035"/>
        <item x="1495"/>
        <item x="1291"/>
        <item x="266"/>
        <item x="1422"/>
        <item x="820"/>
        <item x="1489"/>
        <item x="1469"/>
        <item x="1448"/>
        <item x="986"/>
        <item x="1019"/>
        <item x="113"/>
        <item x="951"/>
        <item x="526"/>
        <item x="1104"/>
        <item x="53"/>
        <item x="1238"/>
        <item x="1434"/>
        <item x="1490"/>
        <item x="1303"/>
        <item x="1202"/>
        <item x="237"/>
        <item x="1037"/>
        <item x="552"/>
        <item x="1197"/>
        <item x="1167"/>
        <item x="41"/>
        <item x="472"/>
        <item x="903"/>
        <item x="424"/>
        <item x="1193"/>
        <item x="471"/>
        <item x="909"/>
        <item x="343"/>
        <item x="401"/>
        <item x="704"/>
        <item x="330"/>
        <item x="1349"/>
        <item x="1499"/>
        <item x="803"/>
        <item x="722"/>
        <item x="1313"/>
        <item x="813"/>
        <item x="390"/>
        <item x="209"/>
        <item x="1279"/>
        <item x="385"/>
        <item x="244"/>
        <item x="16"/>
        <item x="1394"/>
        <item x="1358"/>
        <item x="299"/>
        <item x="326"/>
        <item x="589"/>
        <item x="76"/>
        <item x="310"/>
        <item x="416"/>
        <item x="1403"/>
        <item x="754"/>
        <item x="307"/>
        <item x="535"/>
        <item x="967"/>
        <item x="619"/>
        <item x="1150"/>
        <item x="1312"/>
        <item x="231"/>
        <item x="1386"/>
        <item x="800"/>
        <item x="1091"/>
        <item x="66"/>
        <item x="1168"/>
        <item x="916"/>
        <item x="125"/>
        <item x="1396"/>
        <item x="966"/>
        <item x="1427"/>
        <item x="325"/>
        <item x="997"/>
        <item x="913"/>
        <item x="437"/>
        <item x="888"/>
        <item x="1398"/>
        <item x="17"/>
        <item x="1221"/>
        <item x="78"/>
        <item x="359"/>
        <item x="1418"/>
        <item x="366"/>
        <item x="353"/>
        <item x="98"/>
        <item x="698"/>
        <item x="469"/>
        <item x="144"/>
        <item x="521"/>
        <item x="1260"/>
        <item x="23"/>
        <item x="31"/>
        <item x="154"/>
        <item x="458"/>
        <item x="88"/>
        <item x="1475"/>
        <item x="1257"/>
        <item x="1078"/>
        <item x="1112"/>
        <item x="1181"/>
        <item x="1453"/>
        <item x="827"/>
        <item x="276"/>
        <item x="358"/>
        <item x="525"/>
        <item x="728"/>
        <item x="893"/>
        <item x="1154"/>
        <item x="1420"/>
        <item x="264"/>
        <item x="580"/>
        <item x="613"/>
        <item x="1342"/>
        <item x="1041"/>
        <item x="1212"/>
        <item x="573"/>
        <item x="1080"/>
        <item x="852"/>
        <item x="459"/>
        <item x="1161"/>
        <item x="651"/>
        <item x="697"/>
        <item x="844"/>
        <item x="499"/>
        <item x="220"/>
        <item x="109"/>
        <item x="741"/>
        <item x="1025"/>
        <item x="518"/>
        <item x="1285"/>
        <item x="1304"/>
        <item x="649"/>
        <item x="623"/>
        <item x="883"/>
        <item x="1084"/>
        <item x="1057"/>
        <item x="783"/>
        <item x="179"/>
        <item x="1412"/>
        <item x="269"/>
        <item x="46"/>
        <item x="1241"/>
        <item x="906"/>
        <item x="1143"/>
        <item x="1263"/>
        <item x="561"/>
        <item x="513"/>
        <item x="796"/>
        <item x="112"/>
        <item x="586"/>
        <item x="837"/>
        <item x="931"/>
        <item x="1146"/>
        <item x="1028"/>
        <item x="163"/>
        <item x="377"/>
        <item x="624"/>
        <item x="1400"/>
        <item x="666"/>
        <item x="821"/>
        <item x="1185"/>
        <item x="1070"/>
        <item x="1059"/>
        <item x="778"/>
        <item x="386"/>
        <item x="1295"/>
        <item x="1083"/>
        <item x="802"/>
        <item x="784"/>
        <item x="1068"/>
        <item x="1416"/>
        <item x="590"/>
        <item x="912"/>
        <item x="591"/>
        <item x="750"/>
        <item x="1367"/>
        <item x="1354"/>
        <item x="1281"/>
        <item x="99"/>
        <item x="1164"/>
        <item x="877"/>
        <item x="536"/>
        <item x="251"/>
        <item x="898"/>
        <item x="650"/>
        <item x="90"/>
        <item x="701"/>
        <item x="62"/>
        <item x="632"/>
        <item x="978"/>
        <item x="124"/>
        <item x="133"/>
        <item x="25"/>
        <item x="1284"/>
        <item x="445"/>
        <item x="85"/>
        <item x="1337"/>
        <item x="103"/>
        <item x="1411"/>
        <item x="1058"/>
        <item x="849"/>
        <item x="662"/>
        <item x="1171"/>
        <item x="1404"/>
        <item x="1010"/>
        <item x="874"/>
        <item x="295"/>
        <item x="709"/>
        <item x="397"/>
        <item x="1166"/>
        <item x="1022"/>
        <item x="629"/>
        <item x="391"/>
        <item x="293"/>
        <item x="1064"/>
        <item x="940"/>
        <item x="479"/>
        <item x="795"/>
        <item x="1449"/>
        <item x="762"/>
        <item x="172"/>
        <item x="606"/>
        <item x="464"/>
        <item x="20"/>
        <item x="395"/>
        <item x="192"/>
        <item x="1004"/>
        <item x="705"/>
        <item x="1226"/>
        <item x="286"/>
        <item x="1357"/>
        <item x="155"/>
        <item x="1479"/>
        <item x="1383"/>
        <item x="882"/>
        <item x="853"/>
        <item x="285"/>
        <item x="282"/>
        <item x="327"/>
        <item x="1137"/>
        <item x="627"/>
        <item x="532"/>
        <item x="404"/>
        <item x="937"/>
        <item x="1428"/>
        <item x="117"/>
        <item x="1077"/>
        <item x="357"/>
        <item x="1472"/>
        <item x="1119"/>
        <item x="748"/>
        <item x="955"/>
        <item x="405"/>
        <item x="533"/>
        <item x="43"/>
        <item x="1224"/>
        <item x="1274"/>
        <item x="595"/>
        <item x="1356"/>
        <item x="49"/>
        <item x="81"/>
        <item x="1063"/>
        <item x="1273"/>
        <item x="489"/>
        <item x="846"/>
        <item x="659"/>
        <item x="816"/>
        <item x="498"/>
        <item x="1341"/>
        <item x="389"/>
        <item x="736"/>
        <item x="114"/>
        <item x="480"/>
        <item x="364"/>
        <item x="350"/>
        <item x="1350"/>
        <item x="534"/>
        <item x="789"/>
        <item x="1020"/>
        <item x="556"/>
        <item x="1494"/>
        <item x="168"/>
        <item x="1208"/>
        <item x="93"/>
        <item x="352"/>
        <item x="270"/>
        <item x="196"/>
        <item x="1110"/>
        <item x="1270"/>
        <item x="808"/>
        <item x="368"/>
        <item x="214"/>
        <item x="528"/>
        <item x="102"/>
        <item x="908"/>
        <item x="1232"/>
        <item x="463"/>
        <item x="101"/>
        <item x="242"/>
        <item x="1082"/>
        <item x="517"/>
        <item x="902"/>
        <item x="608"/>
        <item x="692"/>
        <item x="478"/>
        <item x="1076"/>
        <item x="1249"/>
        <item x="1298"/>
        <item x="1441"/>
        <item x="1339"/>
        <item x="494"/>
        <item x="379"/>
        <item x="1446"/>
        <item x="7"/>
        <item x="44"/>
        <item x="11"/>
        <item x="185"/>
        <item x="1283"/>
        <item x="1360"/>
        <item x="587"/>
        <item x="562"/>
        <item x="1289"/>
        <item x="1156"/>
        <item x="403"/>
        <item x="1075"/>
        <item x="272"/>
        <item x="1102"/>
        <item x="1220"/>
        <item x="1243"/>
        <item x="948"/>
        <item x="219"/>
        <item x="453"/>
        <item x="699"/>
        <item x="482"/>
        <item x="991"/>
        <item x="737"/>
        <item x="82"/>
        <item x="965"/>
        <item x="10"/>
        <item x="546"/>
        <item x="1290"/>
        <item x="180"/>
        <item x="265"/>
        <item x="450"/>
        <item x="439"/>
        <item x="289"/>
        <item x="1240"/>
        <item x="1343"/>
        <item x="946"/>
        <item x="5"/>
        <item x="1456"/>
        <item x="1173"/>
        <item x="393"/>
        <item x="668"/>
        <item x="892"/>
        <item x="280"/>
        <item x="663"/>
        <item x="1362"/>
        <item x="136"/>
        <item x="806"/>
        <item x="14"/>
        <item x="118"/>
        <item x="1336"/>
        <item x="1014"/>
        <item x="1497"/>
        <item x="153"/>
        <item x="296"/>
        <item x="1005"/>
        <item x="520"/>
        <item x="55"/>
        <item x="1008"/>
        <item x="732"/>
        <item x="175"/>
        <item x="724"/>
        <item x="476"/>
        <item x="814"/>
        <item x="190"/>
        <item x="1485"/>
        <item x="1230"/>
        <item x="1002"/>
        <item x="890"/>
        <item x="1436"/>
        <item x="545"/>
        <item x="1090"/>
        <item x="1141"/>
        <item x="1443"/>
        <item x="752"/>
        <item x="384"/>
        <item x="1292"/>
        <item x="557"/>
        <item x="901"/>
        <item x="48"/>
        <item x="249"/>
        <item x="679"/>
        <item x="1194"/>
        <item x="1053"/>
        <item x="1183"/>
        <item x="1094"/>
        <item x="638"/>
        <item x="1206"/>
        <item x="969"/>
        <item x="1293"/>
        <item x="612"/>
        <item x="578"/>
        <item x="757"/>
        <item x="839"/>
        <item x="33"/>
        <item x="216"/>
        <item x="774"/>
        <item x="554"/>
        <item x="1282"/>
        <item x="836"/>
        <item x="399"/>
        <item x="1252"/>
        <item x="493"/>
        <item x="376"/>
        <item x="1049"/>
        <item x="140"/>
        <item x="511"/>
        <item x="309"/>
        <item x="194"/>
        <item x="620"/>
        <item x="611"/>
        <item x="962"/>
        <item x="70"/>
        <item x="822"/>
        <item x="740"/>
        <item x="577"/>
        <item x="1038"/>
        <item x="414"/>
        <item x="152"/>
        <item x="1276"/>
        <item x="1331"/>
        <item x="1496"/>
        <item x="1151"/>
        <item x="1123"/>
        <item x="410"/>
        <item x="222"/>
        <item x="156"/>
        <item x="617"/>
        <item x="1302"/>
        <item x="983"/>
        <item x="818"/>
        <item x="660"/>
        <item x="791"/>
        <item x="442"/>
        <item x="292"/>
        <item x="1125"/>
        <item x="105"/>
        <item x="1031"/>
        <item x="566"/>
        <item x="177"/>
        <item x="1300"/>
        <item x="378"/>
        <item x="1138"/>
        <item x="761"/>
        <item x="819"/>
        <item x="515"/>
        <item x="418"/>
        <item x="1268"/>
        <item x="73"/>
        <item x="84"/>
        <item x="582"/>
        <item x="841"/>
        <item x="1254"/>
        <item x="807"/>
        <item x="864"/>
        <item x="605"/>
        <item x="970"/>
        <item x="241"/>
        <item x="766"/>
        <item x="1152"/>
        <item x="151"/>
        <item x="1192"/>
        <item x="653"/>
        <item x="992"/>
        <item x="176"/>
        <item x="1190"/>
        <item x="1465"/>
        <item x="1120"/>
        <item x="239"/>
        <item x="1159"/>
        <item x="507"/>
        <item x="700"/>
        <item x="655"/>
        <item x="1180"/>
        <item x="1099"/>
        <item x="787"/>
        <item x="1200"/>
        <item x="19"/>
        <item x="523"/>
        <item x="1174"/>
        <item x="75"/>
        <item x="438"/>
        <item x="1157"/>
        <item x="896"/>
        <item x="799"/>
        <item x="1311"/>
        <item x="1169"/>
        <item x="1069"/>
        <item x="1177"/>
        <item x="146"/>
        <item x="367"/>
        <item x="375"/>
        <item x="1148"/>
        <item x="731"/>
        <item x="211"/>
        <item x="1468"/>
        <item x="597"/>
        <item x="884"/>
        <item x="1425"/>
        <item x="89"/>
        <item x="885"/>
        <item x="232"/>
        <item x="1128"/>
        <item x="950"/>
        <item x="917"/>
        <item x="406"/>
        <item x="1262"/>
        <item x="576"/>
        <item x="674"/>
        <item x="1458"/>
        <item x="603"/>
        <item x="206"/>
        <item x="315"/>
        <item x="1463"/>
        <item x="1353"/>
        <item x="713"/>
        <item x="984"/>
        <item x="468"/>
        <item x="58"/>
        <item x="805"/>
        <item x="1305"/>
        <item x="255"/>
        <item x="907"/>
        <item x="753"/>
        <item x="657"/>
        <item x="312"/>
        <item x="588"/>
        <item x="227"/>
        <item x="162"/>
        <item x="69"/>
        <item x="1264"/>
        <item x="318"/>
        <item x="708"/>
        <item x="492"/>
        <item x="831"/>
        <item x="83"/>
        <item x="712"/>
        <item x="444"/>
        <item x="1046"/>
        <item x="1032"/>
        <item x="1409"/>
        <item x="976"/>
        <item x="745"/>
        <item x="56"/>
        <item x="594"/>
        <item x="96"/>
        <item x="1487"/>
        <item x="548"/>
        <item x="1163"/>
        <item x="1477"/>
        <item x="313"/>
        <item x="321"/>
        <item x="689"/>
        <item x="1442"/>
        <item x="904"/>
        <item x="895"/>
        <item x="1462"/>
        <item x="86"/>
        <item x="824"/>
        <item x="558"/>
        <item x="135"/>
        <item x="964"/>
        <item x="850"/>
        <item x="1277"/>
        <item x="1310"/>
        <item x="1015"/>
        <item x="160"/>
        <item x="1062"/>
        <item x="12"/>
        <item x="1109"/>
        <item x="392"/>
        <item x="127"/>
        <item x="1227"/>
        <item x="644"/>
        <item x="432"/>
        <item x="1476"/>
        <item x="677"/>
        <item x="1039"/>
        <item x="1266"/>
        <item x="200"/>
        <item x="686"/>
        <item x="230"/>
        <item x="855"/>
        <item x="203"/>
        <item x="252"/>
        <item x="514"/>
        <item x="1132"/>
        <item x="665"/>
        <item x="664"/>
        <item x="1118"/>
        <item x="720"/>
        <item x="779"/>
        <item x="794"/>
        <item x="1454"/>
        <item x="1229"/>
        <item x="1087"/>
        <item x="454"/>
        <item x="229"/>
        <item x="1317"/>
        <item x="1368"/>
        <item x="1437"/>
        <item x="995"/>
        <item x="97"/>
        <item x="1314"/>
        <item x="1267"/>
        <item x="637"/>
        <item x="1351"/>
        <item x="847"/>
        <item x="981"/>
        <item x="1052"/>
        <item x="682"/>
        <item x="316"/>
        <item x="1071"/>
        <item x="710"/>
        <item x="1050"/>
        <item x="234"/>
        <item x="522"/>
        <item x="868"/>
        <item x="1134"/>
        <item x="191"/>
        <item x="1474"/>
        <item x="28"/>
        <item x="336"/>
        <item x="867"/>
        <item x="598"/>
        <item x="734"/>
        <item x="1405"/>
        <item x="36"/>
        <item x="487"/>
        <item x="928"/>
        <item x="854"/>
        <item x="958"/>
        <item x="38"/>
        <item x="477"/>
        <item x="268"/>
        <item x="383"/>
        <item x="1056"/>
        <item x="294"/>
        <item x="34"/>
        <item x="694"/>
        <item x="727"/>
        <item x="897"/>
        <item x="275"/>
        <item x="781"/>
        <item x="9"/>
        <item x="408"/>
        <item x="329"/>
        <item x="1451"/>
        <item x="952"/>
        <item x="956"/>
        <item x="1018"/>
        <item x="999"/>
        <item x="207"/>
        <item x="707"/>
        <item x="599"/>
        <item x="833"/>
        <item x="792"/>
        <item x="857"/>
        <item x="1001"/>
        <item x="1029"/>
        <item x="279"/>
        <item x="173"/>
        <item x="1089"/>
        <item x="764"/>
        <item x="1325"/>
        <item x="993"/>
        <item x="924"/>
        <item x="1219"/>
        <item x="894"/>
        <item x="1024"/>
        <item x="810"/>
        <item x="601"/>
        <item x="985"/>
        <item x="334"/>
        <item x="486"/>
        <item x="922"/>
        <item x="1011"/>
        <item x="457"/>
        <item x="537"/>
        <item x="59"/>
        <item x="642"/>
        <item x="1017"/>
        <item x="455"/>
        <item x="22"/>
        <item x="1079"/>
        <item x="420"/>
        <item x="645"/>
        <item x="4"/>
        <item x="1361"/>
        <item x="256"/>
        <item x="448"/>
        <item x="274"/>
        <item x="1377"/>
        <item x="126"/>
        <item x="1460"/>
        <item x="15"/>
        <item x="224"/>
        <item x="1222"/>
        <item x="1072"/>
        <item x="706"/>
        <item x="579"/>
        <item x="308"/>
        <item x="1108"/>
        <item x="324"/>
        <item x="71"/>
        <item x="32"/>
        <item x="1296"/>
        <item x="6"/>
        <item x="746"/>
        <item x="1086"/>
        <item x="302"/>
        <item x="29"/>
        <item x="1371"/>
        <item x="1320"/>
        <item x="1095"/>
        <item x="656"/>
        <item x="747"/>
        <item x="1245"/>
        <item x="215"/>
        <item x="968"/>
        <item x="767"/>
        <item x="1214"/>
        <item x="106"/>
        <item x="1186"/>
        <item x="872"/>
        <item x="1380"/>
        <item x="63"/>
        <item x="1388"/>
        <item x="260"/>
        <item x="980"/>
        <item x="920"/>
        <item x="495"/>
        <item x="1333"/>
        <item x="1040"/>
        <item x="210"/>
        <item x="1129"/>
        <item x="150"/>
        <item x="254"/>
        <item x="1198"/>
        <item x="1160"/>
        <item x="658"/>
        <item x="510"/>
        <item x="347"/>
        <item x="538"/>
        <item x="875"/>
        <item x="174"/>
        <item x="524"/>
        <item x="1142"/>
        <item x="600"/>
        <item x="402"/>
        <item x="684"/>
        <item x="1384"/>
        <item x="531"/>
        <item x="1145"/>
        <item x="74"/>
        <item x="957"/>
        <item x="1419"/>
        <item x="923"/>
        <item x="430"/>
        <item x="891"/>
        <item x="1233"/>
        <item x="87"/>
        <item x="1374"/>
        <item x="661"/>
        <item x="412"/>
        <item x="1235"/>
        <item x="107"/>
        <item x="744"/>
        <item x="246"/>
        <item x="1107"/>
        <item x="714"/>
        <item x="989"/>
        <item x="195"/>
        <item x="213"/>
        <item x="547"/>
        <item x="765"/>
        <item x="1381"/>
        <item x="790"/>
        <item x="1012"/>
        <item x="344"/>
        <item x="261"/>
        <item x="202"/>
        <item x="1332"/>
        <item x="1321"/>
        <item x="725"/>
        <item x="45"/>
        <item x="832"/>
        <item x="865"/>
        <item x="1471"/>
        <item x="1408"/>
        <item x="1288"/>
        <item x="431"/>
        <item x="1211"/>
        <item x="1204"/>
        <item x="979"/>
        <item x="199"/>
        <item x="889"/>
        <item x="519"/>
        <item x="876"/>
        <item x="446"/>
        <item x="1065"/>
        <item x="1048"/>
        <item x="621"/>
        <item x="1483"/>
        <item x="786"/>
        <item x="1176"/>
        <item x="926"/>
        <item x="473"/>
        <item x="1395"/>
        <item x="474"/>
        <item x="947"/>
        <item x="1272"/>
        <item x="782"/>
        <item x="291"/>
        <item x="223"/>
        <item x="718"/>
        <item x="977"/>
        <item x="1464"/>
        <item x="640"/>
        <item x="148"/>
        <item x="441"/>
        <item x="460"/>
        <item x="1034"/>
        <item x="0"/>
        <item x="530"/>
        <item x="1287"/>
        <item x="354"/>
        <item x="735"/>
        <item x="551"/>
        <item x="340"/>
        <item x="436"/>
        <item x="423"/>
        <item x="422"/>
        <item x="555"/>
        <item x="801"/>
        <item x="362"/>
        <item x="785"/>
        <item x="1275"/>
        <item x="1026"/>
        <item x="1188"/>
        <item x="355"/>
        <item x="1009"/>
        <item x="204"/>
        <item x="225"/>
        <item x="593"/>
        <item x="461"/>
        <item x="165"/>
        <item x="1269"/>
        <item x="972"/>
        <item x="1280"/>
        <item x="749"/>
        <item x="817"/>
        <item x="1205"/>
        <item x="998"/>
        <item x="304"/>
        <item x="1175"/>
        <item x="1432"/>
        <item x="776"/>
        <item x="1092"/>
        <item x="100"/>
        <item x="1363"/>
        <item x="1486"/>
        <item x="633"/>
        <item x="337"/>
        <item x="502"/>
        <item x="226"/>
        <item x="828"/>
        <item x="485"/>
        <item x="467"/>
        <item x="193"/>
        <item x="490"/>
        <item x="1247"/>
        <item x="671"/>
        <item x="132"/>
        <item x="411"/>
        <item x="971"/>
        <item x="549"/>
        <item x="248"/>
        <item x="1131"/>
        <item x="451"/>
        <item x="939"/>
        <item x="166"/>
        <item x="804"/>
        <item x="129"/>
        <item x="1399"/>
        <item x="137"/>
        <item x="328"/>
        <item x="553"/>
        <item x="1459"/>
        <item x="257"/>
        <item x="361"/>
        <item x="370"/>
        <item x="1415"/>
        <item x="1444"/>
        <item x="1493"/>
        <item x="415"/>
        <item x="277"/>
        <item x="1372"/>
        <item x="1352"/>
        <item x="183"/>
        <item x="602"/>
        <item x="263"/>
        <item x="159"/>
        <item x="1278"/>
        <item x="24"/>
        <item x="1228"/>
        <item x="271"/>
        <item x="470"/>
        <item x="1329"/>
        <item x="425"/>
        <item x="240"/>
        <item x="1044"/>
        <item x="245"/>
        <item x="1375"/>
        <item x="1376"/>
        <item x="609"/>
        <item x="503"/>
        <item x="918"/>
        <item x="1406"/>
        <item x="212"/>
        <item x="1392"/>
        <item x="1382"/>
        <item x="1322"/>
        <item x="1244"/>
        <item x="238"/>
        <item x="1323"/>
        <item x="625"/>
        <item x="13"/>
        <item x="646"/>
        <item x="447"/>
        <item x="92"/>
        <item x="301"/>
        <item x="434"/>
        <item x="1100"/>
        <item x="564"/>
        <item x="1182"/>
        <item x="57"/>
        <item x="797"/>
        <item x="604"/>
        <item x="273"/>
        <item x="560"/>
        <item x="167"/>
        <item x="1207"/>
        <item x="1021"/>
        <item x="1306"/>
        <item x="915"/>
        <item x="643"/>
        <item x="496"/>
        <item x="47"/>
        <item x="1491"/>
        <item t="default"/>
      </items>
    </pivotField>
    <pivotField showAll="0"/>
    <pivotField showAll="0"/>
    <pivotField showAll="0"/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4">
        <item x="0"/>
        <item x="1"/>
        <item x="2"/>
        <item t="default"/>
      </items>
    </pivotField>
    <pivotField showAll="0"/>
    <pivotField showAll="0"/>
    <pivotField showAll="0"/>
    <pivotField numFmtId="175"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showAll="0" defaultSubtotal="0"/>
    <pivotField showAll="0" defaultSubtotal="0">
      <items count="5">
        <item x="0"/>
        <item x="1"/>
        <item x="2"/>
        <item x="3"/>
        <item x="4"/>
      </items>
    </pivotField>
  </pivotFields>
  <rowFields count="1">
    <field x="10"/>
  </rowFields>
  <rowItems count="5">
    <i>
      <x/>
    </i>
    <i>
      <x v="1"/>
    </i>
    <i>
      <x v="2"/>
    </i>
    <i>
      <x v="3"/>
    </i>
    <i t="grand">
      <x/>
    </i>
  </rowItems>
  <colFields count="1">
    <field x="17"/>
  </colFields>
  <colItems count="4">
    <i>
      <x/>
    </i>
    <i>
      <x v="1"/>
    </i>
    <i>
      <x v="2"/>
    </i>
    <i t="grand">
      <x/>
    </i>
  </colItems>
  <dataFields count="1">
    <dataField name="Total Tickets" fld="17" subtotal="count" baseField="0" baseItem="0"/>
  </dataFields>
  <formats count="1">
    <format dxfId="16">
      <pivotArea outline="0" collapsedLevelsAreSubtotals="1" fieldPosition="0"/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76BD81-51B9-444A-8534-FD7DDB63D157}" name="support_tickets" displayName="support_tickets" ref="A1:V1501" totalsRowShown="0">
  <autoFilter ref="A1:V1501" xr:uid="{D3DB7475-84CC-4AD2-9A7E-F7D83D45EDA5}"/>
  <sortState xmlns:xlrd2="http://schemas.microsoft.com/office/spreadsheetml/2017/richdata2" ref="A2:V1501">
    <sortCondition ref="K1:K1501"/>
  </sortState>
  <tableColumns count="22">
    <tableColumn id="1" xr3:uid="{DD7D5601-1FC0-455C-8C30-7B11EA016870}" name="ticket_id"/>
    <tableColumn id="2" xr3:uid="{ECABE33C-9037-417E-92CF-10AD31E7A4E4}" name="customer_id"/>
    <tableColumn id="3" xr3:uid="{FCD6CEB6-C123-47E5-98CB-08C573C08C33}" name="customer_name"/>
    <tableColumn id="4" xr3:uid="{525DC3FB-1E32-4855-827D-C8E326CA28E8}" name="Email"/>
    <tableColumn id="5" xr3:uid="{A7FA8344-320D-40AC-B567-EB4D426D7E30}" name="agent_id"/>
    <tableColumn id="6" xr3:uid="{831BF9B0-0805-4ADE-BBB2-F5472EC14218}" name="order_id"/>
    <tableColumn id="7" xr3:uid="{3E441D27-E68B-4A7F-AB8E-1B91D028A243}" name="opened_at" dataDxfId="118"/>
    <tableColumn id="8" xr3:uid="{9AD0C317-BFCC-4705-A7DF-DF1BC6723855}" name="closed_at" dataDxfId="117"/>
    <tableColumn id="9" xr3:uid="{2D17BF27-0F77-41A0-A5F0-C3E203D52CCE}" name="channel"/>
    <tableColumn id="10" xr3:uid="{201BE99A-EC89-4FA3-AC5C-20321A69EF80}" name="issue_type"/>
    <tableColumn id="11" xr3:uid="{702C4EAE-170D-4387-9111-06F4BB9134F3}" name="priority"/>
    <tableColumn id="12" xr3:uid="{9FCA2736-C026-4971-B37A-B43735126743}" name="status"/>
    <tableColumn id="13" xr3:uid="{914AB50B-AE90-4AC4-A3E5-7272690ADAD5}" name="first_response_minutes"/>
    <tableColumn id="14" xr3:uid="{F6CBA2A1-EA2C-4589-B0C0-12940C682C0D}" name="resolution_minutes"/>
    <tableColumn id="15" xr3:uid="{2F99AE88-42D3-4816-8CB4-9CF4BB9E0AC9}" name="sla_breached_flag"/>
    <tableColumn id="16" xr3:uid="{B52C871E-073F-46CD-80C1-0F376D3EF855}" name="ticket_summary"/>
    <tableColumn id="17" xr3:uid="{B4F08661-315C-49C1-A179-D74992B03B73}" name="#"/>
    <tableColumn id="18" xr3:uid="{F79B47C1-3B95-4579-B140-C0D8D4DAC80B}" name="status_cleaned"/>
    <tableColumn id="19" xr3:uid="{F099159B-B9FC-422B-9FC4-7AAFD1117722}" name="is_closed" dataDxfId="116">
      <calculatedColumnFormula>IF(support_tickets[[#This Row],[status_cleaned]]="closed",1,0)</calculatedColumnFormula>
    </tableColumn>
    <tableColumn id="20" xr3:uid="{6C109274-C3C5-4EE1-920F-352F08D78B4D}" name="month_year" dataDxfId="103">
      <calculatedColumnFormula>TEXT(support_tickets[[#This Row],[opened_at]],"mmm yyyy")</calculatedColumnFormula>
    </tableColumn>
    <tableColumn id="21" xr3:uid="{2922BD07-D6EC-4642-A571-172C75CDE66D}" name="year_month_sort" dataDxfId="102">
      <calculatedColumnFormula>YEAR(support_tickets[[#This Row],[opened_at]])*100+MONTH(support_tickets[[#This Row],[opened_at]])</calculatedColumnFormula>
    </tableColumn>
    <tableColumn id="22" xr3:uid="{A082D94F-0167-4118-91C2-0B6061CB2DDD}" name="month_start" dataDxfId="101">
      <calculatedColumnFormula>DATE(YEAR(support_tickets[[#This Row],[opened_at]]),MONTH(support_tickets[[#This Row],[opened_at]]),1)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5926431-B6FB-432D-99EC-24C29C3A28E6}" name="Table4" displayName="Table4" ref="I3:L10" totalsRowShown="0" headerRowDxfId="108" headerRowBorderDxfId="113" tableBorderDxfId="114">
  <autoFilter ref="I3:L10" xr:uid="{9E59F54D-F8C3-4937-9534-1CD1135BA0AC}"/>
  <sortState xmlns:xlrd2="http://schemas.microsoft.com/office/spreadsheetml/2017/richdata2" ref="I4:L10">
    <sortCondition descending="1" ref="L3:L10"/>
  </sortState>
  <tableColumns count="4">
    <tableColumn id="1" xr3:uid="{6B359EC9-FC0C-4BAB-B821-83A3819BA8E1}" name="Channel" dataDxfId="112"/>
    <tableColumn id="2" xr3:uid="{DB13D76B-AAA1-4BED-966A-51BB804A613E}" name="Total Tickets" dataDxfId="111"/>
    <tableColumn id="3" xr3:uid="{A71966C7-FC63-4F6A-B395-FE7A00EFB463}" name="Closed" dataDxfId="110"/>
    <tableColumn id="4" xr3:uid="{F9B8CF9C-A85B-4886-A38B-B60818004B15}" name="Closure Rate" dataDxfId="109" dataCellStyle="Perc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5531EB0-B9A5-4E41-B846-0B3CA617E839}" name="Table5" displayName="Table5" ref="I14:L21" totalsRowShown="0" headerRowDxfId="42" headerRowBorderDxfId="41">
  <autoFilter ref="I14:L21" xr:uid="{E5531EB0-B9A5-4E41-B846-0B3CA617E839}"/>
  <tableColumns count="4">
    <tableColumn id="1" xr3:uid="{C9948201-64A9-4630-8ACE-C0B0E4422241}" name="Issue Type" dataDxfId="40"/>
    <tableColumn id="2" xr3:uid="{7F568B3E-1B31-4267-8656-58CBE14D6863}" name="Total Tickets" dataDxfId="39"/>
    <tableColumn id="3" xr3:uid="{DF2229A4-5519-4D58-B05A-46FF959C00B4}" name="Closed" dataDxfId="38"/>
    <tableColumn id="4" xr3:uid="{744242E3-6165-4338-9DED-0BC57CA0DF31}" name="Closure Rate" dataDxfId="37" dataCellStyle="Percent">
      <calculatedColumnFormula>K15/J15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3.xml"/><Relationship Id="rId5" Type="http://schemas.openxmlformats.org/officeDocument/2006/relationships/table" Target="../tables/table2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B7475-84CC-4AD2-9A7E-F7D83D45EDA5}">
  <dimension ref="A1:V1501"/>
  <sheetViews>
    <sheetView workbookViewId="0">
      <pane ySplit="1" topLeftCell="A2" activePane="bottomLeft" state="frozen"/>
      <selection pane="bottomLeft" activeCell="I88" sqref="A1:V1501"/>
    </sheetView>
  </sheetViews>
  <sheetFormatPr defaultRowHeight="15"/>
  <cols>
    <col min="1" max="1" width="11" bestFit="1" customWidth="1"/>
    <col min="2" max="2" width="14.140625" customWidth="1"/>
    <col min="3" max="3" width="24.42578125" bestFit="1" customWidth="1"/>
    <col min="4" max="4" width="34.7109375" bestFit="1" customWidth="1"/>
    <col min="5" max="5" width="10.85546875" customWidth="1"/>
    <col min="6" max="6" width="11" bestFit="1" customWidth="1"/>
    <col min="7" max="8" width="15.85546875" bestFit="1" customWidth="1"/>
    <col min="9" max="9" width="11.28515625" bestFit="1" customWidth="1"/>
    <col min="10" max="10" width="14.5703125" bestFit="1" customWidth="1"/>
    <col min="11" max="11" width="9.7109375" customWidth="1"/>
    <col min="12" max="12" width="17.5703125" bestFit="1" customWidth="1"/>
    <col min="13" max="13" width="24.140625" customWidth="1"/>
    <col min="14" max="14" width="20.5703125" customWidth="1"/>
    <col min="15" max="15" width="19.140625" customWidth="1"/>
    <col min="16" max="16" width="58" bestFit="1" customWidth="1"/>
    <col min="22" max="22" width="14.140625" bestFit="1" customWidth="1"/>
  </cols>
  <sheetData>
    <row r="1" spans="1:2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1588</v>
      </c>
      <c r="R1" t="s">
        <v>1606</v>
      </c>
      <c r="S1" t="s">
        <v>1628</v>
      </c>
      <c r="T1" t="s">
        <v>1630</v>
      </c>
      <c r="U1" t="s">
        <v>1631</v>
      </c>
      <c r="V1" t="s">
        <v>1632</v>
      </c>
    </row>
    <row r="2" spans="1:22">
      <c r="A2">
        <v>1029953578</v>
      </c>
      <c r="B2">
        <v>409883716</v>
      </c>
      <c r="C2" t="s">
        <v>35</v>
      </c>
      <c r="D2" t="s">
        <v>36</v>
      </c>
      <c r="E2">
        <v>84752529</v>
      </c>
      <c r="F2">
        <v>6361566970</v>
      </c>
      <c r="G2" s="1">
        <v>46042.829652777778</v>
      </c>
      <c r="H2" s="1">
        <v>46043.565069444441</v>
      </c>
      <c r="I2" t="s">
        <v>37</v>
      </c>
      <c r="J2" t="s">
        <v>38</v>
      </c>
      <c r="K2" t="s">
        <v>20</v>
      </c>
      <c r="L2" t="s">
        <v>39</v>
      </c>
      <c r="M2">
        <v>24</v>
      </c>
      <c r="N2">
        <v>1059</v>
      </c>
      <c r="O2">
        <v>0</v>
      </c>
      <c r="P2" t="s">
        <v>40</v>
      </c>
      <c r="Q2">
        <v>5</v>
      </c>
      <c r="R2" t="s">
        <v>39</v>
      </c>
      <c r="S2">
        <f>IF(support_tickets[[#This Row],[status_cleaned]]="closed",1,0)</f>
        <v>1</v>
      </c>
      <c r="T2" t="str">
        <f>TEXT(support_tickets[[#This Row],[opened_at]],"mmm yyyy")</f>
        <v>Jan 2026</v>
      </c>
      <c r="U2">
        <f>YEAR(support_tickets[[#This Row],[opened_at]])*100+MONTH(support_tickets[[#This Row],[opened_at]])</f>
        <v>202601</v>
      </c>
      <c r="V2" s="29">
        <f>DATE(YEAR(support_tickets[[#This Row],[opened_at]]),MONTH(support_tickets[[#This Row],[opened_at]]),1)</f>
        <v>46023</v>
      </c>
    </row>
    <row r="3" spans="1:22">
      <c r="A3">
        <v>1230504525</v>
      </c>
      <c r="B3">
        <v>625968839</v>
      </c>
      <c r="C3" t="s">
        <v>130</v>
      </c>
      <c r="D3" t="s">
        <v>131</v>
      </c>
      <c r="E3">
        <v>96977837</v>
      </c>
      <c r="G3" s="1">
        <v>45778.870462962965</v>
      </c>
      <c r="H3" s="1">
        <v>45779.686435185184</v>
      </c>
      <c r="I3" t="s">
        <v>18</v>
      </c>
      <c r="J3" t="s">
        <v>19</v>
      </c>
      <c r="K3" t="s">
        <v>20</v>
      </c>
      <c r="L3" t="s">
        <v>39</v>
      </c>
      <c r="M3">
        <v>59</v>
      </c>
      <c r="N3">
        <v>1175</v>
      </c>
      <c r="O3">
        <v>0</v>
      </c>
      <c r="P3" t="s">
        <v>22</v>
      </c>
      <c r="Q3">
        <v>44</v>
      </c>
      <c r="R3" t="s">
        <v>39</v>
      </c>
      <c r="S3">
        <f>IF(support_tickets[[#This Row],[status_cleaned]]="closed",1,0)</f>
        <v>1</v>
      </c>
      <c r="T3" t="str">
        <f>TEXT(support_tickets[[#This Row],[opened_at]],"mmm yyyy")</f>
        <v>May 2025</v>
      </c>
      <c r="U3">
        <f>YEAR(support_tickets[[#This Row],[opened_at]])*100+MONTH(support_tickets[[#This Row],[opened_at]])</f>
        <v>202505</v>
      </c>
      <c r="V3" s="29">
        <f>DATE(YEAR(support_tickets[[#This Row],[opened_at]]),MONTH(support_tickets[[#This Row],[opened_at]]),1)</f>
        <v>45778</v>
      </c>
    </row>
    <row r="4" spans="1:22">
      <c r="A4">
        <v>1585370448</v>
      </c>
      <c r="B4">
        <v>905196831</v>
      </c>
      <c r="C4" t="s">
        <v>234</v>
      </c>
      <c r="D4" t="s">
        <v>235</v>
      </c>
      <c r="E4">
        <v>45935572</v>
      </c>
      <c r="G4" s="1">
        <v>45913.427800925929</v>
      </c>
      <c r="H4" s="1">
        <v>45913.585439814815</v>
      </c>
      <c r="I4" t="s">
        <v>56</v>
      </c>
      <c r="J4" t="s">
        <v>86</v>
      </c>
      <c r="K4" t="s">
        <v>20</v>
      </c>
      <c r="L4" t="s">
        <v>39</v>
      </c>
      <c r="M4">
        <v>33</v>
      </c>
      <c r="N4">
        <v>227</v>
      </c>
      <c r="O4">
        <v>0</v>
      </c>
      <c r="P4" t="s">
        <v>87</v>
      </c>
      <c r="Q4">
        <v>102</v>
      </c>
      <c r="R4" t="s">
        <v>39</v>
      </c>
      <c r="S4">
        <f>IF(support_tickets[[#This Row],[status_cleaned]]="closed",1,0)</f>
        <v>1</v>
      </c>
      <c r="T4" t="str">
        <f>TEXT(support_tickets[[#This Row],[opened_at]],"mmm yyyy")</f>
        <v>Sep 2025</v>
      </c>
      <c r="U4">
        <f>YEAR(support_tickets[[#This Row],[opened_at]])*100+MONTH(support_tickets[[#This Row],[opened_at]])</f>
        <v>202509</v>
      </c>
      <c r="V4" s="29">
        <f>DATE(YEAR(support_tickets[[#This Row],[opened_at]]),MONTH(support_tickets[[#This Row],[opened_at]]),1)</f>
        <v>45901</v>
      </c>
    </row>
    <row r="5" spans="1:22">
      <c r="A5">
        <v>1632906836</v>
      </c>
      <c r="B5">
        <v>146744734</v>
      </c>
      <c r="C5" t="s">
        <v>254</v>
      </c>
      <c r="D5" t="s">
        <v>255</v>
      </c>
      <c r="E5">
        <v>86125617</v>
      </c>
      <c r="F5">
        <v>9853429656</v>
      </c>
      <c r="G5" s="1">
        <v>45786.757233796299</v>
      </c>
      <c r="H5" s="1">
        <v>45787.060011574074</v>
      </c>
      <c r="I5" t="s">
        <v>46</v>
      </c>
      <c r="J5" t="s">
        <v>59</v>
      </c>
      <c r="K5" t="s">
        <v>20</v>
      </c>
      <c r="L5" t="s">
        <v>39</v>
      </c>
      <c r="M5">
        <v>15</v>
      </c>
      <c r="N5">
        <v>436</v>
      </c>
      <c r="O5">
        <v>0</v>
      </c>
      <c r="P5" t="s">
        <v>61</v>
      </c>
      <c r="Q5">
        <v>114</v>
      </c>
      <c r="R5" t="s">
        <v>39</v>
      </c>
      <c r="S5">
        <f>IF(support_tickets[[#This Row],[status_cleaned]]="closed",1,0)</f>
        <v>1</v>
      </c>
      <c r="T5" t="str">
        <f>TEXT(support_tickets[[#This Row],[opened_at]],"mmm yyyy")</f>
        <v>May 2025</v>
      </c>
      <c r="U5">
        <f>YEAR(support_tickets[[#This Row],[opened_at]])*100+MONTH(support_tickets[[#This Row],[opened_at]])</f>
        <v>202505</v>
      </c>
      <c r="V5" s="29">
        <f>DATE(YEAR(support_tickets[[#This Row],[opened_at]]),MONTH(support_tickets[[#This Row],[opened_at]]),1)</f>
        <v>45778</v>
      </c>
    </row>
    <row r="6" spans="1:22">
      <c r="A6">
        <v>1742842974</v>
      </c>
      <c r="B6">
        <v>968704078</v>
      </c>
      <c r="C6" t="s">
        <v>244</v>
      </c>
      <c r="D6" t="s">
        <v>245</v>
      </c>
      <c r="E6">
        <v>60185867</v>
      </c>
      <c r="F6">
        <v>6511412632</v>
      </c>
      <c r="G6" s="1">
        <v>45862.783101851855</v>
      </c>
      <c r="H6" s="1">
        <v>45863.180324074077</v>
      </c>
      <c r="I6" t="s">
        <v>37</v>
      </c>
      <c r="J6" t="s">
        <v>59</v>
      </c>
      <c r="K6" t="s">
        <v>20</v>
      </c>
      <c r="L6" t="s">
        <v>39</v>
      </c>
      <c r="M6">
        <v>9</v>
      </c>
      <c r="N6">
        <v>572</v>
      </c>
      <c r="O6">
        <v>0</v>
      </c>
      <c r="P6" t="s">
        <v>61</v>
      </c>
      <c r="Q6">
        <v>137</v>
      </c>
      <c r="R6" t="s">
        <v>39</v>
      </c>
      <c r="S6">
        <f>IF(support_tickets[[#This Row],[status_cleaned]]="closed",1,0)</f>
        <v>1</v>
      </c>
      <c r="T6" t="str">
        <f>TEXT(support_tickets[[#This Row],[opened_at]],"mmm yyyy")</f>
        <v>Jul 2025</v>
      </c>
      <c r="U6">
        <f>YEAR(support_tickets[[#This Row],[opened_at]])*100+MONTH(support_tickets[[#This Row],[opened_at]])</f>
        <v>202507</v>
      </c>
      <c r="V6" s="29">
        <f>DATE(YEAR(support_tickets[[#This Row],[opened_at]]),MONTH(support_tickets[[#This Row],[opened_at]]),1)</f>
        <v>45839</v>
      </c>
    </row>
    <row r="7" spans="1:22">
      <c r="A7">
        <v>1746037541</v>
      </c>
      <c r="B7">
        <v>508226265</v>
      </c>
      <c r="C7" t="s">
        <v>298</v>
      </c>
      <c r="D7" t="s">
        <v>299</v>
      </c>
      <c r="E7">
        <v>30514014</v>
      </c>
      <c r="G7" s="1">
        <v>45695.631944444445</v>
      </c>
      <c r="H7" s="1">
        <v>45695.943749999999</v>
      </c>
      <c r="I7" t="s">
        <v>46</v>
      </c>
      <c r="J7" t="s">
        <v>25</v>
      </c>
      <c r="K7" t="s">
        <v>20</v>
      </c>
      <c r="L7" t="s">
        <v>39</v>
      </c>
      <c r="M7">
        <v>29</v>
      </c>
      <c r="N7">
        <v>449</v>
      </c>
      <c r="O7">
        <v>0</v>
      </c>
      <c r="P7" t="s">
        <v>27</v>
      </c>
      <c r="Q7">
        <v>139</v>
      </c>
      <c r="R7" t="s">
        <v>39</v>
      </c>
      <c r="S7">
        <f>IF(support_tickets[[#This Row],[status_cleaned]]="closed",1,0)</f>
        <v>1</v>
      </c>
      <c r="T7" t="str">
        <f>TEXT(support_tickets[[#This Row],[opened_at]],"mmm yyyy")</f>
        <v>Feb 2025</v>
      </c>
      <c r="U7">
        <f>YEAR(support_tickets[[#This Row],[opened_at]])*100+MONTH(support_tickets[[#This Row],[opened_at]])</f>
        <v>202502</v>
      </c>
      <c r="V7" s="29">
        <f>DATE(YEAR(support_tickets[[#This Row],[opened_at]]),MONTH(support_tickets[[#This Row],[opened_at]]),1)</f>
        <v>45689</v>
      </c>
    </row>
    <row r="8" spans="1:22">
      <c r="A8">
        <v>1756187935</v>
      </c>
      <c r="B8">
        <v>492566853</v>
      </c>
      <c r="C8" t="s">
        <v>306</v>
      </c>
      <c r="D8" t="s">
        <v>307</v>
      </c>
      <c r="E8">
        <v>66629388</v>
      </c>
      <c r="G8" s="1">
        <v>45362.360821759263</v>
      </c>
      <c r="H8" s="1">
        <v>45362.583738425928</v>
      </c>
      <c r="I8" t="s">
        <v>56</v>
      </c>
      <c r="J8" t="s">
        <v>25</v>
      </c>
      <c r="K8" t="s">
        <v>20</v>
      </c>
      <c r="L8" t="s">
        <v>39</v>
      </c>
      <c r="M8">
        <v>55</v>
      </c>
      <c r="N8">
        <v>321</v>
      </c>
      <c r="O8">
        <v>0</v>
      </c>
      <c r="P8" t="s">
        <v>27</v>
      </c>
      <c r="Q8">
        <v>143</v>
      </c>
      <c r="R8" t="s">
        <v>39</v>
      </c>
      <c r="S8">
        <f>IF(support_tickets[[#This Row],[status_cleaned]]="closed",1,0)</f>
        <v>1</v>
      </c>
      <c r="T8" t="str">
        <f>TEXT(support_tickets[[#This Row],[opened_at]],"mmm yyyy")</f>
        <v>Mar 2024</v>
      </c>
      <c r="U8">
        <f>YEAR(support_tickets[[#This Row],[opened_at]])*100+MONTH(support_tickets[[#This Row],[opened_at]])</f>
        <v>202403</v>
      </c>
      <c r="V8" s="29">
        <f>DATE(YEAR(support_tickets[[#This Row],[opened_at]]),MONTH(support_tickets[[#This Row],[opened_at]]),1)</f>
        <v>45352</v>
      </c>
    </row>
    <row r="9" spans="1:22">
      <c r="A9">
        <v>1797308582</v>
      </c>
      <c r="B9">
        <v>264752975</v>
      </c>
      <c r="C9" t="s">
        <v>326</v>
      </c>
      <c r="D9" t="s">
        <v>327</v>
      </c>
      <c r="E9">
        <v>97971488</v>
      </c>
      <c r="F9">
        <v>3203512161</v>
      </c>
      <c r="G9" s="1">
        <v>45631.736203703702</v>
      </c>
      <c r="H9" s="1">
        <v>45632.092453703706</v>
      </c>
      <c r="I9" t="s">
        <v>52</v>
      </c>
      <c r="J9" t="s">
        <v>86</v>
      </c>
      <c r="K9" t="s">
        <v>20</v>
      </c>
      <c r="L9" t="s">
        <v>39</v>
      </c>
      <c r="M9">
        <v>78</v>
      </c>
      <c r="N9">
        <v>513</v>
      </c>
      <c r="O9">
        <v>0</v>
      </c>
      <c r="P9" t="s">
        <v>87</v>
      </c>
      <c r="Q9">
        <v>155</v>
      </c>
      <c r="R9" t="s">
        <v>39</v>
      </c>
      <c r="S9">
        <f>IF(support_tickets[[#This Row],[status_cleaned]]="closed",1,0)</f>
        <v>1</v>
      </c>
      <c r="T9" t="str">
        <f>TEXT(support_tickets[[#This Row],[opened_at]],"mmm yyyy")</f>
        <v>Dec 2024</v>
      </c>
      <c r="U9">
        <f>YEAR(support_tickets[[#This Row],[opened_at]])*100+MONTH(support_tickets[[#This Row],[opened_at]])</f>
        <v>202412</v>
      </c>
      <c r="V9" s="29">
        <f>DATE(YEAR(support_tickets[[#This Row],[opened_at]]),MONTH(support_tickets[[#This Row],[opened_at]]),1)</f>
        <v>45627</v>
      </c>
    </row>
    <row r="10" spans="1:22">
      <c r="A10">
        <v>1820561513</v>
      </c>
      <c r="B10">
        <v>464037804</v>
      </c>
      <c r="C10" t="s">
        <v>334</v>
      </c>
      <c r="D10" t="s">
        <v>335</v>
      </c>
      <c r="E10">
        <v>32162965</v>
      </c>
      <c r="G10" s="1">
        <v>46088.472430555557</v>
      </c>
      <c r="H10" s="1">
        <v>46088.726597222223</v>
      </c>
      <c r="I10" t="s">
        <v>18</v>
      </c>
      <c r="J10" t="s">
        <v>25</v>
      </c>
      <c r="K10" t="s">
        <v>20</v>
      </c>
      <c r="L10" t="s">
        <v>39</v>
      </c>
      <c r="M10">
        <v>61</v>
      </c>
      <c r="N10">
        <v>366</v>
      </c>
      <c r="O10">
        <v>0</v>
      </c>
      <c r="P10" t="s">
        <v>27</v>
      </c>
      <c r="Q10">
        <v>161</v>
      </c>
      <c r="R10" t="s">
        <v>39</v>
      </c>
      <c r="S10">
        <f>IF(support_tickets[[#This Row],[status_cleaned]]="closed",1,0)</f>
        <v>1</v>
      </c>
      <c r="T10" t="str">
        <f>TEXT(support_tickets[[#This Row],[opened_at]],"mmm yyyy")</f>
        <v>Mar 2026</v>
      </c>
      <c r="U10">
        <f>YEAR(support_tickets[[#This Row],[opened_at]])*100+MONTH(support_tickets[[#This Row],[opened_at]])</f>
        <v>202603</v>
      </c>
      <c r="V10" s="29">
        <f>DATE(YEAR(support_tickets[[#This Row],[opened_at]]),MONTH(support_tickets[[#This Row],[opened_at]]),1)</f>
        <v>46082</v>
      </c>
    </row>
    <row r="11" spans="1:22">
      <c r="A11">
        <v>1826474162</v>
      </c>
      <c r="B11">
        <v>845156039</v>
      </c>
      <c r="C11" t="s">
        <v>336</v>
      </c>
      <c r="D11" t="s">
        <v>337</v>
      </c>
      <c r="E11">
        <v>76238574</v>
      </c>
      <c r="G11" s="1">
        <v>45682.425740740742</v>
      </c>
      <c r="H11" s="1">
        <v>45682.962546296294</v>
      </c>
      <c r="I11" t="s">
        <v>18</v>
      </c>
      <c r="J11" t="s">
        <v>38</v>
      </c>
      <c r="K11" t="s">
        <v>20</v>
      </c>
      <c r="L11" t="s">
        <v>39</v>
      </c>
      <c r="M11">
        <v>37</v>
      </c>
      <c r="N11">
        <v>773</v>
      </c>
      <c r="O11">
        <v>0</v>
      </c>
      <c r="P11" t="s">
        <v>40</v>
      </c>
      <c r="Q11">
        <v>162</v>
      </c>
      <c r="R11" t="s">
        <v>39</v>
      </c>
      <c r="S11">
        <f>IF(support_tickets[[#This Row],[status_cleaned]]="closed",1,0)</f>
        <v>1</v>
      </c>
      <c r="T11" t="str">
        <f>TEXT(support_tickets[[#This Row],[opened_at]],"mmm yyyy")</f>
        <v>Jan 2025</v>
      </c>
      <c r="U11">
        <f>YEAR(support_tickets[[#This Row],[opened_at]])*100+MONTH(support_tickets[[#This Row],[opened_at]])</f>
        <v>202501</v>
      </c>
      <c r="V11" s="29">
        <f>DATE(YEAR(support_tickets[[#This Row],[opened_at]]),MONTH(support_tickets[[#This Row],[opened_at]]),1)</f>
        <v>45658</v>
      </c>
    </row>
    <row r="12" spans="1:22">
      <c r="A12">
        <v>1898520373</v>
      </c>
      <c r="B12">
        <v>196689473</v>
      </c>
      <c r="C12" t="s">
        <v>358</v>
      </c>
      <c r="D12" t="s">
        <v>359</v>
      </c>
      <c r="E12">
        <v>66722344</v>
      </c>
      <c r="G12" s="1">
        <v>45311.154861111114</v>
      </c>
      <c r="H12" s="1">
        <v>45311.294444444444</v>
      </c>
      <c r="I12" t="s">
        <v>56</v>
      </c>
      <c r="J12" t="s">
        <v>86</v>
      </c>
      <c r="K12" t="s">
        <v>20</v>
      </c>
      <c r="L12" t="s">
        <v>39</v>
      </c>
      <c r="M12">
        <v>12</v>
      </c>
      <c r="N12">
        <v>201</v>
      </c>
      <c r="O12">
        <v>0</v>
      </c>
      <c r="P12" t="s">
        <v>87</v>
      </c>
      <c r="Q12">
        <v>178</v>
      </c>
      <c r="R12" t="s">
        <v>39</v>
      </c>
      <c r="S12">
        <f>IF(support_tickets[[#This Row],[status_cleaned]]="closed",1,0)</f>
        <v>1</v>
      </c>
      <c r="T12" t="str">
        <f>TEXT(support_tickets[[#This Row],[opened_at]],"mmm yyyy")</f>
        <v>Jan 2024</v>
      </c>
      <c r="U12">
        <f>YEAR(support_tickets[[#This Row],[opened_at]])*100+MONTH(support_tickets[[#This Row],[opened_at]])</f>
        <v>202401</v>
      </c>
      <c r="V12" s="29">
        <f>DATE(YEAR(support_tickets[[#This Row],[opened_at]]),MONTH(support_tickets[[#This Row],[opened_at]]),1)</f>
        <v>45292</v>
      </c>
    </row>
    <row r="13" spans="1:22">
      <c r="A13">
        <v>1907415046</v>
      </c>
      <c r="B13">
        <v>945432844</v>
      </c>
      <c r="C13" t="s">
        <v>360</v>
      </c>
      <c r="D13" t="s">
        <v>361</v>
      </c>
      <c r="E13">
        <v>63606628</v>
      </c>
      <c r="G13" s="1">
        <v>45936.124942129631</v>
      </c>
      <c r="H13" s="1">
        <v>45936.213831018518</v>
      </c>
      <c r="I13" t="s">
        <v>18</v>
      </c>
      <c r="J13" t="s">
        <v>59</v>
      </c>
      <c r="K13" t="s">
        <v>20</v>
      </c>
      <c r="L13" t="s">
        <v>39</v>
      </c>
      <c r="M13">
        <v>17</v>
      </c>
      <c r="N13">
        <v>128</v>
      </c>
      <c r="O13">
        <v>0</v>
      </c>
      <c r="P13" t="s">
        <v>61</v>
      </c>
      <c r="Q13">
        <v>179</v>
      </c>
      <c r="R13" t="s">
        <v>39</v>
      </c>
      <c r="S13">
        <f>IF(support_tickets[[#This Row],[status_cleaned]]="closed",1,0)</f>
        <v>1</v>
      </c>
      <c r="T13" t="str">
        <f>TEXT(support_tickets[[#This Row],[opened_at]],"mmm yyyy")</f>
        <v>Oct 2025</v>
      </c>
      <c r="U13">
        <f>YEAR(support_tickets[[#This Row],[opened_at]])*100+MONTH(support_tickets[[#This Row],[opened_at]])</f>
        <v>202510</v>
      </c>
      <c r="V13" s="29">
        <f>DATE(YEAR(support_tickets[[#This Row],[opened_at]]),MONTH(support_tickets[[#This Row],[opened_at]]),1)</f>
        <v>45931</v>
      </c>
    </row>
    <row r="14" spans="1:22">
      <c r="A14">
        <v>2004047906</v>
      </c>
      <c r="B14">
        <v>258214411</v>
      </c>
      <c r="C14" t="s">
        <v>394</v>
      </c>
      <c r="D14" t="s">
        <v>395</v>
      </c>
      <c r="E14">
        <v>91030736</v>
      </c>
      <c r="G14" s="1">
        <v>45532.060995370368</v>
      </c>
      <c r="H14" s="1">
        <v>45532.232523148145</v>
      </c>
      <c r="I14" t="s">
        <v>37</v>
      </c>
      <c r="J14" t="s">
        <v>30</v>
      </c>
      <c r="K14" t="s">
        <v>20</v>
      </c>
      <c r="L14" t="s">
        <v>39</v>
      </c>
      <c r="M14">
        <v>28</v>
      </c>
      <c r="N14">
        <v>247</v>
      </c>
      <c r="O14">
        <v>0</v>
      </c>
      <c r="P14" t="s">
        <v>31</v>
      </c>
      <c r="Q14">
        <v>198</v>
      </c>
      <c r="R14" t="s">
        <v>39</v>
      </c>
      <c r="S14">
        <f>IF(support_tickets[[#This Row],[status_cleaned]]="closed",1,0)</f>
        <v>1</v>
      </c>
      <c r="T14" t="str">
        <f>TEXT(support_tickets[[#This Row],[opened_at]],"mmm yyyy")</f>
        <v>Aug 2024</v>
      </c>
      <c r="U14">
        <f>YEAR(support_tickets[[#This Row],[opened_at]])*100+MONTH(support_tickets[[#This Row],[opened_at]])</f>
        <v>202408</v>
      </c>
      <c r="V14" s="29">
        <f>DATE(YEAR(support_tickets[[#This Row],[opened_at]]),MONTH(support_tickets[[#This Row],[opened_at]]),1)</f>
        <v>45505</v>
      </c>
    </row>
    <row r="15" spans="1:22">
      <c r="A15">
        <v>2052559186</v>
      </c>
      <c r="B15">
        <v>797889971</v>
      </c>
      <c r="C15" t="s">
        <v>136</v>
      </c>
      <c r="D15" t="s">
        <v>137</v>
      </c>
      <c r="E15">
        <v>82383095</v>
      </c>
      <c r="G15" s="1">
        <v>45812.821238425924</v>
      </c>
      <c r="H15" s="1">
        <v>45813.315682870372</v>
      </c>
      <c r="I15" t="s">
        <v>43</v>
      </c>
      <c r="J15" t="s">
        <v>59</v>
      </c>
      <c r="K15" t="s">
        <v>20</v>
      </c>
      <c r="L15" t="s">
        <v>39</v>
      </c>
      <c r="M15">
        <v>49</v>
      </c>
      <c r="N15">
        <v>712</v>
      </c>
      <c r="O15">
        <v>0</v>
      </c>
      <c r="P15" t="s">
        <v>61</v>
      </c>
      <c r="Q15">
        <v>203</v>
      </c>
      <c r="R15" t="s">
        <v>39</v>
      </c>
      <c r="S15">
        <f>IF(support_tickets[[#This Row],[status_cleaned]]="closed",1,0)</f>
        <v>1</v>
      </c>
      <c r="T15" t="str">
        <f>TEXT(support_tickets[[#This Row],[opened_at]],"mmm yyyy")</f>
        <v>Jun 2025</v>
      </c>
      <c r="U15">
        <f>YEAR(support_tickets[[#This Row],[opened_at]])*100+MONTH(support_tickets[[#This Row],[opened_at]])</f>
        <v>202506</v>
      </c>
      <c r="V15" s="29">
        <f>DATE(YEAR(support_tickets[[#This Row],[opened_at]]),MONTH(support_tickets[[#This Row],[opened_at]]),1)</f>
        <v>45809</v>
      </c>
    </row>
    <row r="16" spans="1:22">
      <c r="A16">
        <v>2174789396</v>
      </c>
      <c r="B16">
        <v>139711044</v>
      </c>
      <c r="C16" t="s">
        <v>154</v>
      </c>
      <c r="D16" t="s">
        <v>155</v>
      </c>
      <c r="E16">
        <v>31831063</v>
      </c>
      <c r="F16">
        <v>4329701564</v>
      </c>
      <c r="G16" s="1">
        <v>45583.795995370368</v>
      </c>
      <c r="H16" s="1">
        <v>45584.116828703707</v>
      </c>
      <c r="I16" t="s">
        <v>37</v>
      </c>
      <c r="J16" t="s">
        <v>38</v>
      </c>
      <c r="K16" t="s">
        <v>20</v>
      </c>
      <c r="L16" t="s">
        <v>39</v>
      </c>
      <c r="M16">
        <v>12</v>
      </c>
      <c r="N16">
        <v>462</v>
      </c>
      <c r="O16">
        <v>0</v>
      </c>
      <c r="P16" t="s">
        <v>40</v>
      </c>
      <c r="Q16">
        <v>218</v>
      </c>
      <c r="R16" t="s">
        <v>39</v>
      </c>
      <c r="S16">
        <f>IF(support_tickets[[#This Row],[status_cleaned]]="closed",1,0)</f>
        <v>1</v>
      </c>
      <c r="T16" t="str">
        <f>TEXT(support_tickets[[#This Row],[opened_at]],"mmm yyyy")</f>
        <v>Oct 2024</v>
      </c>
      <c r="U16">
        <f>YEAR(support_tickets[[#This Row],[opened_at]])*100+MONTH(support_tickets[[#This Row],[opened_at]])</f>
        <v>202410</v>
      </c>
      <c r="V16" s="29">
        <f>DATE(YEAR(support_tickets[[#This Row],[opened_at]]),MONTH(support_tickets[[#This Row],[opened_at]]),1)</f>
        <v>45566</v>
      </c>
    </row>
    <row r="17" spans="1:22">
      <c r="A17">
        <v>2235685421</v>
      </c>
      <c r="B17">
        <v>829137330</v>
      </c>
      <c r="C17" t="s">
        <v>376</v>
      </c>
      <c r="D17" t="s">
        <v>377</v>
      </c>
      <c r="E17">
        <v>86125617</v>
      </c>
      <c r="F17">
        <v>2185183112</v>
      </c>
      <c r="G17" s="1">
        <v>45298.494328703702</v>
      </c>
      <c r="H17" s="1">
        <v>45298.720023148147</v>
      </c>
      <c r="I17" t="s">
        <v>56</v>
      </c>
      <c r="J17" t="s">
        <v>59</v>
      </c>
      <c r="K17" t="s">
        <v>20</v>
      </c>
      <c r="L17" t="s">
        <v>39</v>
      </c>
      <c r="M17">
        <v>23</v>
      </c>
      <c r="N17">
        <v>325</v>
      </c>
      <c r="O17">
        <v>0</v>
      </c>
      <c r="P17" t="s">
        <v>61</v>
      </c>
      <c r="Q17">
        <v>227</v>
      </c>
      <c r="R17" t="s">
        <v>39</v>
      </c>
      <c r="S17">
        <f>IF(support_tickets[[#This Row],[status_cleaned]]="closed",1,0)</f>
        <v>1</v>
      </c>
      <c r="T17" t="str">
        <f>TEXT(support_tickets[[#This Row],[opened_at]],"mmm yyyy")</f>
        <v>Jan 2024</v>
      </c>
      <c r="U17">
        <f>YEAR(support_tickets[[#This Row],[opened_at]])*100+MONTH(support_tickets[[#This Row],[opened_at]])</f>
        <v>202401</v>
      </c>
      <c r="V17" s="29">
        <f>DATE(YEAR(support_tickets[[#This Row],[opened_at]]),MONTH(support_tickets[[#This Row],[opened_at]]),1)</f>
        <v>45292</v>
      </c>
    </row>
    <row r="18" spans="1:22">
      <c r="A18">
        <v>2255494061</v>
      </c>
      <c r="B18">
        <v>986485022</v>
      </c>
      <c r="C18" t="s">
        <v>264</v>
      </c>
      <c r="D18" t="s">
        <v>265</v>
      </c>
      <c r="E18">
        <v>83793389</v>
      </c>
      <c r="G18" s="1">
        <v>45598.453599537039</v>
      </c>
      <c r="H18" s="1">
        <v>45598.849432870367</v>
      </c>
      <c r="I18" t="s">
        <v>56</v>
      </c>
      <c r="J18" t="s">
        <v>19</v>
      </c>
      <c r="K18" t="s">
        <v>20</v>
      </c>
      <c r="L18" t="s">
        <v>39</v>
      </c>
      <c r="M18">
        <v>14</v>
      </c>
      <c r="N18">
        <v>570</v>
      </c>
      <c r="O18">
        <v>0</v>
      </c>
      <c r="P18" t="s">
        <v>22</v>
      </c>
      <c r="Q18">
        <v>231</v>
      </c>
      <c r="R18" t="s">
        <v>39</v>
      </c>
      <c r="S18">
        <f>IF(support_tickets[[#This Row],[status_cleaned]]="closed",1,0)</f>
        <v>1</v>
      </c>
      <c r="T18" t="str">
        <f>TEXT(support_tickets[[#This Row],[opened_at]],"mmm yyyy")</f>
        <v>Nov 2024</v>
      </c>
      <c r="U18">
        <f>YEAR(support_tickets[[#This Row],[opened_at]])*100+MONTH(support_tickets[[#This Row],[opened_at]])</f>
        <v>202411</v>
      </c>
      <c r="V18" s="29">
        <f>DATE(YEAR(support_tickets[[#This Row],[opened_at]]),MONTH(support_tickets[[#This Row],[opened_at]]),1)</f>
        <v>45597</v>
      </c>
    </row>
    <row r="19" spans="1:22">
      <c r="A19">
        <v>2407633783</v>
      </c>
      <c r="B19">
        <v>543412542</v>
      </c>
      <c r="C19" t="s">
        <v>484</v>
      </c>
      <c r="D19" t="s">
        <v>485</v>
      </c>
      <c r="E19">
        <v>76238574</v>
      </c>
      <c r="F19">
        <v>3478872199</v>
      </c>
      <c r="G19" s="1">
        <v>45759.694525462961</v>
      </c>
      <c r="H19" s="1">
        <v>45759.993831018517</v>
      </c>
      <c r="I19" t="s">
        <v>56</v>
      </c>
      <c r="J19" t="s">
        <v>59</v>
      </c>
      <c r="K19" t="s">
        <v>20</v>
      </c>
      <c r="L19" t="s">
        <v>39</v>
      </c>
      <c r="M19">
        <v>71</v>
      </c>
      <c r="N19">
        <v>431</v>
      </c>
      <c r="O19">
        <v>0</v>
      </c>
      <c r="P19" t="s">
        <v>61</v>
      </c>
      <c r="Q19">
        <v>257</v>
      </c>
      <c r="R19" t="s">
        <v>39</v>
      </c>
      <c r="S19">
        <f>IF(support_tickets[[#This Row],[status_cleaned]]="closed",1,0)</f>
        <v>1</v>
      </c>
      <c r="T19" t="str">
        <f>TEXT(support_tickets[[#This Row],[opened_at]],"mmm yyyy")</f>
        <v>Apr 2025</v>
      </c>
      <c r="U19">
        <f>YEAR(support_tickets[[#This Row],[opened_at]])*100+MONTH(support_tickets[[#This Row],[opened_at]])</f>
        <v>202504</v>
      </c>
      <c r="V19" s="29">
        <f>DATE(YEAR(support_tickets[[#This Row],[opened_at]]),MONTH(support_tickets[[#This Row],[opened_at]]),1)</f>
        <v>45748</v>
      </c>
    </row>
    <row r="20" spans="1:22">
      <c r="A20">
        <v>2470258460</v>
      </c>
      <c r="B20">
        <v>569948247</v>
      </c>
      <c r="C20" t="s">
        <v>498</v>
      </c>
      <c r="D20" t="s">
        <v>499</v>
      </c>
      <c r="E20">
        <v>27232410</v>
      </c>
      <c r="G20" s="1">
        <v>46111.109699074077</v>
      </c>
      <c r="H20" s="1">
        <v>46111.495810185188</v>
      </c>
      <c r="I20" t="s">
        <v>3</v>
      </c>
      <c r="J20" t="s">
        <v>19</v>
      </c>
      <c r="K20" t="s">
        <v>20</v>
      </c>
      <c r="L20" t="s">
        <v>39</v>
      </c>
      <c r="M20">
        <v>39</v>
      </c>
      <c r="N20">
        <v>556</v>
      </c>
      <c r="O20">
        <v>0</v>
      </c>
      <c r="P20" t="s">
        <v>22</v>
      </c>
      <c r="Q20">
        <v>268</v>
      </c>
      <c r="R20" t="s">
        <v>39</v>
      </c>
      <c r="S20">
        <f>IF(support_tickets[[#This Row],[status_cleaned]]="closed",1,0)</f>
        <v>1</v>
      </c>
      <c r="T20" t="str">
        <f>TEXT(support_tickets[[#This Row],[opened_at]],"mmm yyyy")</f>
        <v>Mar 2026</v>
      </c>
      <c r="U20">
        <f>YEAR(support_tickets[[#This Row],[opened_at]])*100+MONTH(support_tickets[[#This Row],[opened_at]])</f>
        <v>202603</v>
      </c>
      <c r="V20" s="29">
        <f>DATE(YEAR(support_tickets[[#This Row],[opened_at]]),MONTH(support_tickets[[#This Row],[opened_at]]),1)</f>
        <v>46082</v>
      </c>
    </row>
    <row r="21" spans="1:22">
      <c r="A21">
        <v>2991491982</v>
      </c>
      <c r="B21">
        <v>492750748</v>
      </c>
      <c r="C21" t="s">
        <v>630</v>
      </c>
      <c r="D21" t="s">
        <v>631</v>
      </c>
      <c r="E21">
        <v>88320463</v>
      </c>
      <c r="G21" s="1">
        <v>46106.156944444447</v>
      </c>
      <c r="H21" s="1">
        <v>46106.586805555555</v>
      </c>
      <c r="I21" t="s">
        <v>3</v>
      </c>
      <c r="J21" t="s">
        <v>86</v>
      </c>
      <c r="K21" t="s">
        <v>20</v>
      </c>
      <c r="L21" t="s">
        <v>39</v>
      </c>
      <c r="M21">
        <v>4</v>
      </c>
      <c r="N21">
        <v>619</v>
      </c>
      <c r="O21">
        <v>0</v>
      </c>
      <c r="P21" t="s">
        <v>87</v>
      </c>
      <c r="Q21">
        <v>361</v>
      </c>
      <c r="R21" t="s">
        <v>39</v>
      </c>
      <c r="S21">
        <f>IF(support_tickets[[#This Row],[status_cleaned]]="closed",1,0)</f>
        <v>1</v>
      </c>
      <c r="T21" t="str">
        <f>TEXT(support_tickets[[#This Row],[opened_at]],"mmm yyyy")</f>
        <v>Mar 2026</v>
      </c>
      <c r="U21">
        <f>YEAR(support_tickets[[#This Row],[opened_at]])*100+MONTH(support_tickets[[#This Row],[opened_at]])</f>
        <v>202603</v>
      </c>
      <c r="V21" s="29">
        <f>DATE(YEAR(support_tickets[[#This Row],[opened_at]]),MONTH(support_tickets[[#This Row],[opened_at]]),1)</f>
        <v>46082</v>
      </c>
    </row>
    <row r="22" spans="1:22">
      <c r="A22">
        <v>3025574993</v>
      </c>
      <c r="B22">
        <v>990949719</v>
      </c>
      <c r="C22" t="s">
        <v>636</v>
      </c>
      <c r="D22" t="s">
        <v>637</v>
      </c>
      <c r="E22">
        <v>81182864</v>
      </c>
      <c r="G22" s="1">
        <v>45883.309849537036</v>
      </c>
      <c r="H22" s="1">
        <v>45883.491793981484</v>
      </c>
      <c r="I22" t="s">
        <v>43</v>
      </c>
      <c r="J22" t="s">
        <v>86</v>
      </c>
      <c r="K22" t="s">
        <v>20</v>
      </c>
      <c r="L22" t="s">
        <v>39</v>
      </c>
      <c r="M22">
        <v>26</v>
      </c>
      <c r="N22">
        <v>262</v>
      </c>
      <c r="O22">
        <v>0</v>
      </c>
      <c r="P22" t="s">
        <v>87</v>
      </c>
      <c r="Q22">
        <v>366</v>
      </c>
      <c r="R22" t="s">
        <v>39</v>
      </c>
      <c r="S22">
        <f>IF(support_tickets[[#This Row],[status_cleaned]]="closed",1,0)</f>
        <v>1</v>
      </c>
      <c r="T22" t="str">
        <f>TEXT(support_tickets[[#This Row],[opened_at]],"mmm yyyy")</f>
        <v>Aug 2025</v>
      </c>
      <c r="U22">
        <f>YEAR(support_tickets[[#This Row],[opened_at]])*100+MONTH(support_tickets[[#This Row],[opened_at]])</f>
        <v>202508</v>
      </c>
      <c r="V22" s="29">
        <f>DATE(YEAR(support_tickets[[#This Row],[opened_at]]),MONTH(support_tickets[[#This Row],[opened_at]]),1)</f>
        <v>45870</v>
      </c>
    </row>
    <row r="23" spans="1:22">
      <c r="A23">
        <v>3028519189</v>
      </c>
      <c r="B23">
        <v>588529624</v>
      </c>
      <c r="C23" t="s">
        <v>150</v>
      </c>
      <c r="D23" t="s">
        <v>151</v>
      </c>
      <c r="E23">
        <v>75579548</v>
      </c>
      <c r="F23">
        <v>8974804213</v>
      </c>
      <c r="G23" s="1">
        <v>45964.432314814818</v>
      </c>
      <c r="H23" s="1">
        <v>45964.641342592593</v>
      </c>
      <c r="I23" t="s">
        <v>37</v>
      </c>
      <c r="J23" t="s">
        <v>38</v>
      </c>
      <c r="K23" t="s">
        <v>20</v>
      </c>
      <c r="L23" t="s">
        <v>39</v>
      </c>
      <c r="M23">
        <v>14</v>
      </c>
      <c r="N23">
        <v>301</v>
      </c>
      <c r="O23">
        <v>0</v>
      </c>
      <c r="P23" t="s">
        <v>40</v>
      </c>
      <c r="Q23">
        <v>368</v>
      </c>
      <c r="R23" t="s">
        <v>39</v>
      </c>
      <c r="S23">
        <f>IF(support_tickets[[#This Row],[status_cleaned]]="closed",1,0)</f>
        <v>1</v>
      </c>
      <c r="T23" t="str">
        <f>TEXT(support_tickets[[#This Row],[opened_at]],"mmm yyyy")</f>
        <v>Nov 2025</v>
      </c>
      <c r="U23">
        <f>YEAR(support_tickets[[#This Row],[opened_at]])*100+MONTH(support_tickets[[#This Row],[opened_at]])</f>
        <v>202511</v>
      </c>
      <c r="V23" s="29">
        <f>DATE(YEAR(support_tickets[[#This Row],[opened_at]]),MONTH(support_tickets[[#This Row],[opened_at]]),1)</f>
        <v>45962</v>
      </c>
    </row>
    <row r="24" spans="1:22">
      <c r="A24">
        <v>3036954255</v>
      </c>
      <c r="B24">
        <v>801038300</v>
      </c>
      <c r="C24" t="s">
        <v>640</v>
      </c>
      <c r="D24" t="s">
        <v>641</v>
      </c>
      <c r="E24">
        <v>53524491</v>
      </c>
      <c r="G24" s="1">
        <v>45513.428912037038</v>
      </c>
      <c r="H24" s="1">
        <v>45513.71502314815</v>
      </c>
      <c r="I24" t="s">
        <v>46</v>
      </c>
      <c r="J24" t="s">
        <v>19</v>
      </c>
      <c r="K24" t="s">
        <v>20</v>
      </c>
      <c r="L24" t="s">
        <v>39</v>
      </c>
      <c r="M24">
        <v>38</v>
      </c>
      <c r="N24">
        <v>412</v>
      </c>
      <c r="O24">
        <v>0</v>
      </c>
      <c r="P24" t="s">
        <v>22</v>
      </c>
      <c r="Q24">
        <v>369</v>
      </c>
      <c r="R24" t="s">
        <v>39</v>
      </c>
      <c r="S24">
        <f>IF(support_tickets[[#This Row],[status_cleaned]]="closed",1,0)</f>
        <v>1</v>
      </c>
      <c r="T24" t="str">
        <f>TEXT(support_tickets[[#This Row],[opened_at]],"mmm yyyy")</f>
        <v>Aug 2024</v>
      </c>
      <c r="U24">
        <f>YEAR(support_tickets[[#This Row],[opened_at]])*100+MONTH(support_tickets[[#This Row],[opened_at]])</f>
        <v>202408</v>
      </c>
      <c r="V24" s="29">
        <f>DATE(YEAR(support_tickets[[#This Row],[opened_at]]),MONTH(support_tickets[[#This Row],[opened_at]]),1)</f>
        <v>45505</v>
      </c>
    </row>
    <row r="25" spans="1:22">
      <c r="A25">
        <v>3119212740</v>
      </c>
      <c r="B25">
        <v>938422254</v>
      </c>
      <c r="C25" t="s">
        <v>662</v>
      </c>
      <c r="D25" t="s">
        <v>663</v>
      </c>
      <c r="E25">
        <v>81691040</v>
      </c>
      <c r="F25">
        <v>3606517080</v>
      </c>
      <c r="G25" s="1">
        <v>45488.460069444445</v>
      </c>
      <c r="H25" s="1">
        <v>45488.660763888889</v>
      </c>
      <c r="I25" t="s">
        <v>52</v>
      </c>
      <c r="J25" t="s">
        <v>25</v>
      </c>
      <c r="K25" t="s">
        <v>20</v>
      </c>
      <c r="L25" t="s">
        <v>39</v>
      </c>
      <c r="M25">
        <v>26</v>
      </c>
      <c r="N25">
        <v>289</v>
      </c>
      <c r="O25">
        <v>0</v>
      </c>
      <c r="P25" t="s">
        <v>27</v>
      </c>
      <c r="Q25">
        <v>384</v>
      </c>
      <c r="R25" t="s">
        <v>39</v>
      </c>
      <c r="S25">
        <f>IF(support_tickets[[#This Row],[status_cleaned]]="closed",1,0)</f>
        <v>1</v>
      </c>
      <c r="T25" t="str">
        <f>TEXT(support_tickets[[#This Row],[opened_at]],"mmm yyyy")</f>
        <v>Jul 2024</v>
      </c>
      <c r="U25">
        <f>YEAR(support_tickets[[#This Row],[opened_at]])*100+MONTH(support_tickets[[#This Row],[opened_at]])</f>
        <v>202407</v>
      </c>
      <c r="V25" s="29">
        <f>DATE(YEAR(support_tickets[[#This Row],[opened_at]]),MONTH(support_tickets[[#This Row],[opened_at]]),1)</f>
        <v>45474</v>
      </c>
    </row>
    <row r="26" spans="1:22">
      <c r="A26">
        <v>3411871526</v>
      </c>
      <c r="B26">
        <v>387195524</v>
      </c>
      <c r="C26" t="s">
        <v>730</v>
      </c>
      <c r="D26" t="s">
        <v>731</v>
      </c>
      <c r="E26">
        <v>35808537</v>
      </c>
      <c r="G26" s="1">
        <v>45397.110196759262</v>
      </c>
      <c r="H26" s="1">
        <v>45397.374780092592</v>
      </c>
      <c r="I26" t="s">
        <v>18</v>
      </c>
      <c r="J26" t="s">
        <v>30</v>
      </c>
      <c r="K26" t="s">
        <v>20</v>
      </c>
      <c r="L26" t="s">
        <v>39</v>
      </c>
      <c r="M26">
        <v>59</v>
      </c>
      <c r="N26">
        <v>381</v>
      </c>
      <c r="O26">
        <v>0</v>
      </c>
      <c r="P26" t="s">
        <v>31</v>
      </c>
      <c r="Q26">
        <v>433</v>
      </c>
      <c r="R26" t="s">
        <v>39</v>
      </c>
      <c r="S26">
        <f>IF(support_tickets[[#This Row],[status_cleaned]]="closed",1,0)</f>
        <v>1</v>
      </c>
      <c r="T26" t="str">
        <f>TEXT(support_tickets[[#This Row],[opened_at]],"mmm yyyy")</f>
        <v>Apr 2024</v>
      </c>
      <c r="U26">
        <f>YEAR(support_tickets[[#This Row],[opened_at]])*100+MONTH(support_tickets[[#This Row],[opened_at]])</f>
        <v>202404</v>
      </c>
      <c r="V26" s="29">
        <f>DATE(YEAR(support_tickets[[#This Row],[opened_at]]),MONTH(support_tickets[[#This Row],[opened_at]]),1)</f>
        <v>45383</v>
      </c>
    </row>
    <row r="27" spans="1:22">
      <c r="A27">
        <v>3513419649</v>
      </c>
      <c r="B27">
        <v>771112648</v>
      </c>
      <c r="C27" t="s">
        <v>646</v>
      </c>
      <c r="D27" t="s">
        <v>647</v>
      </c>
      <c r="E27">
        <v>82070937</v>
      </c>
      <c r="F27">
        <v>2334871184</v>
      </c>
      <c r="G27" s="1">
        <v>45772.238298611112</v>
      </c>
      <c r="H27" s="1">
        <v>45772.425798611112</v>
      </c>
      <c r="I27" t="s">
        <v>43</v>
      </c>
      <c r="J27" t="s">
        <v>38</v>
      </c>
      <c r="K27" t="s">
        <v>20</v>
      </c>
      <c r="L27" t="s">
        <v>39</v>
      </c>
      <c r="M27">
        <v>37</v>
      </c>
      <c r="N27">
        <v>270</v>
      </c>
      <c r="O27">
        <v>0</v>
      </c>
      <c r="P27" t="s">
        <v>40</v>
      </c>
      <c r="Q27">
        <v>454</v>
      </c>
      <c r="R27" t="s">
        <v>39</v>
      </c>
      <c r="S27">
        <f>IF(support_tickets[[#This Row],[status_cleaned]]="closed",1,0)</f>
        <v>1</v>
      </c>
      <c r="T27" t="str">
        <f>TEXT(support_tickets[[#This Row],[opened_at]],"mmm yyyy")</f>
        <v>Apr 2025</v>
      </c>
      <c r="U27">
        <f>YEAR(support_tickets[[#This Row],[opened_at]])*100+MONTH(support_tickets[[#This Row],[opened_at]])</f>
        <v>202504</v>
      </c>
      <c r="V27" s="29">
        <f>DATE(YEAR(support_tickets[[#This Row],[opened_at]]),MONTH(support_tickets[[#This Row],[opened_at]]),1)</f>
        <v>45748</v>
      </c>
    </row>
    <row r="28" spans="1:22">
      <c r="A28">
        <v>3622142013</v>
      </c>
      <c r="B28">
        <v>515524530</v>
      </c>
      <c r="C28" t="s">
        <v>778</v>
      </c>
      <c r="D28" t="s">
        <v>779</v>
      </c>
      <c r="E28">
        <v>82340307</v>
      </c>
      <c r="G28" s="1">
        <v>45845.383414351854</v>
      </c>
      <c r="H28" s="1">
        <v>45845.513969907406</v>
      </c>
      <c r="I28" t="s">
        <v>43</v>
      </c>
      <c r="J28" t="s">
        <v>38</v>
      </c>
      <c r="K28" t="s">
        <v>20</v>
      </c>
      <c r="L28" t="s">
        <v>39</v>
      </c>
      <c r="M28">
        <v>28</v>
      </c>
      <c r="N28">
        <v>188</v>
      </c>
      <c r="O28">
        <v>0</v>
      </c>
      <c r="P28" t="s">
        <v>40</v>
      </c>
      <c r="Q28">
        <v>469</v>
      </c>
      <c r="R28" t="s">
        <v>39</v>
      </c>
      <c r="S28">
        <f>IF(support_tickets[[#This Row],[status_cleaned]]="closed",1,0)</f>
        <v>1</v>
      </c>
      <c r="T28" t="str">
        <f>TEXT(support_tickets[[#This Row],[opened_at]],"mmm yyyy")</f>
        <v>Jul 2025</v>
      </c>
      <c r="U28">
        <f>YEAR(support_tickets[[#This Row],[opened_at]])*100+MONTH(support_tickets[[#This Row],[opened_at]])</f>
        <v>202507</v>
      </c>
      <c r="V28" s="29">
        <f>DATE(YEAR(support_tickets[[#This Row],[opened_at]]),MONTH(support_tickets[[#This Row],[opened_at]]),1)</f>
        <v>45839</v>
      </c>
    </row>
    <row r="29" spans="1:22">
      <c r="A29">
        <v>3625140288</v>
      </c>
      <c r="B29">
        <v>809656613</v>
      </c>
      <c r="C29" t="s">
        <v>76</v>
      </c>
      <c r="D29" t="s">
        <v>77</v>
      </c>
      <c r="E29">
        <v>90388981</v>
      </c>
      <c r="F29">
        <v>9773224781</v>
      </c>
      <c r="G29" s="1">
        <v>45684.207361111112</v>
      </c>
      <c r="H29" s="1">
        <v>45684.628888888888</v>
      </c>
      <c r="I29" t="s">
        <v>43</v>
      </c>
      <c r="J29" t="s">
        <v>38</v>
      </c>
      <c r="K29" t="s">
        <v>20</v>
      </c>
      <c r="L29" t="s">
        <v>39</v>
      </c>
      <c r="M29">
        <v>43</v>
      </c>
      <c r="N29">
        <v>607</v>
      </c>
      <c r="O29">
        <v>0</v>
      </c>
      <c r="P29" t="s">
        <v>40</v>
      </c>
      <c r="Q29">
        <v>470</v>
      </c>
      <c r="R29" t="s">
        <v>39</v>
      </c>
      <c r="S29">
        <f>IF(support_tickets[[#This Row],[status_cleaned]]="closed",1,0)</f>
        <v>1</v>
      </c>
      <c r="T29" t="str">
        <f>TEXT(support_tickets[[#This Row],[opened_at]],"mmm yyyy")</f>
        <v>Jan 2025</v>
      </c>
      <c r="U29">
        <f>YEAR(support_tickets[[#This Row],[opened_at]])*100+MONTH(support_tickets[[#This Row],[opened_at]])</f>
        <v>202501</v>
      </c>
      <c r="V29" s="29">
        <f>DATE(YEAR(support_tickets[[#This Row],[opened_at]]),MONTH(support_tickets[[#This Row],[opened_at]]),1)</f>
        <v>45658</v>
      </c>
    </row>
    <row r="30" spans="1:22">
      <c r="A30">
        <v>3659387720</v>
      </c>
      <c r="B30">
        <v>570484488</v>
      </c>
      <c r="C30" t="s">
        <v>788</v>
      </c>
      <c r="D30" t="s">
        <v>789</v>
      </c>
      <c r="E30">
        <v>81182864</v>
      </c>
      <c r="F30">
        <v>3772707308</v>
      </c>
      <c r="G30" s="1">
        <v>45634.526273148149</v>
      </c>
      <c r="H30" s="1">
        <v>45634.553356481483</v>
      </c>
      <c r="I30" t="s">
        <v>37</v>
      </c>
      <c r="J30" t="s">
        <v>59</v>
      </c>
      <c r="K30" t="s">
        <v>20</v>
      </c>
      <c r="L30" t="s">
        <v>39</v>
      </c>
      <c r="M30">
        <v>34</v>
      </c>
      <c r="N30">
        <v>39</v>
      </c>
      <c r="O30">
        <v>0</v>
      </c>
      <c r="P30" t="s">
        <v>61</v>
      </c>
      <c r="Q30">
        <v>477</v>
      </c>
      <c r="R30" t="s">
        <v>39</v>
      </c>
      <c r="S30">
        <f>IF(support_tickets[[#This Row],[status_cleaned]]="closed",1,0)</f>
        <v>1</v>
      </c>
      <c r="T30" t="str">
        <f>TEXT(support_tickets[[#This Row],[opened_at]],"mmm yyyy")</f>
        <v>Dec 2024</v>
      </c>
      <c r="U30">
        <f>YEAR(support_tickets[[#This Row],[opened_at]])*100+MONTH(support_tickets[[#This Row],[opened_at]])</f>
        <v>202412</v>
      </c>
      <c r="V30" s="29">
        <f>DATE(YEAR(support_tickets[[#This Row],[opened_at]]),MONTH(support_tickets[[#This Row],[opened_at]]),1)</f>
        <v>45627</v>
      </c>
    </row>
    <row r="31" spans="1:22">
      <c r="A31">
        <v>3943130161</v>
      </c>
      <c r="B31">
        <v>501538092</v>
      </c>
      <c r="C31" t="s">
        <v>830</v>
      </c>
      <c r="D31" t="s">
        <v>831</v>
      </c>
      <c r="E31">
        <v>66722344</v>
      </c>
      <c r="G31" s="1">
        <v>45739.189456018517</v>
      </c>
      <c r="H31" s="1">
        <v>45739.382511574076</v>
      </c>
      <c r="I31" t="s">
        <v>18</v>
      </c>
      <c r="J31" t="s">
        <v>86</v>
      </c>
      <c r="K31" t="s">
        <v>20</v>
      </c>
      <c r="L31" t="s">
        <v>39</v>
      </c>
      <c r="M31">
        <v>20</v>
      </c>
      <c r="N31">
        <v>278</v>
      </c>
      <c r="O31">
        <v>0</v>
      </c>
      <c r="P31" t="s">
        <v>87</v>
      </c>
      <c r="Q31">
        <v>513</v>
      </c>
      <c r="R31" t="s">
        <v>39</v>
      </c>
      <c r="S31">
        <f>IF(support_tickets[[#This Row],[status_cleaned]]="closed",1,0)</f>
        <v>1</v>
      </c>
      <c r="T31" t="str">
        <f>TEXT(support_tickets[[#This Row],[opened_at]],"mmm yyyy")</f>
        <v>Mar 2025</v>
      </c>
      <c r="U31">
        <f>YEAR(support_tickets[[#This Row],[opened_at]])*100+MONTH(support_tickets[[#This Row],[opened_at]])</f>
        <v>202503</v>
      </c>
      <c r="V31" s="29">
        <f>DATE(YEAR(support_tickets[[#This Row],[opened_at]]),MONTH(support_tickets[[#This Row],[opened_at]]),1)</f>
        <v>45717</v>
      </c>
    </row>
    <row r="32" spans="1:22">
      <c r="A32">
        <v>4081467801</v>
      </c>
      <c r="B32">
        <v>789242701</v>
      </c>
      <c r="C32" t="s">
        <v>200</v>
      </c>
      <c r="D32" t="s">
        <v>201</v>
      </c>
      <c r="E32">
        <v>77187530</v>
      </c>
      <c r="G32" s="1">
        <v>45630.220185185186</v>
      </c>
      <c r="H32" s="1">
        <v>45630.426435185182</v>
      </c>
      <c r="I32" t="s">
        <v>3</v>
      </c>
      <c r="J32" t="s">
        <v>59</v>
      </c>
      <c r="K32" t="s">
        <v>20</v>
      </c>
      <c r="L32" t="s">
        <v>39</v>
      </c>
      <c r="M32">
        <v>32</v>
      </c>
      <c r="N32">
        <v>297</v>
      </c>
      <c r="O32">
        <v>0</v>
      </c>
      <c r="P32" t="s">
        <v>61</v>
      </c>
      <c r="Q32">
        <v>534</v>
      </c>
      <c r="R32" t="s">
        <v>39</v>
      </c>
      <c r="S32">
        <f>IF(support_tickets[[#This Row],[status_cleaned]]="closed",1,0)</f>
        <v>1</v>
      </c>
      <c r="T32" t="str">
        <f>TEXT(support_tickets[[#This Row],[opened_at]],"mmm yyyy")</f>
        <v>Dec 2024</v>
      </c>
      <c r="U32">
        <f>YEAR(support_tickets[[#This Row],[opened_at]])*100+MONTH(support_tickets[[#This Row],[opened_at]])</f>
        <v>202412</v>
      </c>
      <c r="V32" s="29">
        <f>DATE(YEAR(support_tickets[[#This Row],[opened_at]]),MONTH(support_tickets[[#This Row],[opened_at]]),1)</f>
        <v>45627</v>
      </c>
    </row>
    <row r="33" spans="1:22">
      <c r="A33">
        <v>4208271113</v>
      </c>
      <c r="B33">
        <v>459748735</v>
      </c>
      <c r="C33" t="s">
        <v>258</v>
      </c>
      <c r="D33" t="s">
        <v>259</v>
      </c>
      <c r="E33">
        <v>94214382</v>
      </c>
      <c r="G33" s="1">
        <v>45675.876817129632</v>
      </c>
      <c r="H33" s="1">
        <v>45676.173344907409</v>
      </c>
      <c r="I33" t="s">
        <v>3</v>
      </c>
      <c r="J33" t="s">
        <v>19</v>
      </c>
      <c r="K33" t="s">
        <v>20</v>
      </c>
      <c r="L33" t="s">
        <v>39</v>
      </c>
      <c r="M33">
        <v>52</v>
      </c>
      <c r="N33">
        <v>427</v>
      </c>
      <c r="O33">
        <v>0</v>
      </c>
      <c r="P33" t="s">
        <v>22</v>
      </c>
      <c r="Q33">
        <v>550</v>
      </c>
      <c r="R33" t="s">
        <v>39</v>
      </c>
      <c r="S33">
        <f>IF(support_tickets[[#This Row],[status_cleaned]]="closed",1,0)</f>
        <v>1</v>
      </c>
      <c r="T33" t="str">
        <f>TEXT(support_tickets[[#This Row],[opened_at]],"mmm yyyy")</f>
        <v>Jan 2025</v>
      </c>
      <c r="U33">
        <f>YEAR(support_tickets[[#This Row],[opened_at]])*100+MONTH(support_tickets[[#This Row],[opened_at]])</f>
        <v>202501</v>
      </c>
      <c r="V33" s="29">
        <f>DATE(YEAR(support_tickets[[#This Row],[opened_at]]),MONTH(support_tickets[[#This Row],[opened_at]]),1)</f>
        <v>45658</v>
      </c>
    </row>
    <row r="34" spans="1:22">
      <c r="A34">
        <v>4386736808</v>
      </c>
      <c r="B34">
        <v>483426624</v>
      </c>
      <c r="C34" t="s">
        <v>916</v>
      </c>
      <c r="D34" t="s">
        <v>917</v>
      </c>
      <c r="E34">
        <v>66722344</v>
      </c>
      <c r="G34" s="1">
        <v>46007.500648148147</v>
      </c>
      <c r="H34" s="1">
        <v>46007.684675925928</v>
      </c>
      <c r="I34" t="s">
        <v>3</v>
      </c>
      <c r="J34" t="s">
        <v>25</v>
      </c>
      <c r="K34" t="s">
        <v>20</v>
      </c>
      <c r="L34" t="s">
        <v>39</v>
      </c>
      <c r="M34">
        <v>54</v>
      </c>
      <c r="N34">
        <v>265</v>
      </c>
      <c r="O34">
        <v>0</v>
      </c>
      <c r="P34" t="s">
        <v>27</v>
      </c>
      <c r="Q34">
        <v>586</v>
      </c>
      <c r="R34" t="s">
        <v>39</v>
      </c>
      <c r="S34">
        <f>IF(support_tickets[[#This Row],[status_cleaned]]="closed",1,0)</f>
        <v>1</v>
      </c>
      <c r="T34" t="str">
        <f>TEXT(support_tickets[[#This Row],[opened_at]],"mmm yyyy")</f>
        <v>Dec 2025</v>
      </c>
      <c r="U34">
        <f>YEAR(support_tickets[[#This Row],[opened_at]])*100+MONTH(support_tickets[[#This Row],[opened_at]])</f>
        <v>202512</v>
      </c>
      <c r="V34" s="29">
        <f>DATE(YEAR(support_tickets[[#This Row],[opened_at]]),MONTH(support_tickets[[#This Row],[opened_at]]),1)</f>
        <v>45992</v>
      </c>
    </row>
    <row r="35" spans="1:22">
      <c r="A35">
        <v>4564261658</v>
      </c>
      <c r="B35">
        <v>784987769</v>
      </c>
      <c r="C35" t="s">
        <v>964</v>
      </c>
      <c r="D35" t="s">
        <v>965</v>
      </c>
      <c r="E35">
        <v>13561597</v>
      </c>
      <c r="G35" s="1">
        <v>45660.829224537039</v>
      </c>
      <c r="H35" s="1">
        <v>45661.373668981483</v>
      </c>
      <c r="I35" t="s">
        <v>43</v>
      </c>
      <c r="J35" t="s">
        <v>19</v>
      </c>
      <c r="K35" t="s">
        <v>20</v>
      </c>
      <c r="L35" t="s">
        <v>39</v>
      </c>
      <c r="M35">
        <v>36</v>
      </c>
      <c r="N35">
        <v>784</v>
      </c>
      <c r="O35">
        <v>0</v>
      </c>
      <c r="P35" t="s">
        <v>22</v>
      </c>
      <c r="Q35">
        <v>624</v>
      </c>
      <c r="R35" t="s">
        <v>39</v>
      </c>
      <c r="S35">
        <f>IF(support_tickets[[#This Row],[status_cleaned]]="closed",1,0)</f>
        <v>1</v>
      </c>
      <c r="T35" t="str">
        <f>TEXT(support_tickets[[#This Row],[opened_at]],"mmm yyyy")</f>
        <v>Jan 2025</v>
      </c>
      <c r="U35">
        <f>YEAR(support_tickets[[#This Row],[opened_at]])*100+MONTH(support_tickets[[#This Row],[opened_at]])</f>
        <v>202501</v>
      </c>
      <c r="V35" s="29">
        <f>DATE(YEAR(support_tickets[[#This Row],[opened_at]]),MONTH(support_tickets[[#This Row],[opened_at]]),1)</f>
        <v>45658</v>
      </c>
    </row>
    <row r="36" spans="1:22">
      <c r="A36">
        <v>4596147581</v>
      </c>
      <c r="B36">
        <v>992649957</v>
      </c>
      <c r="C36" t="s">
        <v>742</v>
      </c>
      <c r="D36" t="s">
        <v>743</v>
      </c>
      <c r="E36">
        <v>52235350</v>
      </c>
      <c r="G36" s="1">
        <v>45589.635671296295</v>
      </c>
      <c r="H36" s="1">
        <v>45590.113449074073</v>
      </c>
      <c r="I36" t="s">
        <v>56</v>
      </c>
      <c r="J36" t="s">
        <v>19</v>
      </c>
      <c r="K36" t="s">
        <v>20</v>
      </c>
      <c r="L36" t="s">
        <v>39</v>
      </c>
      <c r="M36">
        <v>52</v>
      </c>
      <c r="N36">
        <v>688</v>
      </c>
      <c r="O36">
        <v>0</v>
      </c>
      <c r="P36" t="s">
        <v>22</v>
      </c>
      <c r="Q36">
        <v>628</v>
      </c>
      <c r="R36" t="s">
        <v>39</v>
      </c>
      <c r="S36">
        <f>IF(support_tickets[[#This Row],[status_cleaned]]="closed",1,0)</f>
        <v>1</v>
      </c>
      <c r="T36" t="str">
        <f>TEXT(support_tickets[[#This Row],[opened_at]],"mmm yyyy")</f>
        <v>Oct 2024</v>
      </c>
      <c r="U36">
        <f>YEAR(support_tickets[[#This Row],[opened_at]])*100+MONTH(support_tickets[[#This Row],[opened_at]])</f>
        <v>202410</v>
      </c>
      <c r="V36" s="29">
        <f>DATE(YEAR(support_tickets[[#This Row],[opened_at]]),MONTH(support_tickets[[#This Row],[opened_at]]),1)</f>
        <v>45566</v>
      </c>
    </row>
    <row r="37" spans="1:22">
      <c r="A37">
        <v>4604093744</v>
      </c>
      <c r="B37">
        <v>457039137</v>
      </c>
      <c r="C37" t="s">
        <v>548</v>
      </c>
      <c r="D37" t="s">
        <v>549</v>
      </c>
      <c r="E37">
        <v>45935572</v>
      </c>
      <c r="G37" s="1">
        <v>45555.824143518519</v>
      </c>
      <c r="H37" s="1">
        <v>45555.878310185188</v>
      </c>
      <c r="I37" t="s">
        <v>46</v>
      </c>
      <c r="J37" t="s">
        <v>30</v>
      </c>
      <c r="K37" t="s">
        <v>20</v>
      </c>
      <c r="L37" t="s">
        <v>39</v>
      </c>
      <c r="M37">
        <v>73</v>
      </c>
      <c r="N37">
        <v>78</v>
      </c>
      <c r="O37">
        <v>0</v>
      </c>
      <c r="P37" t="s">
        <v>31</v>
      </c>
      <c r="Q37">
        <v>630</v>
      </c>
      <c r="R37" t="s">
        <v>39</v>
      </c>
      <c r="S37">
        <f>IF(support_tickets[[#This Row],[status_cleaned]]="closed",1,0)</f>
        <v>1</v>
      </c>
      <c r="T37" t="str">
        <f>TEXT(support_tickets[[#This Row],[opened_at]],"mmm yyyy")</f>
        <v>Sep 2024</v>
      </c>
      <c r="U37">
        <f>YEAR(support_tickets[[#This Row],[opened_at]])*100+MONTH(support_tickets[[#This Row],[opened_at]])</f>
        <v>202409</v>
      </c>
      <c r="V37" s="29">
        <f>DATE(YEAR(support_tickets[[#This Row],[opened_at]]),MONTH(support_tickets[[#This Row],[opened_at]]),1)</f>
        <v>45536</v>
      </c>
    </row>
    <row r="38" spans="1:22">
      <c r="A38">
        <v>4636730253</v>
      </c>
      <c r="B38">
        <v>830924936</v>
      </c>
      <c r="C38" t="s">
        <v>392</v>
      </c>
      <c r="D38" t="s">
        <v>393</v>
      </c>
      <c r="E38">
        <v>91030736</v>
      </c>
      <c r="G38" s="1">
        <v>45712.931504629632</v>
      </c>
      <c r="H38" s="1">
        <v>45713.362754629627</v>
      </c>
      <c r="I38" t="s">
        <v>56</v>
      </c>
      <c r="J38" t="s">
        <v>59</v>
      </c>
      <c r="K38" t="s">
        <v>20</v>
      </c>
      <c r="L38" t="s">
        <v>39</v>
      </c>
      <c r="M38">
        <v>75</v>
      </c>
      <c r="N38">
        <v>621</v>
      </c>
      <c r="O38">
        <v>0</v>
      </c>
      <c r="P38" t="s">
        <v>61</v>
      </c>
      <c r="Q38">
        <v>635</v>
      </c>
      <c r="R38" t="s">
        <v>39</v>
      </c>
      <c r="S38">
        <f>IF(support_tickets[[#This Row],[status_cleaned]]="closed",1,0)</f>
        <v>1</v>
      </c>
      <c r="T38" t="str">
        <f>TEXT(support_tickets[[#This Row],[opened_at]],"mmm yyyy")</f>
        <v>Feb 2025</v>
      </c>
      <c r="U38">
        <f>YEAR(support_tickets[[#This Row],[opened_at]])*100+MONTH(support_tickets[[#This Row],[opened_at]])</f>
        <v>202502</v>
      </c>
      <c r="V38" s="29">
        <f>DATE(YEAR(support_tickets[[#This Row],[opened_at]]),MONTH(support_tickets[[#This Row],[opened_at]]),1)</f>
        <v>45689</v>
      </c>
    </row>
    <row r="39" spans="1:22">
      <c r="A39">
        <v>4718164083</v>
      </c>
      <c r="B39">
        <v>740743666</v>
      </c>
      <c r="C39" t="s">
        <v>71</v>
      </c>
      <c r="D39" t="s">
        <v>72</v>
      </c>
      <c r="E39">
        <v>35808537</v>
      </c>
      <c r="G39" s="1">
        <v>45348.413263888891</v>
      </c>
      <c r="H39" s="1">
        <v>45349.125069444446</v>
      </c>
      <c r="I39" t="s">
        <v>37</v>
      </c>
      <c r="J39" t="s">
        <v>59</v>
      </c>
      <c r="K39" t="s">
        <v>20</v>
      </c>
      <c r="L39" t="s">
        <v>39</v>
      </c>
      <c r="M39">
        <v>11</v>
      </c>
      <c r="N39">
        <v>1025</v>
      </c>
      <c r="O39">
        <v>0</v>
      </c>
      <c r="P39" t="s">
        <v>61</v>
      </c>
      <c r="Q39">
        <v>651</v>
      </c>
      <c r="R39" t="s">
        <v>39</v>
      </c>
      <c r="S39">
        <f>IF(support_tickets[[#This Row],[status_cleaned]]="closed",1,0)</f>
        <v>1</v>
      </c>
      <c r="T39" t="str">
        <f>TEXT(support_tickets[[#This Row],[opened_at]],"mmm yyyy")</f>
        <v>Feb 2024</v>
      </c>
      <c r="U39">
        <f>YEAR(support_tickets[[#This Row],[opened_at]])*100+MONTH(support_tickets[[#This Row],[opened_at]])</f>
        <v>202402</v>
      </c>
      <c r="V39" s="29">
        <f>DATE(YEAR(support_tickets[[#This Row],[opened_at]]),MONTH(support_tickets[[#This Row],[opened_at]]),1)</f>
        <v>45323</v>
      </c>
    </row>
    <row r="40" spans="1:22">
      <c r="A40">
        <v>5237351050</v>
      </c>
      <c r="B40">
        <v>169727803</v>
      </c>
      <c r="C40" t="s">
        <v>799</v>
      </c>
      <c r="D40" t="s">
        <v>800</v>
      </c>
      <c r="E40">
        <v>98753260</v>
      </c>
      <c r="F40">
        <v>1963998771</v>
      </c>
      <c r="G40" s="1">
        <v>46067.430219907408</v>
      </c>
      <c r="H40" s="1">
        <v>46067.762164351851</v>
      </c>
      <c r="I40" t="s">
        <v>18</v>
      </c>
      <c r="J40" t="s">
        <v>86</v>
      </c>
      <c r="K40" t="s">
        <v>20</v>
      </c>
      <c r="L40" t="s">
        <v>39</v>
      </c>
      <c r="M40">
        <v>51</v>
      </c>
      <c r="N40">
        <v>478</v>
      </c>
      <c r="O40">
        <v>0</v>
      </c>
      <c r="P40" t="s">
        <v>87</v>
      </c>
      <c r="Q40">
        <v>739</v>
      </c>
      <c r="R40" t="s">
        <v>39</v>
      </c>
      <c r="S40">
        <f>IF(support_tickets[[#This Row],[status_cleaned]]="closed",1,0)</f>
        <v>1</v>
      </c>
      <c r="T40" t="str">
        <f>TEXT(support_tickets[[#This Row],[opened_at]],"mmm yyyy")</f>
        <v>Feb 2026</v>
      </c>
      <c r="U40">
        <f>YEAR(support_tickets[[#This Row],[opened_at]])*100+MONTH(support_tickets[[#This Row],[opened_at]])</f>
        <v>202602</v>
      </c>
      <c r="V40" s="29">
        <f>DATE(YEAR(support_tickets[[#This Row],[opened_at]]),MONTH(support_tickets[[#This Row],[opened_at]]),1)</f>
        <v>46054</v>
      </c>
    </row>
    <row r="41" spans="1:22">
      <c r="A41">
        <v>5313915933</v>
      </c>
      <c r="B41">
        <v>644725317</v>
      </c>
      <c r="C41" t="s">
        <v>1036</v>
      </c>
      <c r="D41" t="s">
        <v>1037</v>
      </c>
      <c r="E41">
        <v>20570592</v>
      </c>
      <c r="G41" s="1">
        <v>45784.751597222225</v>
      </c>
      <c r="H41" s="1">
        <v>45785.226597222223</v>
      </c>
      <c r="I41" t="s">
        <v>18</v>
      </c>
      <c r="J41" t="s">
        <v>59</v>
      </c>
      <c r="K41" t="s">
        <v>20</v>
      </c>
      <c r="L41" t="s">
        <v>39</v>
      </c>
      <c r="M41">
        <v>54</v>
      </c>
      <c r="N41">
        <v>684</v>
      </c>
      <c r="O41">
        <v>0</v>
      </c>
      <c r="P41" t="s">
        <v>61</v>
      </c>
      <c r="Q41">
        <v>755</v>
      </c>
      <c r="R41" t="s">
        <v>39</v>
      </c>
      <c r="S41">
        <f>IF(support_tickets[[#This Row],[status_cleaned]]="closed",1,0)</f>
        <v>1</v>
      </c>
      <c r="T41" t="str">
        <f>TEXT(support_tickets[[#This Row],[opened_at]],"mmm yyyy")</f>
        <v>May 2025</v>
      </c>
      <c r="U41">
        <f>YEAR(support_tickets[[#This Row],[opened_at]])*100+MONTH(support_tickets[[#This Row],[opened_at]])</f>
        <v>202505</v>
      </c>
      <c r="V41" s="29">
        <f>DATE(YEAR(support_tickets[[#This Row],[opened_at]]),MONTH(support_tickets[[#This Row],[opened_at]]),1)</f>
        <v>45778</v>
      </c>
    </row>
    <row r="42" spans="1:22">
      <c r="A42">
        <v>5430886153</v>
      </c>
      <c r="B42">
        <v>449019278</v>
      </c>
      <c r="C42" t="s">
        <v>868</v>
      </c>
      <c r="D42" t="s">
        <v>869</v>
      </c>
      <c r="E42">
        <v>28740864</v>
      </c>
      <c r="F42">
        <v>8227886543</v>
      </c>
      <c r="G42" s="1">
        <v>45816.520289351851</v>
      </c>
      <c r="H42" s="1">
        <v>45816.766817129632</v>
      </c>
      <c r="I42" t="s">
        <v>3</v>
      </c>
      <c r="J42" t="s">
        <v>30</v>
      </c>
      <c r="K42" t="s">
        <v>20</v>
      </c>
      <c r="L42" t="s">
        <v>39</v>
      </c>
      <c r="M42">
        <v>51</v>
      </c>
      <c r="N42">
        <v>355</v>
      </c>
      <c r="O42">
        <v>0</v>
      </c>
      <c r="P42" t="s">
        <v>31</v>
      </c>
      <c r="Q42">
        <v>786</v>
      </c>
      <c r="R42" t="s">
        <v>39</v>
      </c>
      <c r="S42">
        <f>IF(support_tickets[[#This Row],[status_cleaned]]="closed",1,0)</f>
        <v>1</v>
      </c>
      <c r="T42" t="str">
        <f>TEXT(support_tickets[[#This Row],[opened_at]],"mmm yyyy")</f>
        <v>Jun 2025</v>
      </c>
      <c r="U42">
        <f>YEAR(support_tickets[[#This Row],[opened_at]])*100+MONTH(support_tickets[[#This Row],[opened_at]])</f>
        <v>202506</v>
      </c>
      <c r="V42" s="29">
        <f>DATE(YEAR(support_tickets[[#This Row],[opened_at]]),MONTH(support_tickets[[#This Row],[opened_at]]),1)</f>
        <v>45809</v>
      </c>
    </row>
    <row r="43" spans="1:22">
      <c r="A43">
        <v>5451731167</v>
      </c>
      <c r="B43">
        <v>583564328</v>
      </c>
      <c r="C43" t="s">
        <v>406</v>
      </c>
      <c r="D43" t="s">
        <v>407</v>
      </c>
      <c r="E43">
        <v>15831819</v>
      </c>
      <c r="G43" s="1">
        <v>45376.514837962961</v>
      </c>
      <c r="H43" s="1">
        <v>45376.973865740743</v>
      </c>
      <c r="I43" t="s">
        <v>52</v>
      </c>
      <c r="J43" t="s">
        <v>25</v>
      </c>
      <c r="K43" t="s">
        <v>20</v>
      </c>
      <c r="L43" t="s">
        <v>39</v>
      </c>
      <c r="M43">
        <v>24</v>
      </c>
      <c r="N43">
        <v>661</v>
      </c>
      <c r="O43">
        <v>0</v>
      </c>
      <c r="P43" t="s">
        <v>27</v>
      </c>
      <c r="Q43">
        <v>791</v>
      </c>
      <c r="R43" t="s">
        <v>39</v>
      </c>
      <c r="S43">
        <f>IF(support_tickets[[#This Row],[status_cleaned]]="closed",1,0)</f>
        <v>1</v>
      </c>
      <c r="T43" t="str">
        <f>TEXT(support_tickets[[#This Row],[opened_at]],"mmm yyyy")</f>
        <v>Mar 2024</v>
      </c>
      <c r="U43">
        <f>YEAR(support_tickets[[#This Row],[opened_at]])*100+MONTH(support_tickets[[#This Row],[opened_at]])</f>
        <v>202403</v>
      </c>
      <c r="V43" s="29">
        <f>DATE(YEAR(support_tickets[[#This Row],[opened_at]]),MONTH(support_tickets[[#This Row],[opened_at]]),1)</f>
        <v>45352</v>
      </c>
    </row>
    <row r="44" spans="1:22">
      <c r="A44">
        <v>5583346716</v>
      </c>
      <c r="B44">
        <v>598885034</v>
      </c>
      <c r="C44" t="s">
        <v>670</v>
      </c>
      <c r="D44" t="s">
        <v>671</v>
      </c>
      <c r="E44">
        <v>39436733</v>
      </c>
      <c r="G44" s="1">
        <v>45630.576874999999</v>
      </c>
      <c r="H44" s="1">
        <v>45630.628958333335</v>
      </c>
      <c r="I44" t="s">
        <v>18</v>
      </c>
      <c r="J44" t="s">
        <v>86</v>
      </c>
      <c r="K44" t="s">
        <v>20</v>
      </c>
      <c r="L44" t="s">
        <v>39</v>
      </c>
      <c r="M44">
        <v>46</v>
      </c>
      <c r="N44">
        <v>75</v>
      </c>
      <c r="O44">
        <v>0</v>
      </c>
      <c r="P44" t="s">
        <v>87</v>
      </c>
      <c r="Q44">
        <v>818</v>
      </c>
      <c r="R44" t="s">
        <v>39</v>
      </c>
      <c r="S44">
        <f>IF(support_tickets[[#This Row],[status_cleaned]]="closed",1,0)</f>
        <v>1</v>
      </c>
      <c r="T44" t="str">
        <f>TEXT(support_tickets[[#This Row],[opened_at]],"mmm yyyy")</f>
        <v>Dec 2024</v>
      </c>
      <c r="U44">
        <f>YEAR(support_tickets[[#This Row],[opened_at]])*100+MONTH(support_tickets[[#This Row],[opened_at]])</f>
        <v>202412</v>
      </c>
      <c r="V44" s="29">
        <f>DATE(YEAR(support_tickets[[#This Row],[opened_at]]),MONTH(support_tickets[[#This Row],[opened_at]]),1)</f>
        <v>45627</v>
      </c>
    </row>
    <row r="45" spans="1:22">
      <c r="A45">
        <v>5595734376</v>
      </c>
      <c r="B45">
        <v>756102581</v>
      </c>
      <c r="C45" t="s">
        <v>688</v>
      </c>
      <c r="D45" t="s">
        <v>689</v>
      </c>
      <c r="E45">
        <v>52339391</v>
      </c>
      <c r="G45" s="1">
        <v>45497.885717592595</v>
      </c>
      <c r="H45" s="1">
        <v>45497.937800925924</v>
      </c>
      <c r="I45" t="s">
        <v>43</v>
      </c>
      <c r="J45" t="s">
        <v>59</v>
      </c>
      <c r="K45" t="s">
        <v>20</v>
      </c>
      <c r="L45" t="s">
        <v>39</v>
      </c>
      <c r="M45">
        <v>42</v>
      </c>
      <c r="N45">
        <v>75</v>
      </c>
      <c r="O45">
        <v>0</v>
      </c>
      <c r="P45" t="s">
        <v>61</v>
      </c>
      <c r="Q45">
        <v>822</v>
      </c>
      <c r="R45" t="s">
        <v>39</v>
      </c>
      <c r="S45">
        <f>IF(support_tickets[[#This Row],[status_cleaned]]="closed",1,0)</f>
        <v>1</v>
      </c>
      <c r="T45" t="str">
        <f>TEXT(support_tickets[[#This Row],[opened_at]],"mmm yyyy")</f>
        <v>Jul 2024</v>
      </c>
      <c r="U45">
        <f>YEAR(support_tickets[[#This Row],[opened_at]])*100+MONTH(support_tickets[[#This Row],[opened_at]])</f>
        <v>202407</v>
      </c>
      <c r="V45" s="29">
        <f>DATE(YEAR(support_tickets[[#This Row],[opened_at]]),MONTH(support_tickets[[#This Row],[opened_at]]),1)</f>
        <v>45474</v>
      </c>
    </row>
    <row r="46" spans="1:22">
      <c r="A46">
        <v>5746228612</v>
      </c>
      <c r="B46">
        <v>166874023</v>
      </c>
      <c r="C46" t="s">
        <v>54</v>
      </c>
      <c r="D46" t="s">
        <v>55</v>
      </c>
      <c r="E46">
        <v>82340307</v>
      </c>
      <c r="G46" s="1">
        <v>45992.010254629633</v>
      </c>
      <c r="H46" s="1">
        <v>45992.453310185185</v>
      </c>
      <c r="I46" t="s">
        <v>56</v>
      </c>
      <c r="J46" t="s">
        <v>19</v>
      </c>
      <c r="K46" t="s">
        <v>20</v>
      </c>
      <c r="L46" t="s">
        <v>39</v>
      </c>
      <c r="M46">
        <v>56</v>
      </c>
      <c r="N46">
        <v>638</v>
      </c>
      <c r="O46">
        <v>0</v>
      </c>
      <c r="P46" t="s">
        <v>22</v>
      </c>
      <c r="Q46">
        <v>843</v>
      </c>
      <c r="R46" t="s">
        <v>39</v>
      </c>
      <c r="S46">
        <f>IF(support_tickets[[#This Row],[status_cleaned]]="closed",1,0)</f>
        <v>1</v>
      </c>
      <c r="T46" t="str">
        <f>TEXT(support_tickets[[#This Row],[opened_at]],"mmm yyyy")</f>
        <v>Dec 2025</v>
      </c>
      <c r="U46">
        <f>YEAR(support_tickets[[#This Row],[opened_at]])*100+MONTH(support_tickets[[#This Row],[opened_at]])</f>
        <v>202512</v>
      </c>
      <c r="V46" s="29">
        <f>DATE(YEAR(support_tickets[[#This Row],[opened_at]]),MONTH(support_tickets[[#This Row],[opened_at]]),1)</f>
        <v>45992</v>
      </c>
    </row>
    <row r="47" spans="1:22">
      <c r="A47">
        <v>5882585297</v>
      </c>
      <c r="B47">
        <v>463512350</v>
      </c>
      <c r="C47" t="s">
        <v>134</v>
      </c>
      <c r="D47" t="s">
        <v>135</v>
      </c>
      <c r="E47">
        <v>76238574</v>
      </c>
      <c r="F47">
        <v>1679348721</v>
      </c>
      <c r="G47" s="1">
        <v>45633.362002314818</v>
      </c>
      <c r="H47" s="1">
        <v>45633.446030092593</v>
      </c>
      <c r="I47" t="s">
        <v>37</v>
      </c>
      <c r="J47" t="s">
        <v>59</v>
      </c>
      <c r="K47" t="s">
        <v>20</v>
      </c>
      <c r="L47" t="s">
        <v>39</v>
      </c>
      <c r="M47">
        <v>46</v>
      </c>
      <c r="N47">
        <v>121</v>
      </c>
      <c r="O47">
        <v>0</v>
      </c>
      <c r="P47" t="s">
        <v>61</v>
      </c>
      <c r="Q47">
        <v>870</v>
      </c>
      <c r="R47" t="s">
        <v>39</v>
      </c>
      <c r="S47">
        <f>IF(support_tickets[[#This Row],[status_cleaned]]="closed",1,0)</f>
        <v>1</v>
      </c>
      <c r="T47" t="str">
        <f>TEXT(support_tickets[[#This Row],[opened_at]],"mmm yyyy")</f>
        <v>Dec 2024</v>
      </c>
      <c r="U47">
        <f>YEAR(support_tickets[[#This Row],[opened_at]])*100+MONTH(support_tickets[[#This Row],[opened_at]])</f>
        <v>202412</v>
      </c>
      <c r="V47" s="29">
        <f>DATE(YEAR(support_tickets[[#This Row],[opened_at]]),MONTH(support_tickets[[#This Row],[opened_at]]),1)</f>
        <v>45627</v>
      </c>
    </row>
    <row r="48" spans="1:22">
      <c r="A48">
        <v>5992932347</v>
      </c>
      <c r="B48">
        <v>470585534</v>
      </c>
      <c r="C48" t="s">
        <v>190</v>
      </c>
      <c r="D48" t="s">
        <v>191</v>
      </c>
      <c r="E48">
        <v>90048665</v>
      </c>
      <c r="G48" s="1">
        <v>45827.266898148147</v>
      </c>
      <c r="H48" s="1">
        <v>45827.443287037036</v>
      </c>
      <c r="I48" t="s">
        <v>46</v>
      </c>
      <c r="J48" t="s">
        <v>25</v>
      </c>
      <c r="K48" t="s">
        <v>20</v>
      </c>
      <c r="L48" t="s">
        <v>39</v>
      </c>
      <c r="M48">
        <v>30</v>
      </c>
      <c r="N48">
        <v>254</v>
      </c>
      <c r="O48">
        <v>0</v>
      </c>
      <c r="P48" t="s">
        <v>27</v>
      </c>
      <c r="Q48">
        <v>890</v>
      </c>
      <c r="R48" t="s">
        <v>39</v>
      </c>
      <c r="S48">
        <f>IF(support_tickets[[#This Row],[status_cleaned]]="closed",1,0)</f>
        <v>1</v>
      </c>
      <c r="T48" t="str">
        <f>TEXT(support_tickets[[#This Row],[opened_at]],"mmm yyyy")</f>
        <v>Jun 2025</v>
      </c>
      <c r="U48">
        <f>YEAR(support_tickets[[#This Row],[opened_at]])*100+MONTH(support_tickets[[#This Row],[opened_at]])</f>
        <v>202506</v>
      </c>
      <c r="V48" s="29">
        <f>DATE(YEAR(support_tickets[[#This Row],[opened_at]]),MONTH(support_tickets[[#This Row],[opened_at]]),1)</f>
        <v>45809</v>
      </c>
    </row>
    <row r="49" spans="1:22">
      <c r="A49">
        <v>6079363850</v>
      </c>
      <c r="B49">
        <v>726553348</v>
      </c>
      <c r="C49" t="s">
        <v>1214</v>
      </c>
      <c r="D49" t="s">
        <v>1215</v>
      </c>
      <c r="E49">
        <v>99949389</v>
      </c>
      <c r="F49">
        <v>1336923353</v>
      </c>
      <c r="G49" s="1">
        <v>45458.330590277779</v>
      </c>
      <c r="H49" s="1">
        <v>45458.88753472222</v>
      </c>
      <c r="I49" t="s">
        <v>43</v>
      </c>
      <c r="J49" t="s">
        <v>86</v>
      </c>
      <c r="K49" t="s">
        <v>20</v>
      </c>
      <c r="L49" t="s">
        <v>39</v>
      </c>
      <c r="M49">
        <v>57</v>
      </c>
      <c r="N49">
        <v>802</v>
      </c>
      <c r="O49">
        <v>0</v>
      </c>
      <c r="P49" t="s">
        <v>87</v>
      </c>
      <c r="Q49">
        <v>905</v>
      </c>
      <c r="R49" t="s">
        <v>39</v>
      </c>
      <c r="S49">
        <f>IF(support_tickets[[#This Row],[status_cleaned]]="closed",1,0)</f>
        <v>1</v>
      </c>
      <c r="T49" t="str">
        <f>TEXT(support_tickets[[#This Row],[opened_at]],"mmm yyyy")</f>
        <v>Jun 2024</v>
      </c>
      <c r="U49">
        <f>YEAR(support_tickets[[#This Row],[opened_at]])*100+MONTH(support_tickets[[#This Row],[opened_at]])</f>
        <v>202406</v>
      </c>
      <c r="V49" s="29">
        <f>DATE(YEAR(support_tickets[[#This Row],[opened_at]]),MONTH(support_tickets[[#This Row],[opened_at]]),1)</f>
        <v>45444</v>
      </c>
    </row>
    <row r="50" spans="1:22">
      <c r="A50">
        <v>6089478391</v>
      </c>
      <c r="B50">
        <v>529520110</v>
      </c>
      <c r="C50" t="s">
        <v>1222</v>
      </c>
      <c r="D50" t="s">
        <v>1223</v>
      </c>
      <c r="E50">
        <v>13999315</v>
      </c>
      <c r="G50" s="1">
        <v>45314.331250000003</v>
      </c>
      <c r="H50" s="1">
        <v>45314.502083333333</v>
      </c>
      <c r="I50" t="s">
        <v>46</v>
      </c>
      <c r="J50" t="s">
        <v>86</v>
      </c>
      <c r="K50" t="s">
        <v>20</v>
      </c>
      <c r="L50" t="s">
        <v>39</v>
      </c>
      <c r="M50">
        <v>5</v>
      </c>
      <c r="N50">
        <v>246</v>
      </c>
      <c r="O50">
        <v>0</v>
      </c>
      <c r="P50" t="s">
        <v>87</v>
      </c>
      <c r="Q50">
        <v>910</v>
      </c>
      <c r="R50" t="s">
        <v>39</v>
      </c>
      <c r="S50">
        <f>IF(support_tickets[[#This Row],[status_cleaned]]="closed",1,0)</f>
        <v>1</v>
      </c>
      <c r="T50" t="str">
        <f>TEXT(support_tickets[[#This Row],[opened_at]],"mmm yyyy")</f>
        <v>Jan 2024</v>
      </c>
      <c r="U50">
        <f>YEAR(support_tickets[[#This Row],[opened_at]])*100+MONTH(support_tickets[[#This Row],[opened_at]])</f>
        <v>202401</v>
      </c>
      <c r="V50" s="29">
        <f>DATE(YEAR(support_tickets[[#This Row],[opened_at]]),MONTH(support_tickets[[#This Row],[opened_at]]),1)</f>
        <v>45292</v>
      </c>
    </row>
    <row r="51" spans="1:22">
      <c r="A51">
        <v>6093562307</v>
      </c>
      <c r="B51">
        <v>576642996</v>
      </c>
      <c r="C51" t="s">
        <v>1224</v>
      </c>
      <c r="D51" t="s">
        <v>1225</v>
      </c>
      <c r="E51">
        <v>82383095</v>
      </c>
      <c r="F51">
        <v>6268529625</v>
      </c>
      <c r="G51" s="1">
        <v>45887.924351851849</v>
      </c>
      <c r="H51" s="1">
        <v>45888.198657407411</v>
      </c>
      <c r="I51" t="s">
        <v>46</v>
      </c>
      <c r="J51" t="s">
        <v>38</v>
      </c>
      <c r="K51" t="s">
        <v>20</v>
      </c>
      <c r="L51" t="s">
        <v>39</v>
      </c>
      <c r="M51">
        <v>45</v>
      </c>
      <c r="N51">
        <v>395</v>
      </c>
      <c r="O51">
        <v>0</v>
      </c>
      <c r="P51" t="s">
        <v>40</v>
      </c>
      <c r="Q51">
        <v>911</v>
      </c>
      <c r="R51" t="s">
        <v>39</v>
      </c>
      <c r="S51">
        <f>IF(support_tickets[[#This Row],[status_cleaned]]="closed",1,0)</f>
        <v>1</v>
      </c>
      <c r="T51" t="str">
        <f>TEXT(support_tickets[[#This Row],[opened_at]],"mmm yyyy")</f>
        <v>Aug 2025</v>
      </c>
      <c r="U51">
        <f>YEAR(support_tickets[[#This Row],[opened_at]])*100+MONTH(support_tickets[[#This Row],[opened_at]])</f>
        <v>202508</v>
      </c>
      <c r="V51" s="29">
        <f>DATE(YEAR(support_tickets[[#This Row],[opened_at]]),MONTH(support_tickets[[#This Row],[opened_at]]),1)</f>
        <v>45870</v>
      </c>
    </row>
    <row r="52" spans="1:22">
      <c r="A52">
        <v>6448757098</v>
      </c>
      <c r="B52">
        <v>230833665</v>
      </c>
      <c r="C52" t="s">
        <v>1022</v>
      </c>
      <c r="D52" t="s">
        <v>1023</v>
      </c>
      <c r="E52">
        <v>63843426</v>
      </c>
      <c r="G52" s="1">
        <v>45390.934247685182</v>
      </c>
      <c r="H52" s="1">
        <v>45391.41133101852</v>
      </c>
      <c r="I52" t="s">
        <v>56</v>
      </c>
      <c r="J52" t="s">
        <v>59</v>
      </c>
      <c r="K52" t="s">
        <v>20</v>
      </c>
      <c r="L52" t="s">
        <v>39</v>
      </c>
      <c r="M52">
        <v>44</v>
      </c>
      <c r="N52">
        <v>687</v>
      </c>
      <c r="O52">
        <v>0</v>
      </c>
      <c r="P52" t="s">
        <v>61</v>
      </c>
      <c r="Q52">
        <v>967</v>
      </c>
      <c r="R52" t="s">
        <v>39</v>
      </c>
      <c r="S52">
        <f>IF(support_tickets[[#This Row],[status_cleaned]]="closed",1,0)</f>
        <v>1</v>
      </c>
      <c r="T52" t="str">
        <f>TEXT(support_tickets[[#This Row],[opened_at]],"mmm yyyy")</f>
        <v>Apr 2024</v>
      </c>
      <c r="U52">
        <f>YEAR(support_tickets[[#This Row],[opened_at]])*100+MONTH(support_tickets[[#This Row],[opened_at]])</f>
        <v>202404</v>
      </c>
      <c r="V52" s="29">
        <f>DATE(YEAR(support_tickets[[#This Row],[opened_at]]),MONTH(support_tickets[[#This Row],[opened_at]]),1)</f>
        <v>45383</v>
      </c>
    </row>
    <row r="53" spans="1:22">
      <c r="A53">
        <v>6648522453</v>
      </c>
      <c r="B53">
        <v>798510601</v>
      </c>
      <c r="C53" t="s">
        <v>204</v>
      </c>
      <c r="D53" t="s">
        <v>205</v>
      </c>
      <c r="E53">
        <v>38317637</v>
      </c>
      <c r="F53">
        <v>9948523764</v>
      </c>
      <c r="G53" s="1">
        <v>45693.454976851855</v>
      </c>
      <c r="H53" s="1">
        <v>45693.636921296296</v>
      </c>
      <c r="I53" t="s">
        <v>46</v>
      </c>
      <c r="J53" t="s">
        <v>86</v>
      </c>
      <c r="K53" t="s">
        <v>20</v>
      </c>
      <c r="L53" t="s">
        <v>39</v>
      </c>
      <c r="M53">
        <v>5</v>
      </c>
      <c r="N53">
        <v>262</v>
      </c>
      <c r="O53">
        <v>0</v>
      </c>
      <c r="P53" t="s">
        <v>87</v>
      </c>
      <c r="Q53">
        <v>990</v>
      </c>
      <c r="R53" t="s">
        <v>39</v>
      </c>
      <c r="S53">
        <f>IF(support_tickets[[#This Row],[status_cleaned]]="closed",1,0)</f>
        <v>1</v>
      </c>
      <c r="T53" t="str">
        <f>TEXT(support_tickets[[#This Row],[opened_at]],"mmm yyyy")</f>
        <v>Feb 2025</v>
      </c>
      <c r="U53">
        <f>YEAR(support_tickets[[#This Row],[opened_at]])*100+MONTH(support_tickets[[#This Row],[opened_at]])</f>
        <v>202502</v>
      </c>
      <c r="V53" s="29">
        <f>DATE(YEAR(support_tickets[[#This Row],[opened_at]]),MONTH(support_tickets[[#This Row],[opened_at]]),1)</f>
        <v>45689</v>
      </c>
    </row>
    <row r="54" spans="1:22">
      <c r="A54">
        <v>6722317166</v>
      </c>
      <c r="B54">
        <v>442185272</v>
      </c>
      <c r="C54" t="s">
        <v>1302</v>
      </c>
      <c r="D54" t="s">
        <v>1303</v>
      </c>
      <c r="E54">
        <v>98753260</v>
      </c>
      <c r="F54">
        <v>2842980985</v>
      </c>
      <c r="G54" s="1">
        <v>45955.76425925926</v>
      </c>
      <c r="H54" s="1">
        <v>45955.842037037037</v>
      </c>
      <c r="I54" t="s">
        <v>46</v>
      </c>
      <c r="J54" t="s">
        <v>19</v>
      </c>
      <c r="K54" t="s">
        <v>20</v>
      </c>
      <c r="L54" t="s">
        <v>39</v>
      </c>
      <c r="M54">
        <v>42</v>
      </c>
      <c r="N54">
        <v>112</v>
      </c>
      <c r="O54">
        <v>0</v>
      </c>
      <c r="P54" t="s">
        <v>22</v>
      </c>
      <c r="Q54">
        <v>1001</v>
      </c>
      <c r="R54" t="s">
        <v>39</v>
      </c>
      <c r="S54">
        <f>IF(support_tickets[[#This Row],[status_cleaned]]="closed",1,0)</f>
        <v>1</v>
      </c>
      <c r="T54" t="str">
        <f>TEXT(support_tickets[[#This Row],[opened_at]],"mmm yyyy")</f>
        <v>Oct 2025</v>
      </c>
      <c r="U54">
        <f>YEAR(support_tickets[[#This Row],[opened_at]])*100+MONTH(support_tickets[[#This Row],[opened_at]])</f>
        <v>202510</v>
      </c>
      <c r="V54" s="29">
        <f>DATE(YEAR(support_tickets[[#This Row],[opened_at]]),MONTH(support_tickets[[#This Row],[opened_at]]),1)</f>
        <v>45931</v>
      </c>
    </row>
    <row r="55" spans="1:22">
      <c r="A55">
        <v>6806357653</v>
      </c>
      <c r="B55">
        <v>461178244</v>
      </c>
      <c r="C55" t="s">
        <v>928</v>
      </c>
      <c r="D55" t="s">
        <v>929</v>
      </c>
      <c r="E55">
        <v>40742311</v>
      </c>
      <c r="F55">
        <v>6669955364</v>
      </c>
      <c r="G55" s="1">
        <v>45995.914027777777</v>
      </c>
      <c r="H55" s="1">
        <v>45996.33</v>
      </c>
      <c r="I55" t="s">
        <v>3</v>
      </c>
      <c r="J55" t="s">
        <v>30</v>
      </c>
      <c r="K55" t="s">
        <v>20</v>
      </c>
      <c r="L55" t="s">
        <v>39</v>
      </c>
      <c r="M55">
        <v>37</v>
      </c>
      <c r="N55">
        <v>599</v>
      </c>
      <c r="O55">
        <v>0</v>
      </c>
      <c r="P55" t="s">
        <v>31</v>
      </c>
      <c r="Q55">
        <v>1009</v>
      </c>
      <c r="R55" t="s">
        <v>39</v>
      </c>
      <c r="S55">
        <f>IF(support_tickets[[#This Row],[status_cleaned]]="closed",1,0)</f>
        <v>1</v>
      </c>
      <c r="T55" t="str">
        <f>TEXT(support_tickets[[#This Row],[opened_at]],"mmm yyyy")</f>
        <v>Dec 2025</v>
      </c>
      <c r="U55">
        <f>YEAR(support_tickets[[#This Row],[opened_at]])*100+MONTH(support_tickets[[#This Row],[opened_at]])</f>
        <v>202512</v>
      </c>
      <c r="V55" s="29">
        <f>DATE(YEAR(support_tickets[[#This Row],[opened_at]]),MONTH(support_tickets[[#This Row],[opened_at]]),1)</f>
        <v>45992</v>
      </c>
    </row>
    <row r="56" spans="1:22">
      <c r="A56">
        <v>7145702684</v>
      </c>
      <c r="B56">
        <v>761078179</v>
      </c>
      <c r="C56" t="s">
        <v>114</v>
      </c>
      <c r="D56" t="s">
        <v>115</v>
      </c>
      <c r="E56">
        <v>70855700</v>
      </c>
      <c r="G56" s="1">
        <v>45310.322696759256</v>
      </c>
      <c r="H56" s="1">
        <v>45310.562280092592</v>
      </c>
      <c r="I56" t="s">
        <v>18</v>
      </c>
      <c r="J56" t="s">
        <v>38</v>
      </c>
      <c r="K56" t="s">
        <v>20</v>
      </c>
      <c r="L56" t="s">
        <v>39</v>
      </c>
      <c r="M56">
        <v>6</v>
      </c>
      <c r="N56">
        <v>345</v>
      </c>
      <c r="O56">
        <v>0</v>
      </c>
      <c r="P56" t="s">
        <v>40</v>
      </c>
      <c r="Q56">
        <v>1053</v>
      </c>
      <c r="R56" t="s">
        <v>39</v>
      </c>
      <c r="S56">
        <f>IF(support_tickets[[#This Row],[status_cleaned]]="closed",1,0)</f>
        <v>1</v>
      </c>
      <c r="T56" t="str">
        <f>TEXT(support_tickets[[#This Row],[opened_at]],"mmm yyyy")</f>
        <v>Jan 2024</v>
      </c>
      <c r="U56">
        <f>YEAR(support_tickets[[#This Row],[opened_at]])*100+MONTH(support_tickets[[#This Row],[opened_at]])</f>
        <v>202401</v>
      </c>
      <c r="V56" s="29">
        <f>DATE(YEAR(support_tickets[[#This Row],[opened_at]]),MONTH(support_tickets[[#This Row],[opened_at]]),1)</f>
        <v>45292</v>
      </c>
    </row>
    <row r="57" spans="1:22">
      <c r="A57">
        <v>7281716024</v>
      </c>
      <c r="B57">
        <v>314423806</v>
      </c>
      <c r="C57" t="s">
        <v>116</v>
      </c>
      <c r="D57" t="s">
        <v>117</v>
      </c>
      <c r="E57">
        <v>95899313</v>
      </c>
      <c r="G57" s="1">
        <v>45761.06322916667</v>
      </c>
      <c r="H57" s="1">
        <v>45761.600034722222</v>
      </c>
      <c r="I57" t="s">
        <v>56</v>
      </c>
      <c r="J57" t="s">
        <v>59</v>
      </c>
      <c r="K57" t="s">
        <v>20</v>
      </c>
      <c r="L57" t="s">
        <v>39</v>
      </c>
      <c r="M57">
        <v>29</v>
      </c>
      <c r="N57">
        <v>773</v>
      </c>
      <c r="O57">
        <v>0</v>
      </c>
      <c r="P57" t="s">
        <v>61</v>
      </c>
      <c r="Q57">
        <v>1072</v>
      </c>
      <c r="R57" t="s">
        <v>39</v>
      </c>
      <c r="S57">
        <f>IF(support_tickets[[#This Row],[status_cleaned]]="closed",1,0)</f>
        <v>1</v>
      </c>
      <c r="T57" t="str">
        <f>TEXT(support_tickets[[#This Row],[opened_at]],"mmm yyyy")</f>
        <v>Apr 2025</v>
      </c>
      <c r="U57">
        <f>YEAR(support_tickets[[#This Row],[opened_at]])*100+MONTH(support_tickets[[#This Row],[opened_at]])</f>
        <v>202504</v>
      </c>
      <c r="V57" s="29">
        <f>DATE(YEAR(support_tickets[[#This Row],[opened_at]]),MONTH(support_tickets[[#This Row],[opened_at]]),1)</f>
        <v>45748</v>
      </c>
    </row>
    <row r="58" spans="1:22">
      <c r="A58">
        <v>7376872215</v>
      </c>
      <c r="B58">
        <v>576676179</v>
      </c>
      <c r="C58" t="s">
        <v>1316</v>
      </c>
      <c r="D58" t="s">
        <v>1317</v>
      </c>
      <c r="E58">
        <v>47338124</v>
      </c>
      <c r="F58">
        <v>1995162447</v>
      </c>
      <c r="G58" s="1">
        <v>45430.127372685187</v>
      </c>
      <c r="H58" s="1">
        <v>45430.273206018515</v>
      </c>
      <c r="I58" t="s">
        <v>52</v>
      </c>
      <c r="J58" t="s">
        <v>38</v>
      </c>
      <c r="K58" t="s">
        <v>20</v>
      </c>
      <c r="L58" t="s">
        <v>39</v>
      </c>
      <c r="M58">
        <v>23</v>
      </c>
      <c r="N58">
        <v>210</v>
      </c>
      <c r="O58">
        <v>0</v>
      </c>
      <c r="P58" t="s">
        <v>40</v>
      </c>
      <c r="Q58">
        <v>1088</v>
      </c>
      <c r="R58" t="s">
        <v>39</v>
      </c>
      <c r="S58">
        <f>IF(support_tickets[[#This Row],[status_cleaned]]="closed",1,0)</f>
        <v>1</v>
      </c>
      <c r="T58" t="str">
        <f>TEXT(support_tickets[[#This Row],[opened_at]],"mmm yyyy")</f>
        <v>May 2024</v>
      </c>
      <c r="U58">
        <f>YEAR(support_tickets[[#This Row],[opened_at]])*100+MONTH(support_tickets[[#This Row],[opened_at]])</f>
        <v>202405</v>
      </c>
      <c r="V58" s="29">
        <f>DATE(YEAR(support_tickets[[#This Row],[opened_at]]),MONTH(support_tickets[[#This Row],[opened_at]]),1)</f>
        <v>45413</v>
      </c>
    </row>
    <row r="59" spans="1:22">
      <c r="A59">
        <v>7433122359</v>
      </c>
      <c r="B59">
        <v>990189659</v>
      </c>
      <c r="C59" t="s">
        <v>1364</v>
      </c>
      <c r="D59" t="s">
        <v>1365</v>
      </c>
      <c r="E59">
        <v>70291817</v>
      </c>
      <c r="F59">
        <v>9711293507</v>
      </c>
      <c r="G59" s="1">
        <v>45487.096504629626</v>
      </c>
      <c r="H59" s="1">
        <v>45487.692337962966</v>
      </c>
      <c r="I59" t="s">
        <v>52</v>
      </c>
      <c r="J59" t="s">
        <v>19</v>
      </c>
      <c r="K59" t="s">
        <v>20</v>
      </c>
      <c r="L59" t="s">
        <v>39</v>
      </c>
      <c r="M59">
        <v>39</v>
      </c>
      <c r="N59">
        <v>858</v>
      </c>
      <c r="O59">
        <v>0</v>
      </c>
      <c r="P59" t="s">
        <v>22</v>
      </c>
      <c r="Q59">
        <v>1095</v>
      </c>
      <c r="R59" t="s">
        <v>39</v>
      </c>
      <c r="S59">
        <f>IF(support_tickets[[#This Row],[status_cleaned]]="closed",1,0)</f>
        <v>1</v>
      </c>
      <c r="T59" t="str">
        <f>TEXT(support_tickets[[#This Row],[opened_at]],"mmm yyyy")</f>
        <v>Jul 2024</v>
      </c>
      <c r="U59">
        <f>YEAR(support_tickets[[#This Row],[opened_at]])*100+MONTH(support_tickets[[#This Row],[opened_at]])</f>
        <v>202407</v>
      </c>
      <c r="V59" s="29">
        <f>DATE(YEAR(support_tickets[[#This Row],[opened_at]]),MONTH(support_tickets[[#This Row],[opened_at]]),1)</f>
        <v>45474</v>
      </c>
    </row>
    <row r="60" spans="1:22">
      <c r="A60">
        <v>7588022249</v>
      </c>
      <c r="B60">
        <v>770809983</v>
      </c>
      <c r="C60" t="s">
        <v>1380</v>
      </c>
      <c r="D60" t="s">
        <v>1381</v>
      </c>
      <c r="E60">
        <v>22201654</v>
      </c>
      <c r="G60" s="1">
        <v>45818.19027777778</v>
      </c>
      <c r="H60" s="1">
        <v>45818.419444444444</v>
      </c>
      <c r="I60" t="s">
        <v>52</v>
      </c>
      <c r="J60" t="s">
        <v>38</v>
      </c>
      <c r="K60" t="s">
        <v>20</v>
      </c>
      <c r="L60" t="s">
        <v>39</v>
      </c>
      <c r="M60">
        <v>95</v>
      </c>
      <c r="N60">
        <v>330</v>
      </c>
      <c r="O60">
        <v>0</v>
      </c>
      <c r="P60" t="s">
        <v>40</v>
      </c>
      <c r="Q60">
        <v>1123</v>
      </c>
      <c r="R60" t="s">
        <v>39</v>
      </c>
      <c r="S60">
        <f>IF(support_tickets[[#This Row],[status_cleaned]]="closed",1,0)</f>
        <v>1</v>
      </c>
      <c r="T60" t="str">
        <f>TEXT(support_tickets[[#This Row],[opened_at]],"mmm yyyy")</f>
        <v>Jun 2025</v>
      </c>
      <c r="U60">
        <f>YEAR(support_tickets[[#This Row],[opened_at]])*100+MONTH(support_tickets[[#This Row],[opened_at]])</f>
        <v>202506</v>
      </c>
      <c r="V60" s="29">
        <f>DATE(YEAR(support_tickets[[#This Row],[opened_at]]),MONTH(support_tickets[[#This Row],[opened_at]]),1)</f>
        <v>45809</v>
      </c>
    </row>
    <row r="61" spans="1:22">
      <c r="A61">
        <v>7614463949</v>
      </c>
      <c r="B61">
        <v>992398092</v>
      </c>
      <c r="C61" t="s">
        <v>92</v>
      </c>
      <c r="D61" t="s">
        <v>93</v>
      </c>
      <c r="E61">
        <v>70855700</v>
      </c>
      <c r="G61" s="1">
        <v>46010.708599537036</v>
      </c>
      <c r="H61" s="1">
        <v>46011.144016203703</v>
      </c>
      <c r="I61" t="s">
        <v>43</v>
      </c>
      <c r="J61" t="s">
        <v>38</v>
      </c>
      <c r="K61" t="s">
        <v>20</v>
      </c>
      <c r="L61" t="s">
        <v>39</v>
      </c>
      <c r="M61">
        <v>18</v>
      </c>
      <c r="N61">
        <v>627</v>
      </c>
      <c r="O61">
        <v>0</v>
      </c>
      <c r="P61" t="s">
        <v>40</v>
      </c>
      <c r="Q61">
        <v>1126</v>
      </c>
      <c r="R61" t="s">
        <v>39</v>
      </c>
      <c r="S61">
        <f>IF(support_tickets[[#This Row],[status_cleaned]]="closed",1,0)</f>
        <v>1</v>
      </c>
      <c r="T61" t="str">
        <f>TEXT(support_tickets[[#This Row],[opened_at]],"mmm yyyy")</f>
        <v>Dec 2025</v>
      </c>
      <c r="U61">
        <f>YEAR(support_tickets[[#This Row],[opened_at]])*100+MONTH(support_tickets[[#This Row],[opened_at]])</f>
        <v>202512</v>
      </c>
      <c r="V61" s="29">
        <f>DATE(YEAR(support_tickets[[#This Row],[opened_at]]),MONTH(support_tickets[[#This Row],[opened_at]]),1)</f>
        <v>45992</v>
      </c>
    </row>
    <row r="62" spans="1:22">
      <c r="A62">
        <v>7650227343</v>
      </c>
      <c r="B62">
        <v>886989426</v>
      </c>
      <c r="C62" t="s">
        <v>1082</v>
      </c>
      <c r="D62" t="s">
        <v>1083</v>
      </c>
      <c r="E62">
        <v>35808537</v>
      </c>
      <c r="G62" s="1">
        <v>45368.172361111108</v>
      </c>
      <c r="H62" s="1">
        <v>45368.431388888886</v>
      </c>
      <c r="I62" t="s">
        <v>18</v>
      </c>
      <c r="J62" t="s">
        <v>25</v>
      </c>
      <c r="K62" t="s">
        <v>20</v>
      </c>
      <c r="L62" t="s">
        <v>39</v>
      </c>
      <c r="M62">
        <v>71</v>
      </c>
      <c r="N62">
        <v>373</v>
      </c>
      <c r="O62">
        <v>0</v>
      </c>
      <c r="P62" t="s">
        <v>27</v>
      </c>
      <c r="Q62">
        <v>1135</v>
      </c>
      <c r="R62" t="s">
        <v>39</v>
      </c>
      <c r="S62">
        <f>IF(support_tickets[[#This Row],[status_cleaned]]="closed",1,0)</f>
        <v>1</v>
      </c>
      <c r="T62" t="str">
        <f>TEXT(support_tickets[[#This Row],[opened_at]],"mmm yyyy")</f>
        <v>Mar 2024</v>
      </c>
      <c r="U62">
        <f>YEAR(support_tickets[[#This Row],[opened_at]])*100+MONTH(support_tickets[[#This Row],[opened_at]])</f>
        <v>202403</v>
      </c>
      <c r="V62" s="29">
        <f>DATE(YEAR(support_tickets[[#This Row],[opened_at]]),MONTH(support_tickets[[#This Row],[opened_at]]),1)</f>
        <v>45352</v>
      </c>
    </row>
    <row r="63" spans="1:22">
      <c r="A63">
        <v>7674997006</v>
      </c>
      <c r="B63">
        <v>532990767</v>
      </c>
      <c r="C63" t="s">
        <v>1236</v>
      </c>
      <c r="D63" t="s">
        <v>1237</v>
      </c>
      <c r="E63">
        <v>91734598</v>
      </c>
      <c r="G63" s="1">
        <v>45293.3830787037</v>
      </c>
      <c r="H63" s="1">
        <v>45293.878217592595</v>
      </c>
      <c r="I63" t="s">
        <v>3</v>
      </c>
      <c r="J63" t="s">
        <v>25</v>
      </c>
      <c r="K63" t="s">
        <v>20</v>
      </c>
      <c r="L63" t="s">
        <v>39</v>
      </c>
      <c r="M63">
        <v>25</v>
      </c>
      <c r="N63">
        <v>713</v>
      </c>
      <c r="O63">
        <v>0</v>
      </c>
      <c r="P63" t="s">
        <v>27</v>
      </c>
      <c r="Q63">
        <v>1142</v>
      </c>
      <c r="R63" t="s">
        <v>39</v>
      </c>
      <c r="S63">
        <f>IF(support_tickets[[#This Row],[status_cleaned]]="closed",1,0)</f>
        <v>1</v>
      </c>
      <c r="T63" t="str">
        <f>TEXT(support_tickets[[#This Row],[opened_at]],"mmm yyyy")</f>
        <v>Jan 2024</v>
      </c>
      <c r="U63">
        <f>YEAR(support_tickets[[#This Row],[opened_at]])*100+MONTH(support_tickets[[#This Row],[opened_at]])</f>
        <v>202401</v>
      </c>
      <c r="V63" s="29">
        <f>DATE(YEAR(support_tickets[[#This Row],[opened_at]]),MONTH(support_tickets[[#This Row],[opened_at]]),1)</f>
        <v>45292</v>
      </c>
    </row>
    <row r="64" spans="1:22">
      <c r="A64">
        <v>7986328381</v>
      </c>
      <c r="B64">
        <v>459748735</v>
      </c>
      <c r="C64" t="s">
        <v>258</v>
      </c>
      <c r="D64" t="s">
        <v>259</v>
      </c>
      <c r="E64">
        <v>60806024</v>
      </c>
      <c r="G64" s="1">
        <v>45364.586111111108</v>
      </c>
      <c r="H64" s="1">
        <v>45364.975694444445</v>
      </c>
      <c r="I64" t="s">
        <v>37</v>
      </c>
      <c r="J64" t="s">
        <v>19</v>
      </c>
      <c r="K64" t="s">
        <v>20</v>
      </c>
      <c r="L64" t="s">
        <v>39</v>
      </c>
      <c r="M64">
        <v>17</v>
      </c>
      <c r="N64">
        <v>561</v>
      </c>
      <c r="O64">
        <v>0</v>
      </c>
      <c r="P64" t="s">
        <v>22</v>
      </c>
      <c r="Q64">
        <v>1182</v>
      </c>
      <c r="R64" t="s">
        <v>39</v>
      </c>
      <c r="S64">
        <f>IF(support_tickets[[#This Row],[status_cleaned]]="closed",1,0)</f>
        <v>1</v>
      </c>
      <c r="T64" t="str">
        <f>TEXT(support_tickets[[#This Row],[opened_at]],"mmm yyyy")</f>
        <v>Mar 2024</v>
      </c>
      <c r="U64">
        <f>YEAR(support_tickets[[#This Row],[opened_at]])*100+MONTH(support_tickets[[#This Row],[opened_at]])</f>
        <v>202403</v>
      </c>
      <c r="V64" s="29">
        <f>DATE(YEAR(support_tickets[[#This Row],[opened_at]]),MONTH(support_tickets[[#This Row],[opened_at]]),1)</f>
        <v>45352</v>
      </c>
    </row>
    <row r="65" spans="1:22">
      <c r="A65">
        <v>8157055313</v>
      </c>
      <c r="B65">
        <v>178354184</v>
      </c>
      <c r="C65" t="s">
        <v>1435</v>
      </c>
      <c r="D65" t="s">
        <v>1436</v>
      </c>
      <c r="E65">
        <v>49349722</v>
      </c>
      <c r="G65" s="1">
        <v>45991.153749999998</v>
      </c>
      <c r="H65" s="1">
        <v>45991.43986111111</v>
      </c>
      <c r="I65" t="s">
        <v>43</v>
      </c>
      <c r="J65" t="s">
        <v>25</v>
      </c>
      <c r="K65" t="s">
        <v>20</v>
      </c>
      <c r="L65" t="s">
        <v>39</v>
      </c>
      <c r="M65">
        <v>92</v>
      </c>
      <c r="N65">
        <v>412</v>
      </c>
      <c r="O65">
        <v>0</v>
      </c>
      <c r="P65" t="s">
        <v>27</v>
      </c>
      <c r="Q65">
        <v>1204</v>
      </c>
      <c r="R65" t="s">
        <v>39</v>
      </c>
      <c r="S65">
        <f>IF(support_tickets[[#This Row],[status_cleaned]]="closed",1,0)</f>
        <v>1</v>
      </c>
      <c r="T65" t="str">
        <f>TEXT(support_tickets[[#This Row],[opened_at]],"mmm yyyy")</f>
        <v>Nov 2025</v>
      </c>
      <c r="U65">
        <f>YEAR(support_tickets[[#This Row],[opened_at]])*100+MONTH(support_tickets[[#This Row],[opened_at]])</f>
        <v>202511</v>
      </c>
      <c r="V65" s="29">
        <f>DATE(YEAR(support_tickets[[#This Row],[opened_at]]),MONTH(support_tickets[[#This Row],[opened_at]]),1)</f>
        <v>45962</v>
      </c>
    </row>
    <row r="66" spans="1:22">
      <c r="A66">
        <v>8177588181</v>
      </c>
      <c r="B66">
        <v>269737590</v>
      </c>
      <c r="C66" t="s">
        <v>1437</v>
      </c>
      <c r="D66" t="s">
        <v>1438</v>
      </c>
      <c r="E66">
        <v>45351479</v>
      </c>
      <c r="G66" s="1">
        <v>45870.341817129629</v>
      </c>
      <c r="H66" s="1">
        <v>45870.493206018517</v>
      </c>
      <c r="I66" t="s">
        <v>46</v>
      </c>
      <c r="J66" t="s">
        <v>19</v>
      </c>
      <c r="K66" t="s">
        <v>20</v>
      </c>
      <c r="L66" t="s">
        <v>39</v>
      </c>
      <c r="M66">
        <v>18</v>
      </c>
      <c r="N66">
        <v>218</v>
      </c>
      <c r="O66">
        <v>0</v>
      </c>
      <c r="P66" t="s">
        <v>22</v>
      </c>
      <c r="Q66">
        <v>1207</v>
      </c>
      <c r="R66" t="s">
        <v>39</v>
      </c>
      <c r="S66">
        <f>IF(support_tickets[[#This Row],[status_cleaned]]="closed",1,0)</f>
        <v>1</v>
      </c>
      <c r="T66" t="str">
        <f>TEXT(support_tickets[[#This Row],[opened_at]],"mmm yyyy")</f>
        <v>Aug 2025</v>
      </c>
      <c r="U66">
        <f>YEAR(support_tickets[[#This Row],[opened_at]])*100+MONTH(support_tickets[[#This Row],[opened_at]])</f>
        <v>202508</v>
      </c>
      <c r="V66" s="29">
        <f>DATE(YEAR(support_tickets[[#This Row],[opened_at]]),MONTH(support_tickets[[#This Row],[opened_at]]),1)</f>
        <v>45870</v>
      </c>
    </row>
    <row r="67" spans="1:22">
      <c r="A67">
        <v>8243971892</v>
      </c>
      <c r="B67">
        <v>788255012</v>
      </c>
      <c r="C67" t="s">
        <v>386</v>
      </c>
      <c r="D67" t="s">
        <v>387</v>
      </c>
      <c r="E67">
        <v>30513739</v>
      </c>
      <c r="F67">
        <v>4400697308</v>
      </c>
      <c r="G67" s="1">
        <v>46010.711099537039</v>
      </c>
      <c r="H67" s="1">
        <v>46011.236793981479</v>
      </c>
      <c r="I67" t="s">
        <v>37</v>
      </c>
      <c r="J67" t="s">
        <v>59</v>
      </c>
      <c r="K67" t="s">
        <v>20</v>
      </c>
      <c r="L67" t="s">
        <v>39</v>
      </c>
      <c r="M67">
        <v>42</v>
      </c>
      <c r="N67">
        <v>757</v>
      </c>
      <c r="O67">
        <v>0</v>
      </c>
      <c r="P67" t="s">
        <v>61</v>
      </c>
      <c r="Q67">
        <v>1218</v>
      </c>
      <c r="R67" t="s">
        <v>39</v>
      </c>
      <c r="S67">
        <f>IF(support_tickets[[#This Row],[status_cleaned]]="closed",1,0)</f>
        <v>1</v>
      </c>
      <c r="T67" t="str">
        <f>TEXT(support_tickets[[#This Row],[opened_at]],"mmm yyyy")</f>
        <v>Dec 2025</v>
      </c>
      <c r="U67">
        <f>YEAR(support_tickets[[#This Row],[opened_at]])*100+MONTH(support_tickets[[#This Row],[opened_at]])</f>
        <v>202512</v>
      </c>
      <c r="V67" s="29">
        <f>DATE(YEAR(support_tickets[[#This Row],[opened_at]]),MONTH(support_tickets[[#This Row],[opened_at]]),1)</f>
        <v>45992</v>
      </c>
    </row>
    <row r="68" spans="1:22">
      <c r="A68">
        <v>8603785258</v>
      </c>
      <c r="B68">
        <v>582452834</v>
      </c>
      <c r="C68" t="s">
        <v>1150</v>
      </c>
      <c r="D68" t="s">
        <v>1151</v>
      </c>
      <c r="E68">
        <v>43744231</v>
      </c>
      <c r="F68">
        <v>7098454628</v>
      </c>
      <c r="G68" s="1">
        <v>46052.019386574073</v>
      </c>
      <c r="H68" s="1">
        <v>46052.538831018515</v>
      </c>
      <c r="I68" t="s">
        <v>3</v>
      </c>
      <c r="J68" t="s">
        <v>38</v>
      </c>
      <c r="K68" t="s">
        <v>20</v>
      </c>
      <c r="L68" t="s">
        <v>39</v>
      </c>
      <c r="M68">
        <v>35</v>
      </c>
      <c r="N68">
        <v>748</v>
      </c>
      <c r="O68">
        <v>0</v>
      </c>
      <c r="P68" t="s">
        <v>40</v>
      </c>
      <c r="Q68">
        <v>1282</v>
      </c>
      <c r="R68" t="s">
        <v>39</v>
      </c>
      <c r="S68">
        <f>IF(support_tickets[[#This Row],[status_cleaned]]="closed",1,0)</f>
        <v>1</v>
      </c>
      <c r="T68" t="str">
        <f>TEXT(support_tickets[[#This Row],[opened_at]],"mmm yyyy")</f>
        <v>Jan 2026</v>
      </c>
      <c r="U68">
        <f>YEAR(support_tickets[[#This Row],[opened_at]])*100+MONTH(support_tickets[[#This Row],[opened_at]])</f>
        <v>202601</v>
      </c>
      <c r="V68" s="29">
        <f>DATE(YEAR(support_tickets[[#This Row],[opened_at]]),MONTH(support_tickets[[#This Row],[opened_at]]),1)</f>
        <v>46023</v>
      </c>
    </row>
    <row r="69" spans="1:22">
      <c r="A69">
        <v>8680701997</v>
      </c>
      <c r="B69">
        <v>872649234</v>
      </c>
      <c r="C69" t="s">
        <v>1330</v>
      </c>
      <c r="D69" t="s">
        <v>1331</v>
      </c>
      <c r="E69">
        <v>48840994</v>
      </c>
      <c r="F69">
        <v>1888734391</v>
      </c>
      <c r="G69" s="1">
        <v>45887.423518518517</v>
      </c>
      <c r="H69" s="1">
        <v>45887.660324074073</v>
      </c>
      <c r="I69" t="s">
        <v>56</v>
      </c>
      <c r="J69" t="s">
        <v>19</v>
      </c>
      <c r="K69" t="s">
        <v>20</v>
      </c>
      <c r="L69" t="s">
        <v>39</v>
      </c>
      <c r="M69">
        <v>41</v>
      </c>
      <c r="N69">
        <v>341</v>
      </c>
      <c r="O69">
        <v>0</v>
      </c>
      <c r="P69" t="s">
        <v>22</v>
      </c>
      <c r="Q69">
        <v>1293</v>
      </c>
      <c r="R69" t="s">
        <v>39</v>
      </c>
      <c r="S69">
        <f>IF(support_tickets[[#This Row],[status_cleaned]]="closed",1,0)</f>
        <v>1</v>
      </c>
      <c r="T69" t="str">
        <f>TEXT(support_tickets[[#This Row],[opened_at]],"mmm yyyy")</f>
        <v>Aug 2025</v>
      </c>
      <c r="U69">
        <f>YEAR(support_tickets[[#This Row],[opened_at]])*100+MONTH(support_tickets[[#This Row],[opened_at]])</f>
        <v>202508</v>
      </c>
      <c r="V69" s="29">
        <f>DATE(YEAR(support_tickets[[#This Row],[opened_at]]),MONTH(support_tickets[[#This Row],[opened_at]]),1)</f>
        <v>45870</v>
      </c>
    </row>
    <row r="70" spans="1:22">
      <c r="A70">
        <v>8766760796</v>
      </c>
      <c r="B70">
        <v>639991949</v>
      </c>
      <c r="C70" t="s">
        <v>590</v>
      </c>
      <c r="D70" t="s">
        <v>591</v>
      </c>
      <c r="E70">
        <v>45812670</v>
      </c>
      <c r="G70" s="1">
        <v>45293.401574074072</v>
      </c>
      <c r="H70" s="1">
        <v>45293.514074074075</v>
      </c>
      <c r="I70" t="s">
        <v>52</v>
      </c>
      <c r="J70" t="s">
        <v>30</v>
      </c>
      <c r="K70" t="s">
        <v>20</v>
      </c>
      <c r="L70" t="s">
        <v>39</v>
      </c>
      <c r="M70">
        <v>56</v>
      </c>
      <c r="N70">
        <v>162</v>
      </c>
      <c r="O70">
        <v>0</v>
      </c>
      <c r="P70" t="s">
        <v>31</v>
      </c>
      <c r="Q70">
        <v>1307</v>
      </c>
      <c r="R70" t="s">
        <v>39</v>
      </c>
      <c r="S70">
        <f>IF(support_tickets[[#This Row],[status_cleaned]]="closed",1,0)</f>
        <v>1</v>
      </c>
      <c r="T70" t="str">
        <f>TEXT(support_tickets[[#This Row],[opened_at]],"mmm yyyy")</f>
        <v>Jan 2024</v>
      </c>
      <c r="U70">
        <f>YEAR(support_tickets[[#This Row],[opened_at]])*100+MONTH(support_tickets[[#This Row],[opened_at]])</f>
        <v>202401</v>
      </c>
      <c r="V70" s="29">
        <f>DATE(YEAR(support_tickets[[#This Row],[opened_at]]),MONTH(support_tickets[[#This Row],[opened_at]]),1)</f>
        <v>45292</v>
      </c>
    </row>
    <row r="71" spans="1:22">
      <c r="A71">
        <v>8932718217</v>
      </c>
      <c r="B71">
        <v>746879296</v>
      </c>
      <c r="C71" t="s">
        <v>1457</v>
      </c>
      <c r="D71" t="s">
        <v>1458</v>
      </c>
      <c r="E71">
        <v>95822412</v>
      </c>
      <c r="G71" s="1">
        <v>45446.448784722219</v>
      </c>
      <c r="H71" s="1">
        <v>45446.843923611108</v>
      </c>
      <c r="I71" t="s">
        <v>52</v>
      </c>
      <c r="J71" t="s">
        <v>38</v>
      </c>
      <c r="K71" t="s">
        <v>20</v>
      </c>
      <c r="L71" t="s">
        <v>39</v>
      </c>
      <c r="M71">
        <v>9</v>
      </c>
      <c r="N71">
        <v>569</v>
      </c>
      <c r="O71">
        <v>0</v>
      </c>
      <c r="P71" t="s">
        <v>40</v>
      </c>
      <c r="Q71">
        <v>1333</v>
      </c>
      <c r="R71" t="s">
        <v>39</v>
      </c>
      <c r="S71">
        <f>IF(support_tickets[[#This Row],[status_cleaned]]="closed",1,0)</f>
        <v>1</v>
      </c>
      <c r="T71" t="str">
        <f>TEXT(support_tickets[[#This Row],[opened_at]],"mmm yyyy")</f>
        <v>Jun 2024</v>
      </c>
      <c r="U71">
        <f>YEAR(support_tickets[[#This Row],[opened_at]])*100+MONTH(support_tickets[[#This Row],[opened_at]])</f>
        <v>202406</v>
      </c>
      <c r="V71" s="29">
        <f>DATE(YEAR(support_tickets[[#This Row],[opened_at]]),MONTH(support_tickets[[#This Row],[opened_at]]),1)</f>
        <v>45444</v>
      </c>
    </row>
    <row r="72" spans="1:22">
      <c r="A72">
        <v>9116770673</v>
      </c>
      <c r="B72">
        <v>826239153</v>
      </c>
      <c r="C72" t="s">
        <v>1294</v>
      </c>
      <c r="D72" t="s">
        <v>1295</v>
      </c>
      <c r="E72">
        <v>25014631</v>
      </c>
      <c r="G72" s="1">
        <v>45751.410138888888</v>
      </c>
      <c r="H72" s="1">
        <v>45751.578888888886</v>
      </c>
      <c r="I72" t="s">
        <v>43</v>
      </c>
      <c r="J72" t="s">
        <v>59</v>
      </c>
      <c r="K72" t="s">
        <v>20</v>
      </c>
      <c r="L72" t="s">
        <v>39</v>
      </c>
      <c r="M72">
        <v>36</v>
      </c>
      <c r="N72">
        <v>243</v>
      </c>
      <c r="O72">
        <v>0</v>
      </c>
      <c r="P72" t="s">
        <v>61</v>
      </c>
      <c r="Q72">
        <v>1371</v>
      </c>
      <c r="R72" t="s">
        <v>39</v>
      </c>
      <c r="S72">
        <f>IF(support_tickets[[#This Row],[status_cleaned]]="closed",1,0)</f>
        <v>1</v>
      </c>
      <c r="T72" t="str">
        <f>TEXT(support_tickets[[#This Row],[opened_at]],"mmm yyyy")</f>
        <v>Apr 2025</v>
      </c>
      <c r="U72">
        <f>YEAR(support_tickets[[#This Row],[opened_at]])*100+MONTH(support_tickets[[#This Row],[opened_at]])</f>
        <v>202504</v>
      </c>
      <c r="V72" s="29">
        <f>DATE(YEAR(support_tickets[[#This Row],[opened_at]]),MONTH(support_tickets[[#This Row],[opened_at]]),1)</f>
        <v>45748</v>
      </c>
    </row>
    <row r="73" spans="1:22">
      <c r="A73">
        <v>9381688418</v>
      </c>
      <c r="B73">
        <v>838781242</v>
      </c>
      <c r="C73" t="s">
        <v>1439</v>
      </c>
      <c r="D73" t="s">
        <v>1440</v>
      </c>
      <c r="E73">
        <v>95758349</v>
      </c>
      <c r="G73" s="1">
        <v>45296.259953703702</v>
      </c>
      <c r="H73" s="1">
        <v>45296.717592592591</v>
      </c>
      <c r="I73" t="s">
        <v>18</v>
      </c>
      <c r="J73" t="s">
        <v>25</v>
      </c>
      <c r="K73" t="s">
        <v>20</v>
      </c>
      <c r="L73" t="s">
        <v>39</v>
      </c>
      <c r="M73">
        <v>57</v>
      </c>
      <c r="N73">
        <v>659</v>
      </c>
      <c r="O73">
        <v>0</v>
      </c>
      <c r="P73" t="s">
        <v>27</v>
      </c>
      <c r="Q73">
        <v>1415</v>
      </c>
      <c r="R73" t="s">
        <v>39</v>
      </c>
      <c r="S73">
        <f>IF(support_tickets[[#This Row],[status_cleaned]]="closed",1,0)</f>
        <v>1</v>
      </c>
      <c r="T73" t="str">
        <f>TEXT(support_tickets[[#This Row],[opened_at]],"mmm yyyy")</f>
        <v>Jan 2024</v>
      </c>
      <c r="U73">
        <f>YEAR(support_tickets[[#This Row],[opened_at]])*100+MONTH(support_tickets[[#This Row],[opened_at]])</f>
        <v>202401</v>
      </c>
      <c r="V73" s="29">
        <f>DATE(YEAR(support_tickets[[#This Row],[opened_at]]),MONTH(support_tickets[[#This Row],[opened_at]]),1)</f>
        <v>45292</v>
      </c>
    </row>
    <row r="74" spans="1:22">
      <c r="A74">
        <v>9571662836</v>
      </c>
      <c r="B74">
        <v>410812797</v>
      </c>
      <c r="C74" t="s">
        <v>90</v>
      </c>
      <c r="D74" t="s">
        <v>91</v>
      </c>
      <c r="E74">
        <v>22201654</v>
      </c>
      <c r="F74">
        <v>4006086273</v>
      </c>
      <c r="G74" s="1">
        <v>45921.290972222225</v>
      </c>
      <c r="H74" s="1">
        <v>45921.645138888889</v>
      </c>
      <c r="I74" t="s">
        <v>52</v>
      </c>
      <c r="J74" t="s">
        <v>38</v>
      </c>
      <c r="K74" t="s">
        <v>20</v>
      </c>
      <c r="L74" t="s">
        <v>39</v>
      </c>
      <c r="M74">
        <v>54</v>
      </c>
      <c r="N74">
        <v>510</v>
      </c>
      <c r="O74">
        <v>0</v>
      </c>
      <c r="P74" t="s">
        <v>40</v>
      </c>
      <c r="Q74">
        <v>1443</v>
      </c>
      <c r="R74" t="s">
        <v>39</v>
      </c>
      <c r="S74">
        <f>IF(support_tickets[[#This Row],[status_cleaned]]="closed",1,0)</f>
        <v>1</v>
      </c>
      <c r="T74" t="str">
        <f>TEXT(support_tickets[[#This Row],[opened_at]],"mmm yyyy")</f>
        <v>Sep 2025</v>
      </c>
      <c r="U74">
        <f>YEAR(support_tickets[[#This Row],[opened_at]])*100+MONTH(support_tickets[[#This Row],[opened_at]])</f>
        <v>202509</v>
      </c>
      <c r="V74" s="29">
        <f>DATE(YEAR(support_tickets[[#This Row],[opened_at]]),MONTH(support_tickets[[#This Row],[opened_at]]),1)</f>
        <v>45901</v>
      </c>
    </row>
    <row r="75" spans="1:22">
      <c r="A75">
        <v>9699023942</v>
      </c>
      <c r="B75">
        <v>761962359</v>
      </c>
      <c r="C75" t="s">
        <v>1384</v>
      </c>
      <c r="D75" t="s">
        <v>1385</v>
      </c>
      <c r="E75">
        <v>48840994</v>
      </c>
      <c r="F75">
        <v>7032536684</v>
      </c>
      <c r="G75" s="1">
        <v>45969.498877314814</v>
      </c>
      <c r="H75" s="1">
        <v>45969.555127314816</v>
      </c>
      <c r="I75" t="s">
        <v>3</v>
      </c>
      <c r="J75" t="s">
        <v>30</v>
      </c>
      <c r="K75" t="s">
        <v>20</v>
      </c>
      <c r="L75" t="s">
        <v>39</v>
      </c>
      <c r="M75">
        <v>11</v>
      </c>
      <c r="N75">
        <v>81</v>
      </c>
      <c r="O75">
        <v>0</v>
      </c>
      <c r="P75" t="s">
        <v>31</v>
      </c>
      <c r="Q75">
        <v>1469</v>
      </c>
      <c r="R75" t="s">
        <v>39</v>
      </c>
      <c r="S75">
        <f>IF(support_tickets[[#This Row],[status_cleaned]]="closed",1,0)</f>
        <v>1</v>
      </c>
      <c r="T75" t="str">
        <f>TEXT(support_tickets[[#This Row],[opened_at]],"mmm yyyy")</f>
        <v>Nov 2025</v>
      </c>
      <c r="U75">
        <f>YEAR(support_tickets[[#This Row],[opened_at]])*100+MONTH(support_tickets[[#This Row],[opened_at]])</f>
        <v>202511</v>
      </c>
      <c r="V75" s="29">
        <f>DATE(YEAR(support_tickets[[#This Row],[opened_at]]),MONTH(support_tickets[[#This Row],[opened_at]]),1)</f>
        <v>45962</v>
      </c>
    </row>
    <row r="76" spans="1:22">
      <c r="A76">
        <v>9771450806</v>
      </c>
      <c r="B76">
        <v>380840558</v>
      </c>
      <c r="C76" t="s">
        <v>1571</v>
      </c>
      <c r="D76" t="s">
        <v>1572</v>
      </c>
      <c r="E76">
        <v>49349722</v>
      </c>
      <c r="G76" s="1">
        <v>46077.108090277776</v>
      </c>
      <c r="H76" s="1">
        <v>46077.249756944446</v>
      </c>
      <c r="I76" t="s">
        <v>37</v>
      </c>
      <c r="J76" t="s">
        <v>59</v>
      </c>
      <c r="K76" t="s">
        <v>20</v>
      </c>
      <c r="L76" t="s">
        <v>39</v>
      </c>
      <c r="M76">
        <v>56</v>
      </c>
      <c r="N76">
        <v>204</v>
      </c>
      <c r="O76">
        <v>0</v>
      </c>
      <c r="P76" t="s">
        <v>61</v>
      </c>
      <c r="Q76">
        <v>1477</v>
      </c>
      <c r="R76" t="s">
        <v>39</v>
      </c>
      <c r="S76">
        <f>IF(support_tickets[[#This Row],[status_cleaned]]="closed",1,0)</f>
        <v>1</v>
      </c>
      <c r="T76" t="str">
        <f>TEXT(support_tickets[[#This Row],[opened_at]],"mmm yyyy")</f>
        <v>Feb 2026</v>
      </c>
      <c r="U76">
        <f>YEAR(support_tickets[[#This Row],[opened_at]])*100+MONTH(support_tickets[[#This Row],[opened_at]])</f>
        <v>202602</v>
      </c>
      <c r="V76" s="29">
        <f>DATE(YEAR(support_tickets[[#This Row],[opened_at]]),MONTH(support_tickets[[#This Row],[opened_at]]),1)</f>
        <v>46054</v>
      </c>
    </row>
    <row r="77" spans="1:22">
      <c r="A77">
        <v>9952439235</v>
      </c>
      <c r="B77">
        <v>846668526</v>
      </c>
      <c r="C77" t="s">
        <v>1451</v>
      </c>
      <c r="D77" t="s">
        <v>1452</v>
      </c>
      <c r="E77">
        <v>52235350</v>
      </c>
      <c r="G77" s="1">
        <v>45575.507569444446</v>
      </c>
      <c r="H77" s="1">
        <v>45575.961041666669</v>
      </c>
      <c r="I77" t="s">
        <v>56</v>
      </c>
      <c r="J77" t="s">
        <v>25</v>
      </c>
      <c r="K77" t="s">
        <v>20</v>
      </c>
      <c r="L77" t="s">
        <v>39</v>
      </c>
      <c r="M77">
        <v>3</v>
      </c>
      <c r="N77">
        <v>653</v>
      </c>
      <c r="O77">
        <v>0</v>
      </c>
      <c r="P77" t="s">
        <v>27</v>
      </c>
      <c r="Q77">
        <v>1495</v>
      </c>
      <c r="R77" t="s">
        <v>39</v>
      </c>
      <c r="S77">
        <f>IF(support_tickets[[#This Row],[status_cleaned]]="closed",1,0)</f>
        <v>1</v>
      </c>
      <c r="T77" t="str">
        <f>TEXT(support_tickets[[#This Row],[opened_at]],"mmm yyyy")</f>
        <v>Oct 2024</v>
      </c>
      <c r="U77">
        <f>YEAR(support_tickets[[#This Row],[opened_at]])*100+MONTH(support_tickets[[#This Row],[opened_at]])</f>
        <v>202410</v>
      </c>
      <c r="V77" s="29">
        <f>DATE(YEAR(support_tickets[[#This Row],[opened_at]]),MONTH(support_tickets[[#This Row],[opened_at]]),1)</f>
        <v>45566</v>
      </c>
    </row>
    <row r="78" spans="1:22">
      <c r="A78">
        <v>1074718908</v>
      </c>
      <c r="B78">
        <v>634211672</v>
      </c>
      <c r="C78" t="s">
        <v>69</v>
      </c>
      <c r="D78" t="s">
        <v>70</v>
      </c>
      <c r="E78">
        <v>66661351</v>
      </c>
      <c r="G78" s="1">
        <v>46016.555821759262</v>
      </c>
      <c r="I78" t="s">
        <v>18</v>
      </c>
      <c r="J78" t="s">
        <v>38</v>
      </c>
      <c r="K78" t="s">
        <v>20</v>
      </c>
      <c r="L78" t="s">
        <v>60</v>
      </c>
      <c r="M78">
        <v>73</v>
      </c>
      <c r="O78">
        <v>1</v>
      </c>
      <c r="P78" t="s">
        <v>40</v>
      </c>
      <c r="Q78">
        <v>15</v>
      </c>
      <c r="R78" t="s">
        <v>53</v>
      </c>
      <c r="S78">
        <f>IF(support_tickets[[#This Row],[status_cleaned]]="closed",1,0)</f>
        <v>0</v>
      </c>
      <c r="T78" t="str">
        <f>TEXT(support_tickets[[#This Row],[opened_at]],"mmm yyyy")</f>
        <v>Dec 2025</v>
      </c>
      <c r="U78">
        <f>YEAR(support_tickets[[#This Row],[opened_at]])*100+MONTH(support_tickets[[#This Row],[opened_at]])</f>
        <v>202512</v>
      </c>
      <c r="V78" s="29">
        <f>DATE(YEAR(support_tickets[[#This Row],[opened_at]]),MONTH(support_tickets[[#This Row],[opened_at]]),1)</f>
        <v>45992</v>
      </c>
    </row>
    <row r="79" spans="1:22">
      <c r="A79">
        <v>1592921738</v>
      </c>
      <c r="B79">
        <v>410812797</v>
      </c>
      <c r="C79" t="s">
        <v>90</v>
      </c>
      <c r="D79" t="s">
        <v>91</v>
      </c>
      <c r="E79">
        <v>10435578</v>
      </c>
      <c r="G79" s="1">
        <v>45775.36922453704</v>
      </c>
      <c r="I79" t="s">
        <v>46</v>
      </c>
      <c r="J79" t="s">
        <v>38</v>
      </c>
      <c r="K79" t="s">
        <v>20</v>
      </c>
      <c r="L79" t="s">
        <v>60</v>
      </c>
      <c r="M79">
        <v>48</v>
      </c>
      <c r="O79">
        <v>1</v>
      </c>
      <c r="P79" t="s">
        <v>40</v>
      </c>
      <c r="Q79">
        <v>103</v>
      </c>
      <c r="R79" t="s">
        <v>53</v>
      </c>
      <c r="S79">
        <f>IF(support_tickets[[#This Row],[status_cleaned]]="closed",1,0)</f>
        <v>0</v>
      </c>
      <c r="T79" t="str">
        <f>TEXT(support_tickets[[#This Row],[opened_at]],"mmm yyyy")</f>
        <v>Apr 2025</v>
      </c>
      <c r="U79">
        <f>YEAR(support_tickets[[#This Row],[opened_at]])*100+MONTH(support_tickets[[#This Row],[opened_at]])</f>
        <v>202504</v>
      </c>
      <c r="V79" s="29">
        <f>DATE(YEAR(support_tickets[[#This Row],[opened_at]]),MONTH(support_tickets[[#This Row],[opened_at]]),1)</f>
        <v>45748</v>
      </c>
    </row>
    <row r="80" spans="1:22">
      <c r="A80">
        <v>1604466898</v>
      </c>
      <c r="B80">
        <v>411871167</v>
      </c>
      <c r="C80" t="s">
        <v>238</v>
      </c>
      <c r="D80" t="s">
        <v>239</v>
      </c>
      <c r="E80">
        <v>10076758</v>
      </c>
      <c r="F80">
        <v>5025345979</v>
      </c>
      <c r="G80" s="1">
        <v>45584.347048611111</v>
      </c>
      <c r="I80" t="s">
        <v>18</v>
      </c>
      <c r="J80" t="s">
        <v>19</v>
      </c>
      <c r="K80" t="s">
        <v>20</v>
      </c>
      <c r="L80" t="s">
        <v>60</v>
      </c>
      <c r="M80">
        <v>52</v>
      </c>
      <c r="O80">
        <v>1</v>
      </c>
      <c r="P80" t="s">
        <v>22</v>
      </c>
      <c r="Q80">
        <v>105</v>
      </c>
      <c r="R80" t="s">
        <v>53</v>
      </c>
      <c r="S80">
        <f>IF(support_tickets[[#This Row],[status_cleaned]]="closed",1,0)</f>
        <v>0</v>
      </c>
      <c r="T80" t="str">
        <f>TEXT(support_tickets[[#This Row],[opened_at]],"mmm yyyy")</f>
        <v>Oct 2024</v>
      </c>
      <c r="U80">
        <f>YEAR(support_tickets[[#This Row],[opened_at]])*100+MONTH(support_tickets[[#This Row],[opened_at]])</f>
        <v>202410</v>
      </c>
      <c r="V80" s="29">
        <f>DATE(YEAR(support_tickets[[#This Row],[opened_at]]),MONTH(support_tickets[[#This Row],[opened_at]]),1)</f>
        <v>45566</v>
      </c>
    </row>
    <row r="81" spans="1:22">
      <c r="A81">
        <v>1610046667</v>
      </c>
      <c r="B81">
        <v>861003571</v>
      </c>
      <c r="C81" t="s">
        <v>242</v>
      </c>
      <c r="D81" t="s">
        <v>243</v>
      </c>
      <c r="E81">
        <v>58537831</v>
      </c>
      <c r="F81">
        <v>5916093622</v>
      </c>
      <c r="G81" s="1">
        <v>45388.185567129629</v>
      </c>
      <c r="I81" t="s">
        <v>18</v>
      </c>
      <c r="J81" t="s">
        <v>30</v>
      </c>
      <c r="K81" t="s">
        <v>20</v>
      </c>
      <c r="L81" t="s">
        <v>60</v>
      </c>
      <c r="M81">
        <v>52</v>
      </c>
      <c r="O81">
        <v>1</v>
      </c>
      <c r="P81" t="s">
        <v>31</v>
      </c>
      <c r="Q81">
        <v>107</v>
      </c>
      <c r="R81" t="s">
        <v>53</v>
      </c>
      <c r="S81">
        <f>IF(support_tickets[[#This Row],[status_cleaned]]="closed",1,0)</f>
        <v>0</v>
      </c>
      <c r="T81" t="str">
        <f>TEXT(support_tickets[[#This Row],[opened_at]],"mmm yyyy")</f>
        <v>Apr 2024</v>
      </c>
      <c r="U81">
        <f>YEAR(support_tickets[[#This Row],[opened_at]])*100+MONTH(support_tickets[[#This Row],[opened_at]])</f>
        <v>202404</v>
      </c>
      <c r="V81" s="29">
        <f>DATE(YEAR(support_tickets[[#This Row],[opened_at]]),MONTH(support_tickets[[#This Row],[opened_at]]),1)</f>
        <v>45383</v>
      </c>
    </row>
    <row r="82" spans="1:22">
      <c r="A82">
        <v>1810828128</v>
      </c>
      <c r="B82">
        <v>295381429</v>
      </c>
      <c r="C82" t="s">
        <v>330</v>
      </c>
      <c r="D82" t="s">
        <v>331</v>
      </c>
      <c r="E82">
        <v>19289546</v>
      </c>
      <c r="F82">
        <v>8122962522</v>
      </c>
      <c r="G82" s="1">
        <v>46089.607453703706</v>
      </c>
      <c r="I82" t="s">
        <v>43</v>
      </c>
      <c r="J82" t="s">
        <v>30</v>
      </c>
      <c r="K82" t="s">
        <v>20</v>
      </c>
      <c r="L82" t="s">
        <v>60</v>
      </c>
      <c r="M82">
        <v>57</v>
      </c>
      <c r="O82">
        <v>1</v>
      </c>
      <c r="P82" t="s">
        <v>31</v>
      </c>
      <c r="Q82">
        <v>159</v>
      </c>
      <c r="R82" t="s">
        <v>53</v>
      </c>
      <c r="S82">
        <f>IF(support_tickets[[#This Row],[status_cleaned]]="closed",1,0)</f>
        <v>0</v>
      </c>
      <c r="T82" t="str">
        <f>TEXT(support_tickets[[#This Row],[opened_at]],"mmm yyyy")</f>
        <v>Mar 2026</v>
      </c>
      <c r="U82">
        <f>YEAR(support_tickets[[#This Row],[opened_at]])*100+MONTH(support_tickets[[#This Row],[opened_at]])</f>
        <v>202603</v>
      </c>
      <c r="V82" s="29">
        <f>DATE(YEAR(support_tickets[[#This Row],[opened_at]]),MONTH(support_tickets[[#This Row],[opened_at]]),1)</f>
        <v>46082</v>
      </c>
    </row>
    <row r="83" spans="1:22">
      <c r="A83">
        <v>1886008703</v>
      </c>
      <c r="B83">
        <v>399580835</v>
      </c>
      <c r="C83" t="s">
        <v>356</v>
      </c>
      <c r="D83" t="s">
        <v>357</v>
      </c>
      <c r="E83">
        <v>46231783</v>
      </c>
      <c r="G83" s="1">
        <v>46107.231400462966</v>
      </c>
      <c r="I83" t="s">
        <v>56</v>
      </c>
      <c r="J83" t="s">
        <v>59</v>
      </c>
      <c r="K83" t="s">
        <v>20</v>
      </c>
      <c r="L83" t="s">
        <v>60</v>
      </c>
      <c r="M83">
        <v>36</v>
      </c>
      <c r="O83">
        <v>1</v>
      </c>
      <c r="P83" t="s">
        <v>61</v>
      </c>
      <c r="Q83">
        <v>176</v>
      </c>
      <c r="R83" t="s">
        <v>53</v>
      </c>
      <c r="S83">
        <f>IF(support_tickets[[#This Row],[status_cleaned]]="closed",1,0)</f>
        <v>0</v>
      </c>
      <c r="T83" t="str">
        <f>TEXT(support_tickets[[#This Row],[opened_at]],"mmm yyyy")</f>
        <v>Mar 2026</v>
      </c>
      <c r="U83">
        <f>YEAR(support_tickets[[#This Row],[opened_at]])*100+MONTH(support_tickets[[#This Row],[opened_at]])</f>
        <v>202603</v>
      </c>
      <c r="V83" s="29">
        <f>DATE(YEAR(support_tickets[[#This Row],[opened_at]]),MONTH(support_tickets[[#This Row],[opened_at]]),1)</f>
        <v>46082</v>
      </c>
    </row>
    <row r="84" spans="1:22">
      <c r="A84">
        <v>1973604824</v>
      </c>
      <c r="B84">
        <v>251266214</v>
      </c>
      <c r="C84" t="s">
        <v>388</v>
      </c>
      <c r="D84" t="s">
        <v>389</v>
      </c>
      <c r="E84">
        <v>42857966</v>
      </c>
      <c r="F84">
        <v>5627318014</v>
      </c>
      <c r="G84" s="1">
        <v>45970.379525462966</v>
      </c>
      <c r="I84" t="s">
        <v>3</v>
      </c>
      <c r="J84" t="s">
        <v>38</v>
      </c>
      <c r="K84" t="s">
        <v>20</v>
      </c>
      <c r="L84" t="s">
        <v>60</v>
      </c>
      <c r="M84">
        <v>57</v>
      </c>
      <c r="O84">
        <v>1</v>
      </c>
      <c r="P84" t="s">
        <v>40</v>
      </c>
      <c r="Q84">
        <v>194</v>
      </c>
      <c r="R84" t="s">
        <v>53</v>
      </c>
      <c r="S84">
        <f>IF(support_tickets[[#This Row],[status_cleaned]]="closed",1,0)</f>
        <v>0</v>
      </c>
      <c r="T84" t="str">
        <f>TEXT(support_tickets[[#This Row],[opened_at]],"mmm yyyy")</f>
        <v>Nov 2025</v>
      </c>
      <c r="U84">
        <f>YEAR(support_tickets[[#This Row],[opened_at]])*100+MONTH(support_tickets[[#This Row],[opened_at]])</f>
        <v>202511</v>
      </c>
      <c r="V84" s="29">
        <f>DATE(YEAR(support_tickets[[#This Row],[opened_at]]),MONTH(support_tickets[[#This Row],[opened_at]]),1)</f>
        <v>45962</v>
      </c>
    </row>
    <row r="85" spans="1:22">
      <c r="A85">
        <v>2115438431</v>
      </c>
      <c r="B85">
        <v>610778600</v>
      </c>
      <c r="C85" t="s">
        <v>412</v>
      </c>
      <c r="D85" t="s">
        <v>413</v>
      </c>
      <c r="E85">
        <v>53524491</v>
      </c>
      <c r="F85">
        <v>9898412960</v>
      </c>
      <c r="G85" s="1">
        <v>45945.721851851849</v>
      </c>
      <c r="I85" t="s">
        <v>18</v>
      </c>
      <c r="J85" t="s">
        <v>19</v>
      </c>
      <c r="K85" t="s">
        <v>20</v>
      </c>
      <c r="L85" t="s">
        <v>60</v>
      </c>
      <c r="M85">
        <v>48</v>
      </c>
      <c r="O85">
        <v>1</v>
      </c>
      <c r="P85" t="s">
        <v>22</v>
      </c>
      <c r="Q85">
        <v>208</v>
      </c>
      <c r="R85" t="s">
        <v>53</v>
      </c>
      <c r="S85">
        <f>IF(support_tickets[[#This Row],[status_cleaned]]="closed",1,0)</f>
        <v>0</v>
      </c>
      <c r="T85" t="str">
        <f>TEXT(support_tickets[[#This Row],[opened_at]],"mmm yyyy")</f>
        <v>Oct 2025</v>
      </c>
      <c r="U85">
        <f>YEAR(support_tickets[[#This Row],[opened_at]])*100+MONTH(support_tickets[[#This Row],[opened_at]])</f>
        <v>202510</v>
      </c>
      <c r="V85" s="29">
        <f>DATE(YEAR(support_tickets[[#This Row],[opened_at]]),MONTH(support_tickets[[#This Row],[opened_at]]),1)</f>
        <v>45931</v>
      </c>
    </row>
    <row r="86" spans="1:22">
      <c r="A86">
        <v>3348758451</v>
      </c>
      <c r="B86">
        <v>781887358</v>
      </c>
      <c r="C86" t="s">
        <v>714</v>
      </c>
      <c r="D86" t="s">
        <v>715</v>
      </c>
      <c r="E86">
        <v>51837852</v>
      </c>
      <c r="G86" s="1">
        <v>45943.77244212963</v>
      </c>
      <c r="H86" s="1">
        <v>45944.659247685187</v>
      </c>
      <c r="I86" t="s">
        <v>56</v>
      </c>
      <c r="J86" t="s">
        <v>30</v>
      </c>
      <c r="K86" t="s">
        <v>20</v>
      </c>
      <c r="L86" t="s">
        <v>60</v>
      </c>
      <c r="M86">
        <v>13</v>
      </c>
      <c r="N86">
        <v>1277</v>
      </c>
      <c r="O86">
        <v>1</v>
      </c>
      <c r="P86" t="s">
        <v>31</v>
      </c>
      <c r="Q86">
        <v>424</v>
      </c>
      <c r="R86" t="s">
        <v>53</v>
      </c>
      <c r="S86">
        <f>IF(support_tickets[[#This Row],[status_cleaned]]="closed",1,0)</f>
        <v>0</v>
      </c>
      <c r="T86" t="str">
        <f>TEXT(support_tickets[[#This Row],[opened_at]],"mmm yyyy")</f>
        <v>Oct 2025</v>
      </c>
      <c r="U86">
        <f>YEAR(support_tickets[[#This Row],[opened_at]])*100+MONTH(support_tickets[[#This Row],[opened_at]])</f>
        <v>202510</v>
      </c>
      <c r="V86" s="29">
        <f>DATE(YEAR(support_tickets[[#This Row],[opened_at]]),MONTH(support_tickets[[#This Row],[opened_at]]),1)</f>
        <v>45931</v>
      </c>
    </row>
    <row r="87" spans="1:22">
      <c r="A87">
        <v>3802974096</v>
      </c>
      <c r="B87">
        <v>417604347</v>
      </c>
      <c r="C87" t="s">
        <v>814</v>
      </c>
      <c r="D87" t="s">
        <v>815</v>
      </c>
      <c r="E87">
        <v>99949389</v>
      </c>
      <c r="G87" s="1">
        <v>45528.824490740742</v>
      </c>
      <c r="I87" t="s">
        <v>37</v>
      </c>
      <c r="J87" t="s">
        <v>38</v>
      </c>
      <c r="K87" t="s">
        <v>20</v>
      </c>
      <c r="L87" t="s">
        <v>60</v>
      </c>
      <c r="M87">
        <v>17</v>
      </c>
      <c r="O87">
        <v>1</v>
      </c>
      <c r="P87" t="s">
        <v>40</v>
      </c>
      <c r="Q87">
        <v>500</v>
      </c>
      <c r="R87" t="s">
        <v>53</v>
      </c>
      <c r="S87">
        <f>IF(support_tickets[[#This Row],[status_cleaned]]="closed",1,0)</f>
        <v>0</v>
      </c>
      <c r="T87" t="str">
        <f>TEXT(support_tickets[[#This Row],[opened_at]],"mmm yyyy")</f>
        <v>Aug 2024</v>
      </c>
      <c r="U87">
        <f>YEAR(support_tickets[[#This Row],[opened_at]])*100+MONTH(support_tickets[[#This Row],[opened_at]])</f>
        <v>202408</v>
      </c>
      <c r="V87" s="29">
        <f>DATE(YEAR(support_tickets[[#This Row],[opened_at]]),MONTH(support_tickets[[#This Row],[opened_at]]),1)</f>
        <v>45505</v>
      </c>
    </row>
    <row r="88" spans="1:22">
      <c r="A88">
        <v>3901494974</v>
      </c>
      <c r="B88">
        <v>652681586</v>
      </c>
      <c r="C88" t="s">
        <v>826</v>
      </c>
      <c r="D88" t="s">
        <v>827</v>
      </c>
      <c r="E88">
        <v>80823176</v>
      </c>
      <c r="G88" s="1">
        <v>45980.504074074073</v>
      </c>
      <c r="H88" s="1">
        <v>45980.784629629627</v>
      </c>
      <c r="I88" t="s">
        <v>52</v>
      </c>
      <c r="J88" t="s">
        <v>38</v>
      </c>
      <c r="K88" t="s">
        <v>20</v>
      </c>
      <c r="L88" t="s">
        <v>60</v>
      </c>
      <c r="M88">
        <v>7</v>
      </c>
      <c r="N88">
        <v>404</v>
      </c>
      <c r="O88">
        <v>1</v>
      </c>
      <c r="P88" t="s">
        <v>40</v>
      </c>
      <c r="Q88">
        <v>510</v>
      </c>
      <c r="R88" t="s">
        <v>53</v>
      </c>
      <c r="S88">
        <f>IF(support_tickets[[#This Row],[status_cleaned]]="closed",1,0)</f>
        <v>0</v>
      </c>
      <c r="T88" t="str">
        <f>TEXT(support_tickets[[#This Row],[opened_at]],"mmm yyyy")</f>
        <v>Nov 2025</v>
      </c>
      <c r="U88">
        <f>YEAR(support_tickets[[#This Row],[opened_at]])*100+MONTH(support_tickets[[#This Row],[opened_at]])</f>
        <v>202511</v>
      </c>
      <c r="V88" s="29">
        <f>DATE(YEAR(support_tickets[[#This Row],[opened_at]]),MONTH(support_tickets[[#This Row],[opened_at]]),1)</f>
        <v>45962</v>
      </c>
    </row>
    <row r="89" spans="1:22">
      <c r="A89">
        <v>4341994651</v>
      </c>
      <c r="B89">
        <v>470585534</v>
      </c>
      <c r="C89" t="s">
        <v>190</v>
      </c>
      <c r="D89" t="s">
        <v>191</v>
      </c>
      <c r="E89">
        <v>40742311</v>
      </c>
      <c r="G89" s="1">
        <v>45457.768078703702</v>
      </c>
      <c r="H89" s="1">
        <v>45457.817384259259</v>
      </c>
      <c r="I89" t="s">
        <v>46</v>
      </c>
      <c r="J89" t="s">
        <v>59</v>
      </c>
      <c r="K89" t="s">
        <v>20</v>
      </c>
      <c r="L89" t="s">
        <v>60</v>
      </c>
      <c r="M89">
        <v>61</v>
      </c>
      <c r="N89">
        <v>71</v>
      </c>
      <c r="O89">
        <v>1</v>
      </c>
      <c r="P89" t="s">
        <v>61</v>
      </c>
      <c r="Q89">
        <v>579</v>
      </c>
      <c r="R89" t="s">
        <v>53</v>
      </c>
      <c r="S89">
        <f>IF(support_tickets[[#This Row],[status_cleaned]]="closed",1,0)</f>
        <v>0</v>
      </c>
      <c r="T89" t="str">
        <f>TEXT(support_tickets[[#This Row],[opened_at]],"mmm yyyy")</f>
        <v>Jun 2024</v>
      </c>
      <c r="U89">
        <f>YEAR(support_tickets[[#This Row],[opened_at]])*100+MONTH(support_tickets[[#This Row],[opened_at]])</f>
        <v>202406</v>
      </c>
      <c r="V89" s="29">
        <f>DATE(YEAR(support_tickets[[#This Row],[opened_at]]),MONTH(support_tickets[[#This Row],[opened_at]]),1)</f>
        <v>45444</v>
      </c>
    </row>
    <row r="90" spans="1:22">
      <c r="A90">
        <v>4486324021</v>
      </c>
      <c r="B90">
        <v>914799481</v>
      </c>
      <c r="C90" t="s">
        <v>946</v>
      </c>
      <c r="D90" t="s">
        <v>947</v>
      </c>
      <c r="E90">
        <v>60185867</v>
      </c>
      <c r="F90">
        <v>7316602744</v>
      </c>
      <c r="G90" s="1">
        <v>45817.52915509259</v>
      </c>
      <c r="I90" t="s">
        <v>43</v>
      </c>
      <c r="J90" t="s">
        <v>59</v>
      </c>
      <c r="K90" t="s">
        <v>20</v>
      </c>
      <c r="L90" t="s">
        <v>60</v>
      </c>
      <c r="M90">
        <v>33</v>
      </c>
      <c r="O90">
        <v>1</v>
      </c>
      <c r="P90" t="s">
        <v>61</v>
      </c>
      <c r="Q90">
        <v>609</v>
      </c>
      <c r="R90" t="s">
        <v>53</v>
      </c>
      <c r="S90">
        <f>IF(support_tickets[[#This Row],[status_cleaned]]="closed",1,0)</f>
        <v>0</v>
      </c>
      <c r="T90" t="str">
        <f>TEXT(support_tickets[[#This Row],[opened_at]],"mmm yyyy")</f>
        <v>Jun 2025</v>
      </c>
      <c r="U90">
        <f>YEAR(support_tickets[[#This Row],[opened_at]])*100+MONTH(support_tickets[[#This Row],[opened_at]])</f>
        <v>202506</v>
      </c>
      <c r="V90" s="29">
        <f>DATE(YEAR(support_tickets[[#This Row],[opened_at]]),MONTH(support_tickets[[#This Row],[opened_at]]),1)</f>
        <v>45809</v>
      </c>
    </row>
    <row r="91" spans="1:22">
      <c r="A91">
        <v>4706611053</v>
      </c>
      <c r="B91">
        <v>871880418</v>
      </c>
      <c r="C91" t="s">
        <v>992</v>
      </c>
      <c r="D91" t="s">
        <v>993</v>
      </c>
      <c r="E91">
        <v>10435578</v>
      </c>
      <c r="F91">
        <v>1697341120</v>
      </c>
      <c r="G91" s="1">
        <v>45885.673888888887</v>
      </c>
      <c r="I91" t="s">
        <v>46</v>
      </c>
      <c r="J91" t="s">
        <v>19</v>
      </c>
      <c r="K91" t="s">
        <v>20</v>
      </c>
      <c r="L91" t="s">
        <v>60</v>
      </c>
      <c r="M91">
        <v>28</v>
      </c>
      <c r="O91">
        <v>1</v>
      </c>
      <c r="P91" t="s">
        <v>22</v>
      </c>
      <c r="Q91">
        <v>648</v>
      </c>
      <c r="R91" t="s">
        <v>53</v>
      </c>
      <c r="S91">
        <f>IF(support_tickets[[#This Row],[status_cleaned]]="closed",1,0)</f>
        <v>0</v>
      </c>
      <c r="T91" t="str">
        <f>TEXT(support_tickets[[#This Row],[opened_at]],"mmm yyyy")</f>
        <v>Aug 2025</v>
      </c>
      <c r="U91">
        <f>YEAR(support_tickets[[#This Row],[opened_at]])*100+MONTH(support_tickets[[#This Row],[opened_at]])</f>
        <v>202508</v>
      </c>
      <c r="V91" s="29">
        <f>DATE(YEAR(support_tickets[[#This Row],[opened_at]]),MONTH(support_tickets[[#This Row],[opened_at]]),1)</f>
        <v>45870</v>
      </c>
    </row>
    <row r="92" spans="1:22">
      <c r="A92">
        <v>4749369776</v>
      </c>
      <c r="B92">
        <v>409011489</v>
      </c>
      <c r="C92" t="s">
        <v>1000</v>
      </c>
      <c r="D92" t="s">
        <v>1001</v>
      </c>
      <c r="E92">
        <v>58537831</v>
      </c>
      <c r="F92">
        <v>2025497024</v>
      </c>
      <c r="G92" s="1">
        <v>45898.311956018515</v>
      </c>
      <c r="I92" t="s">
        <v>43</v>
      </c>
      <c r="J92" t="s">
        <v>19</v>
      </c>
      <c r="K92" t="s">
        <v>20</v>
      </c>
      <c r="L92" t="s">
        <v>60</v>
      </c>
      <c r="M92">
        <v>32</v>
      </c>
      <c r="O92">
        <v>1</v>
      </c>
      <c r="P92" t="s">
        <v>22</v>
      </c>
      <c r="Q92">
        <v>656</v>
      </c>
      <c r="R92" t="s">
        <v>53</v>
      </c>
      <c r="S92">
        <f>IF(support_tickets[[#This Row],[status_cleaned]]="closed",1,0)</f>
        <v>0</v>
      </c>
      <c r="T92" t="str">
        <f>TEXT(support_tickets[[#This Row],[opened_at]],"mmm yyyy")</f>
        <v>Aug 2025</v>
      </c>
      <c r="U92">
        <f>YEAR(support_tickets[[#This Row],[opened_at]])*100+MONTH(support_tickets[[#This Row],[opened_at]])</f>
        <v>202508</v>
      </c>
      <c r="V92" s="29">
        <f>DATE(YEAR(support_tickets[[#This Row],[opened_at]]),MONTH(support_tickets[[#This Row],[opened_at]]),1)</f>
        <v>45870</v>
      </c>
    </row>
    <row r="93" spans="1:22">
      <c r="A93">
        <v>4770185521</v>
      </c>
      <c r="B93">
        <v>381080560</v>
      </c>
      <c r="C93" t="s">
        <v>1008</v>
      </c>
      <c r="D93" t="s">
        <v>1009</v>
      </c>
      <c r="E93">
        <v>83793389</v>
      </c>
      <c r="F93">
        <v>9232151988</v>
      </c>
      <c r="G93" s="1">
        <v>45396.940474537034</v>
      </c>
      <c r="I93" t="s">
        <v>37</v>
      </c>
      <c r="J93" t="s">
        <v>19</v>
      </c>
      <c r="K93" t="s">
        <v>20</v>
      </c>
      <c r="L93" t="s">
        <v>60</v>
      </c>
      <c r="M93">
        <v>9</v>
      </c>
      <c r="O93">
        <v>1</v>
      </c>
      <c r="P93" t="s">
        <v>22</v>
      </c>
      <c r="Q93">
        <v>661</v>
      </c>
      <c r="R93" t="s">
        <v>53</v>
      </c>
      <c r="S93">
        <f>IF(support_tickets[[#This Row],[status_cleaned]]="closed",1,0)</f>
        <v>0</v>
      </c>
      <c r="T93" t="str">
        <f>TEXT(support_tickets[[#This Row],[opened_at]],"mmm yyyy")</f>
        <v>Apr 2024</v>
      </c>
      <c r="U93">
        <f>YEAR(support_tickets[[#This Row],[opened_at]])*100+MONTH(support_tickets[[#This Row],[opened_at]])</f>
        <v>202404</v>
      </c>
      <c r="V93" s="29">
        <f>DATE(YEAR(support_tickets[[#This Row],[opened_at]]),MONTH(support_tickets[[#This Row],[opened_at]]),1)</f>
        <v>45383</v>
      </c>
    </row>
    <row r="94" spans="1:22">
      <c r="A94">
        <v>4789795295</v>
      </c>
      <c r="B94">
        <v>751396498</v>
      </c>
      <c r="C94" t="s">
        <v>1018</v>
      </c>
      <c r="D94" t="s">
        <v>1019</v>
      </c>
      <c r="E94">
        <v>38317637</v>
      </c>
      <c r="G94" s="1">
        <v>45880.103020833332</v>
      </c>
      <c r="I94" t="s">
        <v>52</v>
      </c>
      <c r="J94" t="s">
        <v>30</v>
      </c>
      <c r="K94" t="s">
        <v>20</v>
      </c>
      <c r="L94" t="s">
        <v>60</v>
      </c>
      <c r="M94">
        <v>1</v>
      </c>
      <c r="O94">
        <v>1</v>
      </c>
      <c r="P94" t="s">
        <v>31</v>
      </c>
      <c r="Q94">
        <v>666</v>
      </c>
      <c r="R94" t="s">
        <v>53</v>
      </c>
      <c r="S94">
        <f>IF(support_tickets[[#This Row],[status_cleaned]]="closed",1,0)</f>
        <v>0</v>
      </c>
      <c r="T94" t="str">
        <f>TEXT(support_tickets[[#This Row],[opened_at]],"mmm yyyy")</f>
        <v>Aug 2025</v>
      </c>
      <c r="U94">
        <f>YEAR(support_tickets[[#This Row],[opened_at]])*100+MONTH(support_tickets[[#This Row],[opened_at]])</f>
        <v>202508</v>
      </c>
      <c r="V94" s="29">
        <f>DATE(YEAR(support_tickets[[#This Row],[opened_at]]),MONTH(support_tickets[[#This Row],[opened_at]]),1)</f>
        <v>45870</v>
      </c>
    </row>
    <row r="95" spans="1:22">
      <c r="A95">
        <v>4794327780</v>
      </c>
      <c r="B95">
        <v>857563699</v>
      </c>
      <c r="C95" t="s">
        <v>296</v>
      </c>
      <c r="D95" t="s">
        <v>297</v>
      </c>
      <c r="E95">
        <v>77187530</v>
      </c>
      <c r="F95">
        <v>7966945268</v>
      </c>
      <c r="G95" s="1">
        <v>45932.374340277776</v>
      </c>
      <c r="I95" t="s">
        <v>43</v>
      </c>
      <c r="J95" t="s">
        <v>25</v>
      </c>
      <c r="K95" t="s">
        <v>20</v>
      </c>
      <c r="L95" t="s">
        <v>60</v>
      </c>
      <c r="M95">
        <v>100</v>
      </c>
      <c r="O95">
        <v>1</v>
      </c>
      <c r="P95" t="s">
        <v>27</v>
      </c>
      <c r="Q95">
        <v>667</v>
      </c>
      <c r="R95" t="s">
        <v>53</v>
      </c>
      <c r="S95">
        <f>IF(support_tickets[[#This Row],[status_cleaned]]="closed",1,0)</f>
        <v>0</v>
      </c>
      <c r="T95" t="str">
        <f>TEXT(support_tickets[[#This Row],[opened_at]],"mmm yyyy")</f>
        <v>Oct 2025</v>
      </c>
      <c r="U95">
        <f>YEAR(support_tickets[[#This Row],[opened_at]])*100+MONTH(support_tickets[[#This Row],[opened_at]])</f>
        <v>202510</v>
      </c>
      <c r="V95" s="29">
        <f>DATE(YEAR(support_tickets[[#This Row],[opened_at]]),MONTH(support_tickets[[#This Row],[opened_at]]),1)</f>
        <v>45931</v>
      </c>
    </row>
    <row r="96" spans="1:22">
      <c r="A96">
        <v>4889978691</v>
      </c>
      <c r="B96">
        <v>569172971</v>
      </c>
      <c r="C96" t="s">
        <v>104</v>
      </c>
      <c r="D96" t="s">
        <v>105</v>
      </c>
      <c r="E96">
        <v>30513739</v>
      </c>
      <c r="G96" s="1">
        <v>45889.647962962961</v>
      </c>
      <c r="I96" t="s">
        <v>56</v>
      </c>
      <c r="J96" t="s">
        <v>38</v>
      </c>
      <c r="K96" t="s">
        <v>20</v>
      </c>
      <c r="L96" t="s">
        <v>60</v>
      </c>
      <c r="M96">
        <v>38</v>
      </c>
      <c r="O96">
        <v>1</v>
      </c>
      <c r="P96" t="s">
        <v>40</v>
      </c>
      <c r="Q96">
        <v>678</v>
      </c>
      <c r="R96" t="s">
        <v>53</v>
      </c>
      <c r="S96">
        <f>IF(support_tickets[[#This Row],[status_cleaned]]="closed",1,0)</f>
        <v>0</v>
      </c>
      <c r="T96" t="str">
        <f>TEXT(support_tickets[[#This Row],[opened_at]],"mmm yyyy")</f>
        <v>Aug 2025</v>
      </c>
      <c r="U96">
        <f>YEAR(support_tickets[[#This Row],[opened_at]])*100+MONTH(support_tickets[[#This Row],[opened_at]])</f>
        <v>202508</v>
      </c>
      <c r="V96" s="29">
        <f>DATE(YEAR(support_tickets[[#This Row],[opened_at]]),MONTH(support_tickets[[#This Row],[opened_at]]),1)</f>
        <v>45870</v>
      </c>
    </row>
    <row r="97" spans="1:22">
      <c r="A97">
        <v>5097207058</v>
      </c>
      <c r="B97">
        <v>438868427</v>
      </c>
      <c r="C97" t="s">
        <v>1058</v>
      </c>
      <c r="D97" t="s">
        <v>1059</v>
      </c>
      <c r="E97">
        <v>58537831</v>
      </c>
      <c r="G97" s="1">
        <v>45470.228194444448</v>
      </c>
      <c r="I97" t="s">
        <v>46</v>
      </c>
      <c r="J97" t="s">
        <v>30</v>
      </c>
      <c r="K97" t="s">
        <v>20</v>
      </c>
      <c r="L97" t="s">
        <v>60</v>
      </c>
      <c r="M97">
        <v>62</v>
      </c>
      <c r="O97">
        <v>1</v>
      </c>
      <c r="P97" t="s">
        <v>31</v>
      </c>
      <c r="Q97">
        <v>713</v>
      </c>
      <c r="R97" t="s">
        <v>53</v>
      </c>
      <c r="S97">
        <f>IF(support_tickets[[#This Row],[status_cleaned]]="closed",1,0)</f>
        <v>0</v>
      </c>
      <c r="T97" t="str">
        <f>TEXT(support_tickets[[#This Row],[opened_at]],"mmm yyyy")</f>
        <v>Jun 2024</v>
      </c>
      <c r="U97">
        <f>YEAR(support_tickets[[#This Row],[opened_at]])*100+MONTH(support_tickets[[#This Row],[opened_at]])</f>
        <v>202406</v>
      </c>
      <c r="V97" s="29">
        <f>DATE(YEAR(support_tickets[[#This Row],[opened_at]]),MONTH(support_tickets[[#This Row],[opened_at]]),1)</f>
        <v>45444</v>
      </c>
    </row>
    <row r="98" spans="1:22">
      <c r="A98">
        <v>5169624957</v>
      </c>
      <c r="B98">
        <v>305195749</v>
      </c>
      <c r="C98" t="s">
        <v>564</v>
      </c>
      <c r="D98" t="s">
        <v>565</v>
      </c>
      <c r="E98">
        <v>41244663</v>
      </c>
      <c r="G98" s="1">
        <v>45623.414224537039</v>
      </c>
      <c r="I98" t="s">
        <v>46</v>
      </c>
      <c r="J98" t="s">
        <v>86</v>
      </c>
      <c r="K98" t="s">
        <v>20</v>
      </c>
      <c r="L98" t="s">
        <v>60</v>
      </c>
      <c r="M98">
        <v>17</v>
      </c>
      <c r="O98">
        <v>1</v>
      </c>
      <c r="P98" t="s">
        <v>87</v>
      </c>
      <c r="Q98">
        <v>725</v>
      </c>
      <c r="R98" t="s">
        <v>53</v>
      </c>
      <c r="S98">
        <f>IF(support_tickets[[#This Row],[status_cleaned]]="closed",1,0)</f>
        <v>0</v>
      </c>
      <c r="T98" t="str">
        <f>TEXT(support_tickets[[#This Row],[opened_at]],"mmm yyyy")</f>
        <v>Nov 2024</v>
      </c>
      <c r="U98">
        <f>YEAR(support_tickets[[#This Row],[opened_at]])*100+MONTH(support_tickets[[#This Row],[opened_at]])</f>
        <v>202411</v>
      </c>
      <c r="V98" s="29">
        <f>DATE(YEAR(support_tickets[[#This Row],[opened_at]]),MONTH(support_tickets[[#This Row],[opened_at]]),1)</f>
        <v>45597</v>
      </c>
    </row>
    <row r="99" spans="1:22">
      <c r="A99">
        <v>5193698972</v>
      </c>
      <c r="B99">
        <v>457039137</v>
      </c>
      <c r="C99" t="s">
        <v>548</v>
      </c>
      <c r="D99" t="s">
        <v>549</v>
      </c>
      <c r="E99">
        <v>63843426</v>
      </c>
      <c r="F99">
        <v>1517376881</v>
      </c>
      <c r="G99" s="1">
        <v>45708.096759259257</v>
      </c>
      <c r="I99" t="s">
        <v>56</v>
      </c>
      <c r="J99" t="s">
        <v>38</v>
      </c>
      <c r="K99" t="s">
        <v>20</v>
      </c>
      <c r="L99" t="s">
        <v>60</v>
      </c>
      <c r="M99">
        <v>73</v>
      </c>
      <c r="O99">
        <v>1</v>
      </c>
      <c r="P99" t="s">
        <v>40</v>
      </c>
      <c r="Q99">
        <v>730</v>
      </c>
      <c r="R99" t="s">
        <v>53</v>
      </c>
      <c r="S99">
        <f>IF(support_tickets[[#This Row],[status_cleaned]]="closed",1,0)</f>
        <v>0</v>
      </c>
      <c r="T99" t="str">
        <f>TEXT(support_tickets[[#This Row],[opened_at]],"mmm yyyy")</f>
        <v>Feb 2025</v>
      </c>
      <c r="U99">
        <f>YEAR(support_tickets[[#This Row],[opened_at]])*100+MONTH(support_tickets[[#This Row],[opened_at]])</f>
        <v>202502</v>
      </c>
      <c r="V99" s="29">
        <f>DATE(YEAR(support_tickets[[#This Row],[opened_at]]),MONTH(support_tickets[[#This Row],[opened_at]]),1)</f>
        <v>45689</v>
      </c>
    </row>
    <row r="100" spans="1:22">
      <c r="A100">
        <v>5209622941</v>
      </c>
      <c r="B100">
        <v>655511084</v>
      </c>
      <c r="C100" t="s">
        <v>186</v>
      </c>
      <c r="D100" t="s">
        <v>187</v>
      </c>
      <c r="E100">
        <v>18526544</v>
      </c>
      <c r="F100">
        <v>5096047004</v>
      </c>
      <c r="G100" s="1">
        <v>46074.427800925929</v>
      </c>
      <c r="I100" t="s">
        <v>3</v>
      </c>
      <c r="J100" t="s">
        <v>38</v>
      </c>
      <c r="K100" t="s">
        <v>20</v>
      </c>
      <c r="L100" t="s">
        <v>60</v>
      </c>
      <c r="M100">
        <v>26</v>
      </c>
      <c r="O100">
        <v>1</v>
      </c>
      <c r="P100" t="s">
        <v>40</v>
      </c>
      <c r="Q100">
        <v>734</v>
      </c>
      <c r="R100" t="s">
        <v>53</v>
      </c>
      <c r="S100">
        <f>IF(support_tickets[[#This Row],[status_cleaned]]="closed",1,0)</f>
        <v>0</v>
      </c>
      <c r="T100" t="str">
        <f>TEXT(support_tickets[[#This Row],[opened_at]],"mmm yyyy")</f>
        <v>Feb 2026</v>
      </c>
      <c r="U100">
        <f>YEAR(support_tickets[[#This Row],[opened_at]])*100+MONTH(support_tickets[[#This Row],[opened_at]])</f>
        <v>202602</v>
      </c>
      <c r="V100" s="29">
        <f>DATE(YEAR(support_tickets[[#This Row],[opened_at]]),MONTH(support_tickets[[#This Row],[opened_at]]),1)</f>
        <v>46054</v>
      </c>
    </row>
    <row r="101" spans="1:22">
      <c r="A101">
        <v>5437844528</v>
      </c>
      <c r="B101">
        <v>386389162</v>
      </c>
      <c r="C101" t="s">
        <v>1124</v>
      </c>
      <c r="D101" t="s">
        <v>1125</v>
      </c>
      <c r="E101">
        <v>91756179</v>
      </c>
      <c r="G101" s="1">
        <v>45306.545567129629</v>
      </c>
      <c r="I101" t="s">
        <v>56</v>
      </c>
      <c r="J101" t="s">
        <v>59</v>
      </c>
      <c r="K101" t="s">
        <v>20</v>
      </c>
      <c r="L101" t="s">
        <v>60</v>
      </c>
      <c r="M101">
        <v>20</v>
      </c>
      <c r="O101">
        <v>1</v>
      </c>
      <c r="P101" t="s">
        <v>61</v>
      </c>
      <c r="Q101">
        <v>790</v>
      </c>
      <c r="R101" t="s">
        <v>53</v>
      </c>
      <c r="S101">
        <f>IF(support_tickets[[#This Row],[status_cleaned]]="closed",1,0)</f>
        <v>0</v>
      </c>
      <c r="T101" t="str">
        <f>TEXT(support_tickets[[#This Row],[opened_at]],"mmm yyyy")</f>
        <v>Jan 2024</v>
      </c>
      <c r="U101">
        <f>YEAR(support_tickets[[#This Row],[opened_at]])*100+MONTH(support_tickets[[#This Row],[opened_at]])</f>
        <v>202401</v>
      </c>
      <c r="V101" s="29">
        <f>DATE(YEAR(support_tickets[[#This Row],[opened_at]]),MONTH(support_tickets[[#This Row],[opened_at]]),1)</f>
        <v>45292</v>
      </c>
    </row>
    <row r="102" spans="1:22">
      <c r="A102">
        <v>5588388195</v>
      </c>
      <c r="B102">
        <v>269587940</v>
      </c>
      <c r="C102" t="s">
        <v>924</v>
      </c>
      <c r="D102" t="s">
        <v>925</v>
      </c>
      <c r="E102">
        <v>38119557</v>
      </c>
      <c r="G102" s="1">
        <v>45962.472627314812</v>
      </c>
      <c r="H102" s="1">
        <v>45963.110821759263</v>
      </c>
      <c r="I102" t="s">
        <v>52</v>
      </c>
      <c r="J102" t="s">
        <v>25</v>
      </c>
      <c r="K102" t="s">
        <v>20</v>
      </c>
      <c r="L102" t="s">
        <v>60</v>
      </c>
      <c r="M102">
        <v>54</v>
      </c>
      <c r="N102">
        <v>919</v>
      </c>
      <c r="O102">
        <v>1</v>
      </c>
      <c r="P102" t="s">
        <v>27</v>
      </c>
      <c r="Q102">
        <v>819</v>
      </c>
      <c r="R102" t="s">
        <v>53</v>
      </c>
      <c r="S102">
        <f>IF(support_tickets[[#This Row],[status_cleaned]]="closed",1,0)</f>
        <v>0</v>
      </c>
      <c r="T102" t="str">
        <f>TEXT(support_tickets[[#This Row],[opened_at]],"mmm yyyy")</f>
        <v>Nov 2025</v>
      </c>
      <c r="U102">
        <f>YEAR(support_tickets[[#This Row],[opened_at]])*100+MONTH(support_tickets[[#This Row],[opened_at]])</f>
        <v>202511</v>
      </c>
      <c r="V102" s="29">
        <f>DATE(YEAR(support_tickets[[#This Row],[opened_at]]),MONTH(support_tickets[[#This Row],[opened_at]]),1)</f>
        <v>45962</v>
      </c>
    </row>
    <row r="103" spans="1:22">
      <c r="A103">
        <v>6083811608</v>
      </c>
      <c r="B103">
        <v>442648079</v>
      </c>
      <c r="C103" t="s">
        <v>1206</v>
      </c>
      <c r="D103" t="s">
        <v>1207</v>
      </c>
      <c r="E103">
        <v>47308985</v>
      </c>
      <c r="G103" s="1">
        <v>45936.556192129632</v>
      </c>
      <c r="I103" t="s">
        <v>3</v>
      </c>
      <c r="J103" t="s">
        <v>25</v>
      </c>
      <c r="K103" t="s">
        <v>20</v>
      </c>
      <c r="L103" t="s">
        <v>60</v>
      </c>
      <c r="M103">
        <v>67</v>
      </c>
      <c r="O103">
        <v>1</v>
      </c>
      <c r="P103" t="s">
        <v>27</v>
      </c>
      <c r="Q103">
        <v>908</v>
      </c>
      <c r="R103" t="s">
        <v>53</v>
      </c>
      <c r="S103">
        <f>IF(support_tickets[[#This Row],[status_cleaned]]="closed",1,0)</f>
        <v>0</v>
      </c>
      <c r="T103" t="str">
        <f>TEXT(support_tickets[[#This Row],[opened_at]],"mmm yyyy")</f>
        <v>Oct 2025</v>
      </c>
      <c r="U103">
        <f>YEAR(support_tickets[[#This Row],[opened_at]])*100+MONTH(support_tickets[[#This Row],[opened_at]])</f>
        <v>202510</v>
      </c>
      <c r="V103" s="29">
        <f>DATE(YEAR(support_tickets[[#This Row],[opened_at]]),MONTH(support_tickets[[#This Row],[opened_at]]),1)</f>
        <v>45931</v>
      </c>
    </row>
    <row r="104" spans="1:22">
      <c r="A104">
        <v>6196294531</v>
      </c>
      <c r="B104">
        <v>532990767</v>
      </c>
      <c r="C104" t="s">
        <v>1236</v>
      </c>
      <c r="D104" t="s">
        <v>1237</v>
      </c>
      <c r="E104">
        <v>99949389</v>
      </c>
      <c r="G104" s="1">
        <v>45353.460451388892</v>
      </c>
      <c r="I104" t="s">
        <v>56</v>
      </c>
      <c r="J104" t="s">
        <v>30</v>
      </c>
      <c r="K104" t="s">
        <v>20</v>
      </c>
      <c r="L104" t="s">
        <v>60</v>
      </c>
      <c r="M104">
        <v>101</v>
      </c>
      <c r="O104">
        <v>1</v>
      </c>
      <c r="P104" t="s">
        <v>31</v>
      </c>
      <c r="Q104">
        <v>925</v>
      </c>
      <c r="R104" t="s">
        <v>53</v>
      </c>
      <c r="S104">
        <f>IF(support_tickets[[#This Row],[status_cleaned]]="closed",1,0)</f>
        <v>0</v>
      </c>
      <c r="T104" t="str">
        <f>TEXT(support_tickets[[#This Row],[opened_at]],"mmm yyyy")</f>
        <v>Mar 2024</v>
      </c>
      <c r="U104">
        <f>YEAR(support_tickets[[#This Row],[opened_at]])*100+MONTH(support_tickets[[#This Row],[opened_at]])</f>
        <v>202403</v>
      </c>
      <c r="V104" s="29">
        <f>DATE(YEAR(support_tickets[[#This Row],[opened_at]]),MONTH(support_tickets[[#This Row],[opened_at]]),1)</f>
        <v>45352</v>
      </c>
    </row>
    <row r="105" spans="1:22">
      <c r="A105">
        <v>6263029293</v>
      </c>
      <c r="B105">
        <v>987973565</v>
      </c>
      <c r="C105" t="s">
        <v>1188</v>
      </c>
      <c r="D105" t="s">
        <v>1189</v>
      </c>
      <c r="E105">
        <v>51273847</v>
      </c>
      <c r="F105">
        <v>2482024096</v>
      </c>
      <c r="G105" s="1">
        <v>46046.36991898148</v>
      </c>
      <c r="I105" t="s">
        <v>37</v>
      </c>
      <c r="J105" t="s">
        <v>86</v>
      </c>
      <c r="K105" t="s">
        <v>20</v>
      </c>
      <c r="L105" t="s">
        <v>60</v>
      </c>
      <c r="M105">
        <v>46</v>
      </c>
      <c r="O105">
        <v>1</v>
      </c>
      <c r="P105" t="s">
        <v>87</v>
      </c>
      <c r="Q105">
        <v>934</v>
      </c>
      <c r="R105" t="s">
        <v>53</v>
      </c>
      <c r="S105">
        <f>IF(support_tickets[[#This Row],[status_cleaned]]="closed",1,0)</f>
        <v>0</v>
      </c>
      <c r="T105" t="str">
        <f>TEXT(support_tickets[[#This Row],[opened_at]],"mmm yyyy")</f>
        <v>Jan 2026</v>
      </c>
      <c r="U105">
        <f>YEAR(support_tickets[[#This Row],[opened_at]])*100+MONTH(support_tickets[[#This Row],[opened_at]])</f>
        <v>202601</v>
      </c>
      <c r="V105" s="29">
        <f>DATE(YEAR(support_tickets[[#This Row],[opened_at]]),MONTH(support_tickets[[#This Row],[opened_at]]),1)</f>
        <v>46023</v>
      </c>
    </row>
    <row r="106" spans="1:22">
      <c r="A106">
        <v>6973627111</v>
      </c>
      <c r="B106">
        <v>461971444</v>
      </c>
      <c r="C106" t="s">
        <v>1318</v>
      </c>
      <c r="D106" t="s">
        <v>1319</v>
      </c>
      <c r="E106">
        <v>42138745</v>
      </c>
      <c r="G106" s="1">
        <v>45317.605300925927</v>
      </c>
      <c r="I106" t="s">
        <v>46</v>
      </c>
      <c r="J106" t="s">
        <v>86</v>
      </c>
      <c r="K106" t="s">
        <v>20</v>
      </c>
      <c r="L106" t="s">
        <v>60</v>
      </c>
      <c r="M106">
        <v>52</v>
      </c>
      <c r="O106">
        <v>1</v>
      </c>
      <c r="P106" t="s">
        <v>87</v>
      </c>
      <c r="Q106">
        <v>1024</v>
      </c>
      <c r="R106" t="s">
        <v>53</v>
      </c>
      <c r="S106">
        <f>IF(support_tickets[[#This Row],[status_cleaned]]="closed",1,0)</f>
        <v>0</v>
      </c>
      <c r="T106" t="str">
        <f>TEXT(support_tickets[[#This Row],[opened_at]],"mmm yyyy")</f>
        <v>Jan 2024</v>
      </c>
      <c r="U106">
        <f>YEAR(support_tickets[[#This Row],[opened_at]])*100+MONTH(support_tickets[[#This Row],[opened_at]])</f>
        <v>202401</v>
      </c>
      <c r="V106" s="29">
        <f>DATE(YEAR(support_tickets[[#This Row],[opened_at]]),MONTH(support_tickets[[#This Row],[opened_at]]),1)</f>
        <v>45292</v>
      </c>
    </row>
    <row r="107" spans="1:22">
      <c r="A107">
        <v>7220129939</v>
      </c>
      <c r="B107">
        <v>573561557</v>
      </c>
      <c r="C107" t="s">
        <v>1338</v>
      </c>
      <c r="D107" t="s">
        <v>1339</v>
      </c>
      <c r="E107">
        <v>14308421</v>
      </c>
      <c r="G107" s="1">
        <v>45740.16128472222</v>
      </c>
      <c r="I107" t="s">
        <v>56</v>
      </c>
      <c r="J107" t="s">
        <v>30</v>
      </c>
      <c r="K107" t="s">
        <v>20</v>
      </c>
      <c r="L107" t="s">
        <v>60</v>
      </c>
      <c r="M107">
        <v>13</v>
      </c>
      <c r="O107">
        <v>1</v>
      </c>
      <c r="P107" t="s">
        <v>31</v>
      </c>
      <c r="Q107">
        <v>1065</v>
      </c>
      <c r="R107" t="s">
        <v>53</v>
      </c>
      <c r="S107">
        <f>IF(support_tickets[[#This Row],[status_cleaned]]="closed",1,0)</f>
        <v>0</v>
      </c>
      <c r="T107" t="str">
        <f>TEXT(support_tickets[[#This Row],[opened_at]],"mmm yyyy")</f>
        <v>Mar 2025</v>
      </c>
      <c r="U107">
        <f>YEAR(support_tickets[[#This Row],[opened_at]])*100+MONTH(support_tickets[[#This Row],[opened_at]])</f>
        <v>202503</v>
      </c>
      <c r="V107" s="29">
        <f>DATE(YEAR(support_tickets[[#This Row],[opened_at]]),MONTH(support_tickets[[#This Row],[opened_at]]),1)</f>
        <v>45717</v>
      </c>
    </row>
    <row r="108" spans="1:22">
      <c r="A108">
        <v>7306927664</v>
      </c>
      <c r="B108">
        <v>569948247</v>
      </c>
      <c r="C108" t="s">
        <v>498</v>
      </c>
      <c r="D108" t="s">
        <v>499</v>
      </c>
      <c r="E108">
        <v>30513739</v>
      </c>
      <c r="G108" s="1">
        <v>46044.945659722223</v>
      </c>
      <c r="H108" s="1">
        <v>46045.903298611112</v>
      </c>
      <c r="I108" t="s">
        <v>46</v>
      </c>
      <c r="J108" t="s">
        <v>86</v>
      </c>
      <c r="K108" t="s">
        <v>20</v>
      </c>
      <c r="L108" t="s">
        <v>60</v>
      </c>
      <c r="M108">
        <v>35</v>
      </c>
      <c r="N108">
        <v>1379</v>
      </c>
      <c r="O108">
        <v>1</v>
      </c>
      <c r="P108" t="s">
        <v>87</v>
      </c>
      <c r="Q108">
        <v>1076</v>
      </c>
      <c r="R108" t="s">
        <v>53</v>
      </c>
      <c r="S108">
        <f>IF(support_tickets[[#This Row],[status_cleaned]]="closed",1,0)</f>
        <v>0</v>
      </c>
      <c r="T108" t="str">
        <f>TEXT(support_tickets[[#This Row],[opened_at]],"mmm yyyy")</f>
        <v>Jan 2026</v>
      </c>
      <c r="U108">
        <f>YEAR(support_tickets[[#This Row],[opened_at]])*100+MONTH(support_tickets[[#This Row],[opened_at]])</f>
        <v>202601</v>
      </c>
      <c r="V108" s="29">
        <f>DATE(YEAR(support_tickets[[#This Row],[opened_at]]),MONTH(support_tickets[[#This Row],[opened_at]]),1)</f>
        <v>46023</v>
      </c>
    </row>
    <row r="109" spans="1:22">
      <c r="A109">
        <v>7848569391</v>
      </c>
      <c r="B109">
        <v>471539452</v>
      </c>
      <c r="C109" t="s">
        <v>782</v>
      </c>
      <c r="D109" t="s">
        <v>783</v>
      </c>
      <c r="E109">
        <v>22201654</v>
      </c>
      <c r="F109">
        <v>4057767497</v>
      </c>
      <c r="G109" s="1">
        <v>45343.892754629633</v>
      </c>
      <c r="I109" t="s">
        <v>43</v>
      </c>
      <c r="J109" t="s">
        <v>30</v>
      </c>
      <c r="K109" t="s">
        <v>20</v>
      </c>
      <c r="L109" t="s">
        <v>60</v>
      </c>
      <c r="M109">
        <v>5</v>
      </c>
      <c r="O109">
        <v>1</v>
      </c>
      <c r="P109" t="s">
        <v>31</v>
      </c>
      <c r="Q109">
        <v>1165</v>
      </c>
      <c r="R109" t="s">
        <v>53</v>
      </c>
      <c r="S109">
        <f>IF(support_tickets[[#This Row],[status_cleaned]]="closed",1,0)</f>
        <v>0</v>
      </c>
      <c r="T109" t="str">
        <f>TEXT(support_tickets[[#This Row],[opened_at]],"mmm yyyy")</f>
        <v>Feb 2024</v>
      </c>
      <c r="U109">
        <f>YEAR(support_tickets[[#This Row],[opened_at]])*100+MONTH(support_tickets[[#This Row],[opened_at]])</f>
        <v>202402</v>
      </c>
      <c r="V109" s="29">
        <f>DATE(YEAR(support_tickets[[#This Row],[opened_at]]),MONTH(support_tickets[[#This Row],[opened_at]]),1)</f>
        <v>45323</v>
      </c>
    </row>
    <row r="110" spans="1:22">
      <c r="A110">
        <v>8132828942</v>
      </c>
      <c r="B110">
        <v>408840720</v>
      </c>
      <c r="C110" t="s">
        <v>250</v>
      </c>
      <c r="D110" t="s">
        <v>251</v>
      </c>
      <c r="E110">
        <v>63606628</v>
      </c>
      <c r="G110" s="1">
        <v>45471.696076388886</v>
      </c>
      <c r="I110" t="s">
        <v>3</v>
      </c>
      <c r="J110" t="s">
        <v>19</v>
      </c>
      <c r="K110" t="s">
        <v>20</v>
      </c>
      <c r="L110" t="s">
        <v>60</v>
      </c>
      <c r="M110">
        <v>21</v>
      </c>
      <c r="O110">
        <v>1</v>
      </c>
      <c r="P110" t="s">
        <v>22</v>
      </c>
      <c r="Q110">
        <v>1201</v>
      </c>
      <c r="R110" t="s">
        <v>53</v>
      </c>
      <c r="S110">
        <f>IF(support_tickets[[#This Row],[status_cleaned]]="closed",1,0)</f>
        <v>0</v>
      </c>
      <c r="T110" t="str">
        <f>TEXT(support_tickets[[#This Row],[opened_at]],"mmm yyyy")</f>
        <v>Jun 2024</v>
      </c>
      <c r="U110">
        <f>YEAR(support_tickets[[#This Row],[opened_at]])*100+MONTH(support_tickets[[#This Row],[opened_at]])</f>
        <v>202406</v>
      </c>
      <c r="V110" s="29">
        <f>DATE(YEAR(support_tickets[[#This Row],[opened_at]]),MONTH(support_tickets[[#This Row],[opened_at]]),1)</f>
        <v>45444</v>
      </c>
    </row>
    <row r="111" spans="1:22">
      <c r="A111">
        <v>8153320297</v>
      </c>
      <c r="B111">
        <v>752376434</v>
      </c>
      <c r="C111" t="s">
        <v>795</v>
      </c>
      <c r="D111" t="s">
        <v>796</v>
      </c>
      <c r="E111">
        <v>63843426</v>
      </c>
      <c r="F111">
        <v>9985032096</v>
      </c>
      <c r="G111" s="1">
        <v>45629.783182870371</v>
      </c>
      <c r="I111" t="s">
        <v>37</v>
      </c>
      <c r="J111" t="s">
        <v>25</v>
      </c>
      <c r="K111" t="s">
        <v>20</v>
      </c>
      <c r="L111" t="s">
        <v>60</v>
      </c>
      <c r="M111">
        <v>38</v>
      </c>
      <c r="O111">
        <v>1</v>
      </c>
      <c r="P111" t="s">
        <v>27</v>
      </c>
      <c r="Q111">
        <v>1203</v>
      </c>
      <c r="R111" t="s">
        <v>53</v>
      </c>
      <c r="S111">
        <f>IF(support_tickets[[#This Row],[status_cleaned]]="closed",1,0)</f>
        <v>0</v>
      </c>
      <c r="T111" t="str">
        <f>TEXT(support_tickets[[#This Row],[opened_at]],"mmm yyyy")</f>
        <v>Dec 2024</v>
      </c>
      <c r="U111">
        <f>YEAR(support_tickets[[#This Row],[opened_at]])*100+MONTH(support_tickets[[#This Row],[opened_at]])</f>
        <v>202412</v>
      </c>
      <c r="V111" s="29">
        <f>DATE(YEAR(support_tickets[[#This Row],[opened_at]]),MONTH(support_tickets[[#This Row],[opened_at]]),1)</f>
        <v>45627</v>
      </c>
    </row>
    <row r="112" spans="1:22">
      <c r="A112">
        <v>9028825158</v>
      </c>
      <c r="B112">
        <v>430366556</v>
      </c>
      <c r="C112" t="s">
        <v>592</v>
      </c>
      <c r="D112" t="s">
        <v>593</v>
      </c>
      <c r="E112">
        <v>70855700</v>
      </c>
      <c r="G112" s="1">
        <v>45470.501597222225</v>
      </c>
      <c r="I112" t="s">
        <v>3</v>
      </c>
      <c r="J112" t="s">
        <v>86</v>
      </c>
      <c r="K112" t="s">
        <v>20</v>
      </c>
      <c r="L112" t="s">
        <v>60</v>
      </c>
      <c r="M112">
        <v>87</v>
      </c>
      <c r="O112">
        <v>1</v>
      </c>
      <c r="P112" t="s">
        <v>87</v>
      </c>
      <c r="Q112">
        <v>1349</v>
      </c>
      <c r="R112" t="s">
        <v>53</v>
      </c>
      <c r="S112">
        <f>IF(support_tickets[[#This Row],[status_cleaned]]="closed",1,0)</f>
        <v>0</v>
      </c>
      <c r="T112" t="str">
        <f>TEXT(support_tickets[[#This Row],[opened_at]],"mmm yyyy")</f>
        <v>Jun 2024</v>
      </c>
      <c r="U112">
        <f>YEAR(support_tickets[[#This Row],[opened_at]])*100+MONTH(support_tickets[[#This Row],[opened_at]])</f>
        <v>202406</v>
      </c>
      <c r="V112" s="29">
        <f>DATE(YEAR(support_tickets[[#This Row],[opened_at]]),MONTH(support_tickets[[#This Row],[opened_at]]),1)</f>
        <v>45444</v>
      </c>
    </row>
    <row r="113" spans="1:22">
      <c r="A113">
        <v>9312125622</v>
      </c>
      <c r="B113">
        <v>470838810</v>
      </c>
      <c r="C113" t="s">
        <v>364</v>
      </c>
      <c r="D113" t="s">
        <v>365</v>
      </c>
      <c r="E113">
        <v>82340307</v>
      </c>
      <c r="F113">
        <v>7003585379</v>
      </c>
      <c r="G113" s="1">
        <v>45942.213900462964</v>
      </c>
      <c r="I113" t="s">
        <v>46</v>
      </c>
      <c r="J113" t="s">
        <v>30</v>
      </c>
      <c r="K113" t="s">
        <v>20</v>
      </c>
      <c r="L113" t="s">
        <v>60</v>
      </c>
      <c r="M113">
        <v>41</v>
      </c>
      <c r="O113">
        <v>1</v>
      </c>
      <c r="P113" t="s">
        <v>31</v>
      </c>
      <c r="Q113">
        <v>1402</v>
      </c>
      <c r="R113" t="s">
        <v>53</v>
      </c>
      <c r="S113">
        <f>IF(support_tickets[[#This Row],[status_cleaned]]="closed",1,0)</f>
        <v>0</v>
      </c>
      <c r="T113" t="str">
        <f>TEXT(support_tickets[[#This Row],[opened_at]],"mmm yyyy")</f>
        <v>Oct 2025</v>
      </c>
      <c r="U113">
        <f>YEAR(support_tickets[[#This Row],[opened_at]])*100+MONTH(support_tickets[[#This Row],[opened_at]])</f>
        <v>202510</v>
      </c>
      <c r="V113" s="29">
        <f>DATE(YEAR(support_tickets[[#This Row],[opened_at]]),MONTH(support_tickets[[#This Row],[opened_at]]),1)</f>
        <v>45931</v>
      </c>
    </row>
    <row r="114" spans="1:22">
      <c r="A114">
        <v>9333100929</v>
      </c>
      <c r="B114">
        <v>971339002</v>
      </c>
      <c r="C114" t="s">
        <v>864</v>
      </c>
      <c r="D114" t="s">
        <v>865</v>
      </c>
      <c r="E114">
        <v>58586340</v>
      </c>
      <c r="G114" s="1">
        <v>45802.60423611111</v>
      </c>
      <c r="I114" t="s">
        <v>46</v>
      </c>
      <c r="J114" t="s">
        <v>19</v>
      </c>
      <c r="K114" t="s">
        <v>20</v>
      </c>
      <c r="L114" t="s">
        <v>60</v>
      </c>
      <c r="M114">
        <v>25</v>
      </c>
      <c r="O114">
        <v>1</v>
      </c>
      <c r="P114" t="s">
        <v>22</v>
      </c>
      <c r="Q114">
        <v>1406</v>
      </c>
      <c r="R114" t="s">
        <v>53</v>
      </c>
      <c r="S114">
        <f>IF(support_tickets[[#This Row],[status_cleaned]]="closed",1,0)</f>
        <v>0</v>
      </c>
      <c r="T114" t="str">
        <f>TEXT(support_tickets[[#This Row],[opened_at]],"mmm yyyy")</f>
        <v>May 2025</v>
      </c>
      <c r="U114">
        <f>YEAR(support_tickets[[#This Row],[opened_at]])*100+MONTH(support_tickets[[#This Row],[opened_at]])</f>
        <v>202505</v>
      </c>
      <c r="V114" s="29">
        <f>DATE(YEAR(support_tickets[[#This Row],[opened_at]]),MONTH(support_tickets[[#This Row],[opened_at]]),1)</f>
        <v>45778</v>
      </c>
    </row>
    <row r="115" spans="1:22">
      <c r="A115">
        <v>9369987994</v>
      </c>
      <c r="B115">
        <v>737506993</v>
      </c>
      <c r="C115" t="s">
        <v>702</v>
      </c>
      <c r="D115" t="s">
        <v>703</v>
      </c>
      <c r="E115">
        <v>99949389</v>
      </c>
      <c r="F115">
        <v>4859070910</v>
      </c>
      <c r="G115" s="1">
        <v>45668.519988425927</v>
      </c>
      <c r="I115" t="s">
        <v>3</v>
      </c>
      <c r="J115" t="s">
        <v>59</v>
      </c>
      <c r="K115" t="s">
        <v>20</v>
      </c>
      <c r="L115" t="s">
        <v>60</v>
      </c>
      <c r="M115">
        <v>10</v>
      </c>
      <c r="O115">
        <v>1</v>
      </c>
      <c r="P115" t="s">
        <v>61</v>
      </c>
      <c r="Q115">
        <v>1414</v>
      </c>
      <c r="R115" t="s">
        <v>53</v>
      </c>
      <c r="S115">
        <f>IF(support_tickets[[#This Row],[status_cleaned]]="closed",1,0)</f>
        <v>0</v>
      </c>
      <c r="T115" t="str">
        <f>TEXT(support_tickets[[#This Row],[opened_at]],"mmm yyyy")</f>
        <v>Jan 2025</v>
      </c>
      <c r="U115">
        <f>YEAR(support_tickets[[#This Row],[opened_at]])*100+MONTH(support_tickets[[#This Row],[opened_at]])</f>
        <v>202501</v>
      </c>
      <c r="V115" s="29">
        <f>DATE(YEAR(support_tickets[[#This Row],[opened_at]]),MONTH(support_tickets[[#This Row],[opened_at]]),1)</f>
        <v>45658</v>
      </c>
    </row>
    <row r="116" spans="1:22">
      <c r="A116">
        <v>9738518055</v>
      </c>
      <c r="B116">
        <v>549661921</v>
      </c>
      <c r="C116" t="s">
        <v>118</v>
      </c>
      <c r="D116" t="s">
        <v>119</v>
      </c>
      <c r="E116">
        <v>61220073</v>
      </c>
      <c r="F116">
        <v>6817218959</v>
      </c>
      <c r="G116" s="1">
        <v>45691.318287037036</v>
      </c>
      <c r="H116" s="1">
        <v>45691.602314814816</v>
      </c>
      <c r="I116" t="s">
        <v>3</v>
      </c>
      <c r="J116" t="s">
        <v>59</v>
      </c>
      <c r="K116" t="s">
        <v>20</v>
      </c>
      <c r="L116" t="s">
        <v>60</v>
      </c>
      <c r="M116">
        <v>50</v>
      </c>
      <c r="N116">
        <v>409</v>
      </c>
      <c r="O116">
        <v>1</v>
      </c>
      <c r="P116" t="s">
        <v>61</v>
      </c>
      <c r="Q116">
        <v>1472</v>
      </c>
      <c r="R116" t="s">
        <v>53</v>
      </c>
      <c r="S116">
        <f>IF(support_tickets[[#This Row],[status_cleaned]]="closed",1,0)</f>
        <v>0</v>
      </c>
      <c r="T116" t="str">
        <f>TEXT(support_tickets[[#This Row],[opened_at]],"mmm yyyy")</f>
        <v>Feb 2025</v>
      </c>
      <c r="U116">
        <f>YEAR(support_tickets[[#This Row],[opened_at]])*100+MONTH(support_tickets[[#This Row],[opened_at]])</f>
        <v>202502</v>
      </c>
      <c r="V116" s="29">
        <f>DATE(YEAR(support_tickets[[#This Row],[opened_at]]),MONTH(support_tickets[[#This Row],[opened_at]]),1)</f>
        <v>45689</v>
      </c>
    </row>
    <row r="117" spans="1:22">
      <c r="A117">
        <v>1020741500</v>
      </c>
      <c r="B117">
        <v>936597989</v>
      </c>
      <c r="C117" t="s">
        <v>32</v>
      </c>
      <c r="D117" t="s">
        <v>33</v>
      </c>
      <c r="E117">
        <v>22981052</v>
      </c>
      <c r="G117" s="1">
        <v>45914.243425925924</v>
      </c>
      <c r="I117" t="s">
        <v>18</v>
      </c>
      <c r="J117" t="s">
        <v>25</v>
      </c>
      <c r="K117" t="s">
        <v>20</v>
      </c>
      <c r="L117" t="s">
        <v>34</v>
      </c>
      <c r="M117">
        <v>1</v>
      </c>
      <c r="O117">
        <v>0</v>
      </c>
      <c r="P117" t="s">
        <v>27</v>
      </c>
      <c r="Q117">
        <v>4</v>
      </c>
      <c r="R117" t="s">
        <v>53</v>
      </c>
      <c r="S117">
        <f>IF(support_tickets[[#This Row],[status_cleaned]]="closed",1,0)</f>
        <v>0</v>
      </c>
      <c r="T117" t="str">
        <f>TEXT(support_tickets[[#This Row],[opened_at]],"mmm yyyy")</f>
        <v>Sep 2025</v>
      </c>
      <c r="U117">
        <f>YEAR(support_tickets[[#This Row],[opened_at]])*100+MONTH(support_tickets[[#This Row],[opened_at]])</f>
        <v>202509</v>
      </c>
      <c r="V117" s="29">
        <f>DATE(YEAR(support_tickets[[#This Row],[opened_at]]),MONTH(support_tickets[[#This Row],[opened_at]]),1)</f>
        <v>45901</v>
      </c>
    </row>
    <row r="118" spans="1:22">
      <c r="A118">
        <v>1093202500</v>
      </c>
      <c r="B118">
        <v>792738367</v>
      </c>
      <c r="C118" t="s">
        <v>74</v>
      </c>
      <c r="D118" t="s">
        <v>75</v>
      </c>
      <c r="E118">
        <v>20576383</v>
      </c>
      <c r="F118">
        <v>7616560434</v>
      </c>
      <c r="G118" s="1">
        <v>45698.447592592594</v>
      </c>
      <c r="I118" t="s">
        <v>46</v>
      </c>
      <c r="J118" t="s">
        <v>38</v>
      </c>
      <c r="K118" t="s">
        <v>20</v>
      </c>
      <c r="L118" t="s">
        <v>34</v>
      </c>
      <c r="M118">
        <v>68</v>
      </c>
      <c r="O118">
        <v>0</v>
      </c>
      <c r="P118" t="s">
        <v>40</v>
      </c>
      <c r="Q118">
        <v>17</v>
      </c>
      <c r="R118" t="s">
        <v>53</v>
      </c>
      <c r="S118">
        <f>IF(support_tickets[[#This Row],[status_cleaned]]="closed",1,0)</f>
        <v>0</v>
      </c>
      <c r="T118" t="str">
        <f>TEXT(support_tickets[[#This Row],[opened_at]],"mmm yyyy")</f>
        <v>Feb 2025</v>
      </c>
      <c r="U118">
        <f>YEAR(support_tickets[[#This Row],[opened_at]])*100+MONTH(support_tickets[[#This Row],[opened_at]])</f>
        <v>202502</v>
      </c>
      <c r="V118" s="29">
        <f>DATE(YEAR(support_tickets[[#This Row],[opened_at]]),MONTH(support_tickets[[#This Row],[opened_at]]),1)</f>
        <v>45689</v>
      </c>
    </row>
    <row r="119" spans="1:22">
      <c r="A119">
        <v>1384293243</v>
      </c>
      <c r="B119">
        <v>271494637</v>
      </c>
      <c r="C119" t="s">
        <v>172</v>
      </c>
      <c r="D119" t="s">
        <v>173</v>
      </c>
      <c r="E119">
        <v>81691040</v>
      </c>
      <c r="F119">
        <v>6687666402</v>
      </c>
      <c r="G119" s="1">
        <v>45999.223483796297</v>
      </c>
      <c r="I119" t="s">
        <v>3</v>
      </c>
      <c r="J119" t="s">
        <v>30</v>
      </c>
      <c r="K119" t="s">
        <v>20</v>
      </c>
      <c r="L119" t="s">
        <v>34</v>
      </c>
      <c r="M119">
        <v>73</v>
      </c>
      <c r="O119">
        <v>0</v>
      </c>
      <c r="P119" t="s">
        <v>31</v>
      </c>
      <c r="Q119">
        <v>68</v>
      </c>
      <c r="R119" t="s">
        <v>53</v>
      </c>
      <c r="S119">
        <f>IF(support_tickets[[#This Row],[status_cleaned]]="closed",1,0)</f>
        <v>0</v>
      </c>
      <c r="T119" t="str">
        <f>TEXT(support_tickets[[#This Row],[opened_at]],"mmm yyyy")</f>
        <v>Dec 2025</v>
      </c>
      <c r="U119">
        <f>YEAR(support_tickets[[#This Row],[opened_at]])*100+MONTH(support_tickets[[#This Row],[opened_at]])</f>
        <v>202512</v>
      </c>
      <c r="V119" s="29">
        <f>DATE(YEAR(support_tickets[[#This Row],[opened_at]]),MONTH(support_tickets[[#This Row],[opened_at]]),1)</f>
        <v>45992</v>
      </c>
    </row>
    <row r="120" spans="1:22">
      <c r="A120">
        <v>1575467238</v>
      </c>
      <c r="B120">
        <v>527589822</v>
      </c>
      <c r="C120" t="s">
        <v>226</v>
      </c>
      <c r="D120" t="s">
        <v>227</v>
      </c>
      <c r="E120">
        <v>21668732</v>
      </c>
      <c r="G120" s="1">
        <v>45487.613379629627</v>
      </c>
      <c r="I120" t="s">
        <v>3</v>
      </c>
      <c r="J120" t="s">
        <v>30</v>
      </c>
      <c r="K120" t="s">
        <v>20</v>
      </c>
      <c r="L120" t="s">
        <v>34</v>
      </c>
      <c r="M120">
        <v>7</v>
      </c>
      <c r="O120">
        <v>0</v>
      </c>
      <c r="P120" t="s">
        <v>31</v>
      </c>
      <c r="Q120">
        <v>98</v>
      </c>
      <c r="R120" t="s">
        <v>53</v>
      </c>
      <c r="S120">
        <f>IF(support_tickets[[#This Row],[status_cleaned]]="closed",1,0)</f>
        <v>0</v>
      </c>
      <c r="T120" t="str">
        <f>TEXT(support_tickets[[#This Row],[opened_at]],"mmm yyyy")</f>
        <v>Jul 2024</v>
      </c>
      <c r="U120">
        <f>YEAR(support_tickets[[#This Row],[opened_at]])*100+MONTH(support_tickets[[#This Row],[opened_at]])</f>
        <v>202407</v>
      </c>
      <c r="V120" s="29">
        <f>DATE(YEAR(support_tickets[[#This Row],[opened_at]]),MONTH(support_tickets[[#This Row],[opened_at]]),1)</f>
        <v>45474</v>
      </c>
    </row>
    <row r="121" spans="1:22">
      <c r="A121">
        <v>1687422880</v>
      </c>
      <c r="B121">
        <v>300593456</v>
      </c>
      <c r="C121" t="s">
        <v>268</v>
      </c>
      <c r="D121" t="s">
        <v>269</v>
      </c>
      <c r="E121">
        <v>36697396</v>
      </c>
      <c r="F121">
        <v>2213740507</v>
      </c>
      <c r="G121" s="1">
        <v>45826.622939814813</v>
      </c>
      <c r="H121" s="1">
        <v>45827.340300925927</v>
      </c>
      <c r="I121" t="s">
        <v>52</v>
      </c>
      <c r="J121" t="s">
        <v>30</v>
      </c>
      <c r="K121" t="s">
        <v>20</v>
      </c>
      <c r="L121" t="s">
        <v>34</v>
      </c>
      <c r="M121">
        <v>77</v>
      </c>
      <c r="N121">
        <v>1033</v>
      </c>
      <c r="O121">
        <v>0</v>
      </c>
      <c r="P121" t="s">
        <v>31</v>
      </c>
      <c r="Q121">
        <v>121</v>
      </c>
      <c r="R121" t="s">
        <v>53</v>
      </c>
      <c r="S121">
        <f>IF(support_tickets[[#This Row],[status_cleaned]]="closed",1,0)</f>
        <v>0</v>
      </c>
      <c r="T121" t="str">
        <f>TEXT(support_tickets[[#This Row],[opened_at]],"mmm yyyy")</f>
        <v>Jun 2025</v>
      </c>
      <c r="U121">
        <f>YEAR(support_tickets[[#This Row],[opened_at]])*100+MONTH(support_tickets[[#This Row],[opened_at]])</f>
        <v>202506</v>
      </c>
      <c r="V121" s="29">
        <f>DATE(YEAR(support_tickets[[#This Row],[opened_at]]),MONTH(support_tickets[[#This Row],[opened_at]]),1)</f>
        <v>45809</v>
      </c>
    </row>
    <row r="122" spans="1:22">
      <c r="A122">
        <v>1757481506</v>
      </c>
      <c r="B122">
        <v>208599066</v>
      </c>
      <c r="C122" t="s">
        <v>122</v>
      </c>
      <c r="D122" t="s">
        <v>123</v>
      </c>
      <c r="E122">
        <v>96977837</v>
      </c>
      <c r="F122">
        <v>3857274115</v>
      </c>
      <c r="G122" s="1">
        <v>45612.744942129626</v>
      </c>
      <c r="I122" t="s">
        <v>46</v>
      </c>
      <c r="J122" t="s">
        <v>30</v>
      </c>
      <c r="K122" t="s">
        <v>20</v>
      </c>
      <c r="L122" t="s">
        <v>34</v>
      </c>
      <c r="M122">
        <v>6</v>
      </c>
      <c r="O122">
        <v>0</v>
      </c>
      <c r="P122" t="s">
        <v>31</v>
      </c>
      <c r="Q122">
        <v>144</v>
      </c>
      <c r="R122" t="s">
        <v>53</v>
      </c>
      <c r="S122">
        <f>IF(support_tickets[[#This Row],[status_cleaned]]="closed",1,0)</f>
        <v>0</v>
      </c>
      <c r="T122" t="str">
        <f>TEXT(support_tickets[[#This Row],[opened_at]],"mmm yyyy")</f>
        <v>Nov 2024</v>
      </c>
      <c r="U122">
        <f>YEAR(support_tickets[[#This Row],[opened_at]])*100+MONTH(support_tickets[[#This Row],[opened_at]])</f>
        <v>202411</v>
      </c>
      <c r="V122" s="29">
        <f>DATE(YEAR(support_tickets[[#This Row],[opened_at]]),MONTH(support_tickets[[#This Row],[opened_at]]),1)</f>
        <v>45597</v>
      </c>
    </row>
    <row r="123" spans="1:22">
      <c r="A123">
        <v>1954537325</v>
      </c>
      <c r="B123">
        <v>638824588</v>
      </c>
      <c r="C123" t="s">
        <v>384</v>
      </c>
      <c r="D123" t="s">
        <v>385</v>
      </c>
      <c r="E123">
        <v>22448136</v>
      </c>
      <c r="F123">
        <v>7363532024</v>
      </c>
      <c r="G123" s="1">
        <v>45352.065729166665</v>
      </c>
      <c r="I123" t="s">
        <v>46</v>
      </c>
      <c r="J123" t="s">
        <v>30</v>
      </c>
      <c r="K123" t="s">
        <v>20</v>
      </c>
      <c r="L123" t="s">
        <v>34</v>
      </c>
      <c r="M123">
        <v>102</v>
      </c>
      <c r="O123">
        <v>0</v>
      </c>
      <c r="P123" t="s">
        <v>31</v>
      </c>
      <c r="Q123">
        <v>192</v>
      </c>
      <c r="R123" t="s">
        <v>53</v>
      </c>
      <c r="S123">
        <f>IF(support_tickets[[#This Row],[status_cleaned]]="closed",1,0)</f>
        <v>0</v>
      </c>
      <c r="T123" t="str">
        <f>TEXT(support_tickets[[#This Row],[opened_at]],"mmm yyyy")</f>
        <v>Mar 2024</v>
      </c>
      <c r="U123">
        <f>YEAR(support_tickets[[#This Row],[opened_at]])*100+MONTH(support_tickets[[#This Row],[opened_at]])</f>
        <v>202403</v>
      </c>
      <c r="V123" s="29">
        <f>DATE(YEAR(support_tickets[[#This Row],[opened_at]]),MONTH(support_tickets[[#This Row],[opened_at]]),1)</f>
        <v>45352</v>
      </c>
    </row>
    <row r="124" spans="1:22">
      <c r="A124">
        <v>2052025838</v>
      </c>
      <c r="B124">
        <v>355046107</v>
      </c>
      <c r="C124" t="s">
        <v>402</v>
      </c>
      <c r="D124" t="s">
        <v>403</v>
      </c>
      <c r="E124">
        <v>78387461</v>
      </c>
      <c r="G124" s="1">
        <v>46047.174722222226</v>
      </c>
      <c r="I124" t="s">
        <v>52</v>
      </c>
      <c r="J124" t="s">
        <v>59</v>
      </c>
      <c r="K124" t="s">
        <v>20</v>
      </c>
      <c r="L124" t="s">
        <v>34</v>
      </c>
      <c r="M124">
        <v>24</v>
      </c>
      <c r="O124">
        <v>0</v>
      </c>
      <c r="P124" t="s">
        <v>61</v>
      </c>
      <c r="Q124">
        <v>202</v>
      </c>
      <c r="R124" t="s">
        <v>53</v>
      </c>
      <c r="S124">
        <f>IF(support_tickets[[#This Row],[status_cleaned]]="closed",1,0)</f>
        <v>0</v>
      </c>
      <c r="T124" t="str">
        <f>TEXT(support_tickets[[#This Row],[opened_at]],"mmm yyyy")</f>
        <v>Jan 2026</v>
      </c>
      <c r="U124">
        <f>YEAR(support_tickets[[#This Row],[opened_at]])*100+MONTH(support_tickets[[#This Row],[opened_at]])</f>
        <v>202601</v>
      </c>
      <c r="V124" s="29">
        <f>DATE(YEAR(support_tickets[[#This Row],[opened_at]]),MONTH(support_tickets[[#This Row],[opened_at]]),1)</f>
        <v>46023</v>
      </c>
    </row>
    <row r="125" spans="1:22">
      <c r="A125">
        <v>2425006676</v>
      </c>
      <c r="B125">
        <v>274476883</v>
      </c>
      <c r="C125" t="s">
        <v>488</v>
      </c>
      <c r="D125" t="s">
        <v>489</v>
      </c>
      <c r="E125">
        <v>87490893</v>
      </c>
      <c r="F125">
        <v>2275197185</v>
      </c>
      <c r="G125" s="1">
        <v>45355.546030092592</v>
      </c>
      <c r="I125" t="s">
        <v>3</v>
      </c>
      <c r="J125" t="s">
        <v>30</v>
      </c>
      <c r="K125" t="s">
        <v>20</v>
      </c>
      <c r="L125" t="s">
        <v>34</v>
      </c>
      <c r="M125">
        <v>47</v>
      </c>
      <c r="O125">
        <v>0</v>
      </c>
      <c r="P125" t="s">
        <v>31</v>
      </c>
      <c r="Q125">
        <v>259</v>
      </c>
      <c r="R125" t="s">
        <v>53</v>
      </c>
      <c r="S125">
        <f>IF(support_tickets[[#This Row],[status_cleaned]]="closed",1,0)</f>
        <v>0</v>
      </c>
      <c r="T125" t="str">
        <f>TEXT(support_tickets[[#This Row],[opened_at]],"mmm yyyy")</f>
        <v>Mar 2024</v>
      </c>
      <c r="U125">
        <f>YEAR(support_tickets[[#This Row],[opened_at]])*100+MONTH(support_tickets[[#This Row],[opened_at]])</f>
        <v>202403</v>
      </c>
      <c r="V125" s="29">
        <f>DATE(YEAR(support_tickets[[#This Row],[opened_at]]),MONTH(support_tickets[[#This Row],[opened_at]]),1)</f>
        <v>45352</v>
      </c>
    </row>
    <row r="126" spans="1:22">
      <c r="A126">
        <v>2466538300</v>
      </c>
      <c r="B126">
        <v>843854609</v>
      </c>
      <c r="C126" t="s">
        <v>496</v>
      </c>
      <c r="D126" t="s">
        <v>497</v>
      </c>
      <c r="E126">
        <v>30868105</v>
      </c>
      <c r="G126" s="1">
        <v>46005.735081018516</v>
      </c>
      <c r="I126" t="s">
        <v>46</v>
      </c>
      <c r="J126" t="s">
        <v>19</v>
      </c>
      <c r="K126" t="s">
        <v>20</v>
      </c>
      <c r="L126" t="s">
        <v>34</v>
      </c>
      <c r="M126">
        <v>34</v>
      </c>
      <c r="O126">
        <v>0</v>
      </c>
      <c r="P126" t="s">
        <v>22</v>
      </c>
      <c r="Q126">
        <v>267</v>
      </c>
      <c r="R126" t="s">
        <v>53</v>
      </c>
      <c r="S126">
        <f>IF(support_tickets[[#This Row],[status_cleaned]]="closed",1,0)</f>
        <v>0</v>
      </c>
      <c r="T126" t="str">
        <f>TEXT(support_tickets[[#This Row],[opened_at]],"mmm yyyy")</f>
        <v>Dec 2025</v>
      </c>
      <c r="U126">
        <f>YEAR(support_tickets[[#This Row],[opened_at]])*100+MONTH(support_tickets[[#This Row],[opened_at]])</f>
        <v>202512</v>
      </c>
      <c r="V126" s="29">
        <f>DATE(YEAR(support_tickets[[#This Row],[opened_at]]),MONTH(support_tickets[[#This Row],[opened_at]]),1)</f>
        <v>45992</v>
      </c>
    </row>
    <row r="127" spans="1:22">
      <c r="A127">
        <v>2538040889</v>
      </c>
      <c r="B127">
        <v>522950895</v>
      </c>
      <c r="C127" t="s">
        <v>520</v>
      </c>
      <c r="D127" t="s">
        <v>521</v>
      </c>
      <c r="E127">
        <v>72043515</v>
      </c>
      <c r="G127" s="1">
        <v>46025.360891203702</v>
      </c>
      <c r="I127" t="s">
        <v>52</v>
      </c>
      <c r="J127" t="s">
        <v>86</v>
      </c>
      <c r="K127" t="s">
        <v>20</v>
      </c>
      <c r="L127" t="s">
        <v>34</v>
      </c>
      <c r="M127">
        <v>50</v>
      </c>
      <c r="O127">
        <v>0</v>
      </c>
      <c r="P127" t="s">
        <v>87</v>
      </c>
      <c r="Q127">
        <v>281</v>
      </c>
      <c r="R127" t="s">
        <v>53</v>
      </c>
      <c r="S127">
        <f>IF(support_tickets[[#This Row],[status_cleaned]]="closed",1,0)</f>
        <v>0</v>
      </c>
      <c r="T127" t="str">
        <f>TEXT(support_tickets[[#This Row],[opened_at]],"mmm yyyy")</f>
        <v>Jan 2026</v>
      </c>
      <c r="U127">
        <f>YEAR(support_tickets[[#This Row],[opened_at]])*100+MONTH(support_tickets[[#This Row],[opened_at]])</f>
        <v>202601</v>
      </c>
      <c r="V127" s="29">
        <f>DATE(YEAR(support_tickets[[#This Row],[opened_at]]),MONTH(support_tickets[[#This Row],[opened_at]]),1)</f>
        <v>46023</v>
      </c>
    </row>
    <row r="128" spans="1:22">
      <c r="A128">
        <v>2742618570</v>
      </c>
      <c r="B128">
        <v>690554938</v>
      </c>
      <c r="C128" t="s">
        <v>240</v>
      </c>
      <c r="D128" t="s">
        <v>241</v>
      </c>
      <c r="E128">
        <v>32969840</v>
      </c>
      <c r="F128">
        <v>9949069966</v>
      </c>
      <c r="G128" s="1">
        <v>45302.025405092594</v>
      </c>
      <c r="I128" t="s">
        <v>52</v>
      </c>
      <c r="J128" t="s">
        <v>86</v>
      </c>
      <c r="K128" t="s">
        <v>20</v>
      </c>
      <c r="L128" t="s">
        <v>34</v>
      </c>
      <c r="M128">
        <v>99</v>
      </c>
      <c r="O128">
        <v>0</v>
      </c>
      <c r="P128" t="s">
        <v>87</v>
      </c>
      <c r="Q128">
        <v>313</v>
      </c>
      <c r="R128" t="s">
        <v>53</v>
      </c>
      <c r="S128">
        <f>IF(support_tickets[[#This Row],[status_cleaned]]="closed",1,0)</f>
        <v>0</v>
      </c>
      <c r="T128" t="str">
        <f>TEXT(support_tickets[[#This Row],[opened_at]],"mmm yyyy")</f>
        <v>Jan 2024</v>
      </c>
      <c r="U128">
        <f>YEAR(support_tickets[[#This Row],[opened_at]])*100+MONTH(support_tickets[[#This Row],[opened_at]])</f>
        <v>202401</v>
      </c>
      <c r="V128" s="29">
        <f>DATE(YEAR(support_tickets[[#This Row],[opened_at]]),MONTH(support_tickets[[#This Row],[opened_at]]),1)</f>
        <v>45292</v>
      </c>
    </row>
    <row r="129" spans="1:22">
      <c r="A129">
        <v>2828468280</v>
      </c>
      <c r="B129">
        <v>868847524</v>
      </c>
      <c r="C129" t="s">
        <v>222</v>
      </c>
      <c r="D129" t="s">
        <v>223</v>
      </c>
      <c r="E129">
        <v>20576383</v>
      </c>
      <c r="G129" s="1">
        <v>46046.396909722222</v>
      </c>
      <c r="I129" t="s">
        <v>43</v>
      </c>
      <c r="J129" t="s">
        <v>38</v>
      </c>
      <c r="K129" t="s">
        <v>20</v>
      </c>
      <c r="L129" t="s">
        <v>34</v>
      </c>
      <c r="M129">
        <v>50</v>
      </c>
      <c r="O129">
        <v>0</v>
      </c>
      <c r="P129" t="s">
        <v>40</v>
      </c>
      <c r="Q129">
        <v>327</v>
      </c>
      <c r="R129" t="s">
        <v>53</v>
      </c>
      <c r="S129">
        <f>IF(support_tickets[[#This Row],[status_cleaned]]="closed",1,0)</f>
        <v>0</v>
      </c>
      <c r="T129" t="str">
        <f>TEXT(support_tickets[[#This Row],[opened_at]],"mmm yyyy")</f>
        <v>Jan 2026</v>
      </c>
      <c r="U129">
        <f>YEAR(support_tickets[[#This Row],[opened_at]])*100+MONTH(support_tickets[[#This Row],[opened_at]])</f>
        <v>202601</v>
      </c>
      <c r="V129" s="29">
        <f>DATE(YEAR(support_tickets[[#This Row],[opened_at]]),MONTH(support_tickets[[#This Row],[opened_at]]),1)</f>
        <v>46023</v>
      </c>
    </row>
    <row r="130" spans="1:22">
      <c r="A130">
        <v>3039641939</v>
      </c>
      <c r="B130">
        <v>778321204</v>
      </c>
      <c r="C130" t="s">
        <v>230</v>
      </c>
      <c r="D130" t="s">
        <v>231</v>
      </c>
      <c r="E130">
        <v>81182864</v>
      </c>
      <c r="F130">
        <v>7770680211</v>
      </c>
      <c r="G130" s="1">
        <v>46042.306458333333</v>
      </c>
      <c r="H130" s="1">
        <v>46042.846736111111</v>
      </c>
      <c r="I130" t="s">
        <v>46</v>
      </c>
      <c r="J130" t="s">
        <v>59</v>
      </c>
      <c r="K130" t="s">
        <v>20</v>
      </c>
      <c r="L130" t="s">
        <v>34</v>
      </c>
      <c r="M130">
        <v>65</v>
      </c>
      <c r="N130">
        <v>778</v>
      </c>
      <c r="O130">
        <v>0</v>
      </c>
      <c r="P130" t="s">
        <v>61</v>
      </c>
      <c r="Q130">
        <v>371</v>
      </c>
      <c r="R130" t="s">
        <v>53</v>
      </c>
      <c r="S130">
        <f>IF(support_tickets[[#This Row],[status_cleaned]]="closed",1,0)</f>
        <v>0</v>
      </c>
      <c r="T130" t="str">
        <f>TEXT(support_tickets[[#This Row],[opened_at]],"mmm yyyy")</f>
        <v>Jan 2026</v>
      </c>
      <c r="U130">
        <f>YEAR(support_tickets[[#This Row],[opened_at]])*100+MONTH(support_tickets[[#This Row],[opened_at]])</f>
        <v>202601</v>
      </c>
      <c r="V130" s="29">
        <f>DATE(YEAR(support_tickets[[#This Row],[opened_at]]),MONTH(support_tickets[[#This Row],[opened_at]]),1)</f>
        <v>46023</v>
      </c>
    </row>
    <row r="131" spans="1:22">
      <c r="A131">
        <v>3162040254</v>
      </c>
      <c r="B131">
        <v>613443905</v>
      </c>
      <c r="C131" t="s">
        <v>672</v>
      </c>
      <c r="D131" t="s">
        <v>673</v>
      </c>
      <c r="E131">
        <v>10076758</v>
      </c>
      <c r="F131">
        <v>1576951818</v>
      </c>
      <c r="G131" s="1">
        <v>45435.625844907408</v>
      </c>
      <c r="I131" t="s">
        <v>18</v>
      </c>
      <c r="J131" t="s">
        <v>25</v>
      </c>
      <c r="K131" t="s">
        <v>20</v>
      </c>
      <c r="L131" t="s">
        <v>34</v>
      </c>
      <c r="M131">
        <v>32</v>
      </c>
      <c r="O131">
        <v>0</v>
      </c>
      <c r="P131" t="s">
        <v>27</v>
      </c>
      <c r="Q131">
        <v>393</v>
      </c>
      <c r="R131" t="s">
        <v>53</v>
      </c>
      <c r="S131">
        <f>IF(support_tickets[[#This Row],[status_cleaned]]="closed",1,0)</f>
        <v>0</v>
      </c>
      <c r="T131" t="str">
        <f>TEXT(support_tickets[[#This Row],[opened_at]],"mmm yyyy")</f>
        <v>May 2024</v>
      </c>
      <c r="U131">
        <f>YEAR(support_tickets[[#This Row],[opened_at]])*100+MONTH(support_tickets[[#This Row],[opened_at]])</f>
        <v>202405</v>
      </c>
      <c r="V131" s="29">
        <f>DATE(YEAR(support_tickets[[#This Row],[opened_at]]),MONTH(support_tickets[[#This Row],[opened_at]]),1)</f>
        <v>45413</v>
      </c>
    </row>
    <row r="132" spans="1:22">
      <c r="A132">
        <v>3177529650</v>
      </c>
      <c r="B132">
        <v>264299106</v>
      </c>
      <c r="C132" t="s">
        <v>152</v>
      </c>
      <c r="D132" t="s">
        <v>153</v>
      </c>
      <c r="E132">
        <v>28566572</v>
      </c>
      <c r="G132" s="1">
        <v>45891.834247685183</v>
      </c>
      <c r="I132" t="s">
        <v>3</v>
      </c>
      <c r="J132" t="s">
        <v>30</v>
      </c>
      <c r="K132" t="s">
        <v>20</v>
      </c>
      <c r="L132" t="s">
        <v>34</v>
      </c>
      <c r="M132">
        <v>68</v>
      </c>
      <c r="O132">
        <v>0</v>
      </c>
      <c r="P132" t="s">
        <v>31</v>
      </c>
      <c r="Q132">
        <v>394</v>
      </c>
      <c r="R132" t="s">
        <v>53</v>
      </c>
      <c r="S132">
        <f>IF(support_tickets[[#This Row],[status_cleaned]]="closed",1,0)</f>
        <v>0</v>
      </c>
      <c r="T132" t="str">
        <f>TEXT(support_tickets[[#This Row],[opened_at]],"mmm yyyy")</f>
        <v>Aug 2025</v>
      </c>
      <c r="U132">
        <f>YEAR(support_tickets[[#This Row],[opened_at]])*100+MONTH(support_tickets[[#This Row],[opened_at]])</f>
        <v>202508</v>
      </c>
      <c r="V132" s="29">
        <f>DATE(YEAR(support_tickets[[#This Row],[opened_at]]),MONTH(support_tickets[[#This Row],[opened_at]]),1)</f>
        <v>45870</v>
      </c>
    </row>
    <row r="133" spans="1:22">
      <c r="A133">
        <v>3377088151</v>
      </c>
      <c r="B133">
        <v>504499880</v>
      </c>
      <c r="C133" t="s">
        <v>728</v>
      </c>
      <c r="D133" t="s">
        <v>729</v>
      </c>
      <c r="E133">
        <v>24942603</v>
      </c>
      <c r="G133" s="1">
        <v>45775.748402777775</v>
      </c>
      <c r="I133" t="s">
        <v>56</v>
      </c>
      <c r="J133" t="s">
        <v>38</v>
      </c>
      <c r="K133" t="s">
        <v>20</v>
      </c>
      <c r="L133" t="s">
        <v>34</v>
      </c>
      <c r="M133">
        <v>50</v>
      </c>
      <c r="O133">
        <v>0</v>
      </c>
      <c r="P133" t="s">
        <v>40</v>
      </c>
      <c r="Q133">
        <v>432</v>
      </c>
      <c r="R133" t="s">
        <v>53</v>
      </c>
      <c r="S133">
        <f>IF(support_tickets[[#This Row],[status_cleaned]]="closed",1,0)</f>
        <v>0</v>
      </c>
      <c r="T133" t="str">
        <f>TEXT(support_tickets[[#This Row],[opened_at]],"mmm yyyy")</f>
        <v>Apr 2025</v>
      </c>
      <c r="U133">
        <f>YEAR(support_tickets[[#This Row],[opened_at]])*100+MONTH(support_tickets[[#This Row],[opened_at]])</f>
        <v>202504</v>
      </c>
      <c r="V133" s="29">
        <f>DATE(YEAR(support_tickets[[#This Row],[opened_at]]),MONTH(support_tickets[[#This Row],[opened_at]]),1)</f>
        <v>45748</v>
      </c>
    </row>
    <row r="134" spans="1:22">
      <c r="A134">
        <v>3441044403</v>
      </c>
      <c r="B134">
        <v>992649957</v>
      </c>
      <c r="C134" t="s">
        <v>742</v>
      </c>
      <c r="D134" t="s">
        <v>743</v>
      </c>
      <c r="E134">
        <v>42138745</v>
      </c>
      <c r="G134" s="1">
        <v>46072.839560185188</v>
      </c>
      <c r="H134" s="1">
        <v>46073.463865740741</v>
      </c>
      <c r="I134" t="s">
        <v>56</v>
      </c>
      <c r="J134" t="s">
        <v>38</v>
      </c>
      <c r="K134" t="s">
        <v>20</v>
      </c>
      <c r="L134" t="s">
        <v>34</v>
      </c>
      <c r="M134">
        <v>51</v>
      </c>
      <c r="N134">
        <v>899</v>
      </c>
      <c r="O134">
        <v>0</v>
      </c>
      <c r="P134" t="s">
        <v>40</v>
      </c>
      <c r="Q134">
        <v>440</v>
      </c>
      <c r="R134" t="s">
        <v>53</v>
      </c>
      <c r="S134">
        <f>IF(support_tickets[[#This Row],[status_cleaned]]="closed",1,0)</f>
        <v>0</v>
      </c>
      <c r="T134" t="str">
        <f>TEXT(support_tickets[[#This Row],[opened_at]],"mmm yyyy")</f>
        <v>Feb 2026</v>
      </c>
      <c r="U134">
        <f>YEAR(support_tickets[[#This Row],[opened_at]])*100+MONTH(support_tickets[[#This Row],[opened_at]])</f>
        <v>202602</v>
      </c>
      <c r="V134" s="29">
        <f>DATE(YEAR(support_tickets[[#This Row],[opened_at]]),MONTH(support_tickets[[#This Row],[opened_at]]),1)</f>
        <v>46054</v>
      </c>
    </row>
    <row r="135" spans="1:22">
      <c r="A135">
        <v>3475781259</v>
      </c>
      <c r="B135">
        <v>989368954</v>
      </c>
      <c r="C135" t="s">
        <v>108</v>
      </c>
      <c r="D135" t="s">
        <v>109</v>
      </c>
      <c r="E135">
        <v>95822412</v>
      </c>
      <c r="F135">
        <v>1514972684</v>
      </c>
      <c r="G135" s="1">
        <v>45364.01158564815</v>
      </c>
      <c r="I135" t="s">
        <v>37</v>
      </c>
      <c r="J135" t="s">
        <v>86</v>
      </c>
      <c r="K135" t="s">
        <v>20</v>
      </c>
      <c r="L135" t="s">
        <v>34</v>
      </c>
      <c r="M135">
        <v>10</v>
      </c>
      <c r="O135">
        <v>0</v>
      </c>
      <c r="P135" t="s">
        <v>87</v>
      </c>
      <c r="Q135">
        <v>443</v>
      </c>
      <c r="R135" t="s">
        <v>53</v>
      </c>
      <c r="S135">
        <f>IF(support_tickets[[#This Row],[status_cleaned]]="closed",1,0)</f>
        <v>0</v>
      </c>
      <c r="T135" t="str">
        <f>TEXT(support_tickets[[#This Row],[opened_at]],"mmm yyyy")</f>
        <v>Mar 2024</v>
      </c>
      <c r="U135">
        <f>YEAR(support_tickets[[#This Row],[opened_at]])*100+MONTH(support_tickets[[#This Row],[opened_at]])</f>
        <v>202403</v>
      </c>
      <c r="V135" s="29">
        <f>DATE(YEAR(support_tickets[[#This Row],[opened_at]]),MONTH(support_tickets[[#This Row],[opened_at]]),1)</f>
        <v>45352</v>
      </c>
    </row>
    <row r="136" spans="1:22">
      <c r="A136">
        <v>3859898073</v>
      </c>
      <c r="B136">
        <v>147036629</v>
      </c>
      <c r="C136" t="s">
        <v>824</v>
      </c>
      <c r="D136" t="s">
        <v>825</v>
      </c>
      <c r="E136">
        <v>52235350</v>
      </c>
      <c r="G136" s="1">
        <v>46042.468449074076</v>
      </c>
      <c r="I136" t="s">
        <v>37</v>
      </c>
      <c r="J136" t="s">
        <v>19</v>
      </c>
      <c r="K136" t="s">
        <v>20</v>
      </c>
      <c r="L136" t="s">
        <v>34</v>
      </c>
      <c r="M136">
        <v>3</v>
      </c>
      <c r="O136">
        <v>0</v>
      </c>
      <c r="P136" t="s">
        <v>22</v>
      </c>
      <c r="Q136">
        <v>508</v>
      </c>
      <c r="R136" t="s">
        <v>53</v>
      </c>
      <c r="S136">
        <f>IF(support_tickets[[#This Row],[status_cleaned]]="closed",1,0)</f>
        <v>0</v>
      </c>
      <c r="T136" t="str">
        <f>TEXT(support_tickets[[#This Row],[opened_at]],"mmm yyyy")</f>
        <v>Jan 2026</v>
      </c>
      <c r="U136">
        <f>YEAR(support_tickets[[#This Row],[opened_at]])*100+MONTH(support_tickets[[#This Row],[opened_at]])</f>
        <v>202601</v>
      </c>
      <c r="V136" s="29">
        <f>DATE(YEAR(support_tickets[[#This Row],[opened_at]]),MONTH(support_tickets[[#This Row],[opened_at]]),1)</f>
        <v>46023</v>
      </c>
    </row>
    <row r="137" spans="1:22">
      <c r="A137">
        <v>3918101563</v>
      </c>
      <c r="B137">
        <v>756998124</v>
      </c>
      <c r="C137" t="s">
        <v>828</v>
      </c>
      <c r="D137" t="s">
        <v>829</v>
      </c>
      <c r="E137">
        <v>97971488</v>
      </c>
      <c r="F137">
        <v>2117124041</v>
      </c>
      <c r="G137" s="1">
        <v>46052.694780092592</v>
      </c>
      <c r="I137" t="s">
        <v>18</v>
      </c>
      <c r="J137" t="s">
        <v>25</v>
      </c>
      <c r="K137" t="s">
        <v>20</v>
      </c>
      <c r="L137" t="s">
        <v>34</v>
      </c>
      <c r="M137">
        <v>1</v>
      </c>
      <c r="O137">
        <v>0</v>
      </c>
      <c r="P137" t="s">
        <v>27</v>
      </c>
      <c r="Q137">
        <v>511</v>
      </c>
      <c r="R137" t="s">
        <v>53</v>
      </c>
      <c r="S137">
        <f>IF(support_tickets[[#This Row],[status_cleaned]]="closed",1,0)</f>
        <v>0</v>
      </c>
      <c r="T137" t="str">
        <f>TEXT(support_tickets[[#This Row],[opened_at]],"mmm yyyy")</f>
        <v>Jan 2026</v>
      </c>
      <c r="U137">
        <f>YEAR(support_tickets[[#This Row],[opened_at]])*100+MONTH(support_tickets[[#This Row],[opened_at]])</f>
        <v>202601</v>
      </c>
      <c r="V137" s="29">
        <f>DATE(YEAR(support_tickets[[#This Row],[opened_at]]),MONTH(support_tickets[[#This Row],[opened_at]]),1)</f>
        <v>46023</v>
      </c>
    </row>
    <row r="138" spans="1:22">
      <c r="A138">
        <v>4338996827</v>
      </c>
      <c r="B138">
        <v>545492166</v>
      </c>
      <c r="C138" t="s">
        <v>904</v>
      </c>
      <c r="D138" t="s">
        <v>905</v>
      </c>
      <c r="E138">
        <v>45503389</v>
      </c>
      <c r="G138" s="1">
        <v>45630.507395833331</v>
      </c>
      <c r="I138" t="s">
        <v>56</v>
      </c>
      <c r="J138" t="s">
        <v>59</v>
      </c>
      <c r="K138" t="s">
        <v>20</v>
      </c>
      <c r="L138" t="s">
        <v>34</v>
      </c>
      <c r="M138">
        <v>38</v>
      </c>
      <c r="O138">
        <v>0</v>
      </c>
      <c r="P138" t="s">
        <v>61</v>
      </c>
      <c r="Q138">
        <v>578</v>
      </c>
      <c r="R138" t="s">
        <v>53</v>
      </c>
      <c r="S138">
        <f>IF(support_tickets[[#This Row],[status_cleaned]]="closed",1,0)</f>
        <v>0</v>
      </c>
      <c r="T138" t="str">
        <f>TEXT(support_tickets[[#This Row],[opened_at]],"mmm yyyy")</f>
        <v>Dec 2024</v>
      </c>
      <c r="U138">
        <f>YEAR(support_tickets[[#This Row],[opened_at]])*100+MONTH(support_tickets[[#This Row],[opened_at]])</f>
        <v>202412</v>
      </c>
      <c r="V138" s="29">
        <f>DATE(YEAR(support_tickets[[#This Row],[opened_at]]),MONTH(support_tickets[[#This Row],[opened_at]]),1)</f>
        <v>45627</v>
      </c>
    </row>
    <row r="139" spans="1:22">
      <c r="A139">
        <v>4514830868</v>
      </c>
      <c r="B139">
        <v>511859868</v>
      </c>
      <c r="C139" t="s">
        <v>950</v>
      </c>
      <c r="D139" t="s">
        <v>951</v>
      </c>
      <c r="E139">
        <v>49392920</v>
      </c>
      <c r="G139" s="1">
        <v>46034.273217592592</v>
      </c>
      <c r="H139" s="1">
        <v>46034.885717592595</v>
      </c>
      <c r="I139" t="s">
        <v>3</v>
      </c>
      <c r="J139" t="s">
        <v>59</v>
      </c>
      <c r="K139" t="s">
        <v>20</v>
      </c>
      <c r="L139" t="s">
        <v>34</v>
      </c>
      <c r="M139">
        <v>23</v>
      </c>
      <c r="N139">
        <v>882</v>
      </c>
      <c r="O139">
        <v>0</v>
      </c>
      <c r="P139" t="s">
        <v>61</v>
      </c>
      <c r="Q139">
        <v>613</v>
      </c>
      <c r="R139" t="s">
        <v>53</v>
      </c>
      <c r="S139">
        <f>IF(support_tickets[[#This Row],[status_cleaned]]="closed",1,0)</f>
        <v>0</v>
      </c>
      <c r="T139" t="str">
        <f>TEXT(support_tickets[[#This Row],[opened_at]],"mmm yyyy")</f>
        <v>Jan 2026</v>
      </c>
      <c r="U139">
        <f>YEAR(support_tickets[[#This Row],[opened_at]])*100+MONTH(support_tickets[[#This Row],[opened_at]])</f>
        <v>202601</v>
      </c>
      <c r="V139" s="29">
        <f>DATE(YEAR(support_tickets[[#This Row],[opened_at]]),MONTH(support_tickets[[#This Row],[opened_at]]),1)</f>
        <v>46023</v>
      </c>
    </row>
    <row r="140" spans="1:22">
      <c r="A140">
        <v>4586437898</v>
      </c>
      <c r="B140">
        <v>893112954</v>
      </c>
      <c r="C140" t="s">
        <v>968</v>
      </c>
      <c r="D140" t="s">
        <v>969</v>
      </c>
      <c r="E140">
        <v>12614124</v>
      </c>
      <c r="G140" s="1">
        <v>45481.110694444447</v>
      </c>
      <c r="H140" s="1">
        <v>45481.922500000001</v>
      </c>
      <c r="I140" t="s">
        <v>56</v>
      </c>
      <c r="J140" t="s">
        <v>38</v>
      </c>
      <c r="K140" t="s">
        <v>20</v>
      </c>
      <c r="L140" t="s">
        <v>34</v>
      </c>
      <c r="M140">
        <v>7</v>
      </c>
      <c r="N140">
        <v>1169</v>
      </c>
      <c r="O140">
        <v>0</v>
      </c>
      <c r="P140" t="s">
        <v>40</v>
      </c>
      <c r="Q140">
        <v>627</v>
      </c>
      <c r="R140" t="s">
        <v>53</v>
      </c>
      <c r="S140">
        <f>IF(support_tickets[[#This Row],[status_cleaned]]="closed",1,0)</f>
        <v>0</v>
      </c>
      <c r="T140" t="str">
        <f>TEXT(support_tickets[[#This Row],[opened_at]],"mmm yyyy")</f>
        <v>Jul 2024</v>
      </c>
      <c r="U140">
        <f>YEAR(support_tickets[[#This Row],[opened_at]])*100+MONTH(support_tickets[[#This Row],[opened_at]])</f>
        <v>202407</v>
      </c>
      <c r="V140" s="29">
        <f>DATE(YEAR(support_tickets[[#This Row],[opened_at]]),MONTH(support_tickets[[#This Row],[opened_at]]),1)</f>
        <v>45474</v>
      </c>
    </row>
    <row r="141" spans="1:22">
      <c r="A141">
        <v>4684199646</v>
      </c>
      <c r="B141">
        <v>835503313</v>
      </c>
      <c r="C141" t="s">
        <v>984</v>
      </c>
      <c r="D141" t="s">
        <v>985</v>
      </c>
      <c r="E141">
        <v>75579548</v>
      </c>
      <c r="F141">
        <v>4688346804</v>
      </c>
      <c r="G141" s="1">
        <v>45794.585277777776</v>
      </c>
      <c r="I141" t="s">
        <v>43</v>
      </c>
      <c r="J141" t="s">
        <v>38</v>
      </c>
      <c r="K141" t="s">
        <v>20</v>
      </c>
      <c r="L141" t="s">
        <v>34</v>
      </c>
      <c r="M141">
        <v>6</v>
      </c>
      <c r="O141">
        <v>0</v>
      </c>
      <c r="P141" t="s">
        <v>40</v>
      </c>
      <c r="Q141">
        <v>644</v>
      </c>
      <c r="R141" t="s">
        <v>53</v>
      </c>
      <c r="S141">
        <f>IF(support_tickets[[#This Row],[status_cleaned]]="closed",1,0)</f>
        <v>0</v>
      </c>
      <c r="T141" t="str">
        <f>TEXT(support_tickets[[#This Row],[opened_at]],"mmm yyyy")</f>
        <v>May 2025</v>
      </c>
      <c r="U141">
        <f>YEAR(support_tickets[[#This Row],[opened_at]])*100+MONTH(support_tickets[[#This Row],[opened_at]])</f>
        <v>202505</v>
      </c>
      <c r="V141" s="29">
        <f>DATE(YEAR(support_tickets[[#This Row],[opened_at]]),MONTH(support_tickets[[#This Row],[opened_at]]),1)</f>
        <v>45778</v>
      </c>
    </row>
    <row r="142" spans="1:22">
      <c r="A142">
        <v>4930747947</v>
      </c>
      <c r="B142">
        <v>903734960</v>
      </c>
      <c r="C142" t="s">
        <v>1004</v>
      </c>
      <c r="D142" t="s">
        <v>1005</v>
      </c>
      <c r="E142">
        <v>41244663</v>
      </c>
      <c r="G142" s="1">
        <v>45941.503807870373</v>
      </c>
      <c r="I142" t="s">
        <v>46</v>
      </c>
      <c r="J142" t="s">
        <v>38</v>
      </c>
      <c r="K142" t="s">
        <v>20</v>
      </c>
      <c r="L142" t="s">
        <v>34</v>
      </c>
      <c r="M142">
        <v>35</v>
      </c>
      <c r="O142">
        <v>0</v>
      </c>
      <c r="P142" t="s">
        <v>40</v>
      </c>
      <c r="Q142">
        <v>684</v>
      </c>
      <c r="R142" t="s">
        <v>53</v>
      </c>
      <c r="S142">
        <f>IF(support_tickets[[#This Row],[status_cleaned]]="closed",1,0)</f>
        <v>0</v>
      </c>
      <c r="T142" t="str">
        <f>TEXT(support_tickets[[#This Row],[opened_at]],"mmm yyyy")</f>
        <v>Oct 2025</v>
      </c>
      <c r="U142">
        <f>YEAR(support_tickets[[#This Row],[opened_at]])*100+MONTH(support_tickets[[#This Row],[opened_at]])</f>
        <v>202510</v>
      </c>
      <c r="V142" s="29">
        <f>DATE(YEAR(support_tickets[[#This Row],[opened_at]]),MONTH(support_tickets[[#This Row],[opened_at]]),1)</f>
        <v>45931</v>
      </c>
    </row>
    <row r="143" spans="1:22">
      <c r="A143">
        <v>5021146805</v>
      </c>
      <c r="B143">
        <v>278933456</v>
      </c>
      <c r="C143" t="s">
        <v>1046</v>
      </c>
      <c r="D143" t="s">
        <v>1047</v>
      </c>
      <c r="E143">
        <v>20570592</v>
      </c>
      <c r="G143" s="1">
        <v>45755.181064814817</v>
      </c>
      <c r="I143" t="s">
        <v>43</v>
      </c>
      <c r="J143" t="s">
        <v>86</v>
      </c>
      <c r="K143" t="s">
        <v>20</v>
      </c>
      <c r="L143" t="s">
        <v>34</v>
      </c>
      <c r="M143">
        <v>35</v>
      </c>
      <c r="O143">
        <v>0</v>
      </c>
      <c r="P143" t="s">
        <v>87</v>
      </c>
      <c r="Q143">
        <v>699</v>
      </c>
      <c r="R143" t="s">
        <v>53</v>
      </c>
      <c r="S143">
        <f>IF(support_tickets[[#This Row],[status_cleaned]]="closed",1,0)</f>
        <v>0</v>
      </c>
      <c r="T143" t="str">
        <f>TEXT(support_tickets[[#This Row],[opened_at]],"mmm yyyy")</f>
        <v>Apr 2025</v>
      </c>
      <c r="U143">
        <f>YEAR(support_tickets[[#This Row],[opened_at]])*100+MONTH(support_tickets[[#This Row],[opened_at]])</f>
        <v>202504</v>
      </c>
      <c r="V143" s="29">
        <f>DATE(YEAR(support_tickets[[#This Row],[opened_at]]),MONTH(support_tickets[[#This Row],[opened_at]]),1)</f>
        <v>45748</v>
      </c>
    </row>
    <row r="144" spans="1:22">
      <c r="A144">
        <v>5870220303</v>
      </c>
      <c r="B144">
        <v>647301347</v>
      </c>
      <c r="C144" t="s">
        <v>1186</v>
      </c>
      <c r="D144" t="s">
        <v>1187</v>
      </c>
      <c r="E144">
        <v>17507864</v>
      </c>
      <c r="G144" s="1">
        <v>45758.956111111111</v>
      </c>
      <c r="I144" t="s">
        <v>37</v>
      </c>
      <c r="J144" t="s">
        <v>86</v>
      </c>
      <c r="K144" t="s">
        <v>20</v>
      </c>
      <c r="L144" t="s">
        <v>34</v>
      </c>
      <c r="M144">
        <v>30</v>
      </c>
      <c r="O144">
        <v>0</v>
      </c>
      <c r="P144" t="s">
        <v>87</v>
      </c>
      <c r="Q144">
        <v>864</v>
      </c>
      <c r="R144" t="s">
        <v>53</v>
      </c>
      <c r="S144">
        <f>IF(support_tickets[[#This Row],[status_cleaned]]="closed",1,0)</f>
        <v>0</v>
      </c>
      <c r="T144" t="str">
        <f>TEXT(support_tickets[[#This Row],[opened_at]],"mmm yyyy")</f>
        <v>Apr 2025</v>
      </c>
      <c r="U144">
        <f>YEAR(support_tickets[[#This Row],[opened_at]])*100+MONTH(support_tickets[[#This Row],[opened_at]])</f>
        <v>202504</v>
      </c>
      <c r="V144" s="29">
        <f>DATE(YEAR(support_tickets[[#This Row],[opened_at]]),MONTH(support_tickets[[#This Row],[opened_at]]),1)</f>
        <v>45748</v>
      </c>
    </row>
    <row r="145" spans="1:22">
      <c r="A145">
        <v>5874683426</v>
      </c>
      <c r="B145">
        <v>559242868</v>
      </c>
      <c r="C145" t="s">
        <v>1192</v>
      </c>
      <c r="D145" t="s">
        <v>1193</v>
      </c>
      <c r="E145">
        <v>66306997</v>
      </c>
      <c r="G145" s="1">
        <v>45990.383032407408</v>
      </c>
      <c r="I145" t="s">
        <v>43</v>
      </c>
      <c r="J145" t="s">
        <v>30</v>
      </c>
      <c r="K145" t="s">
        <v>20</v>
      </c>
      <c r="L145" t="s">
        <v>34</v>
      </c>
      <c r="M145">
        <v>19</v>
      </c>
      <c r="O145">
        <v>0</v>
      </c>
      <c r="P145" t="s">
        <v>31</v>
      </c>
      <c r="Q145">
        <v>867</v>
      </c>
      <c r="R145" t="s">
        <v>53</v>
      </c>
      <c r="S145">
        <f>IF(support_tickets[[#This Row],[status_cleaned]]="closed",1,0)</f>
        <v>0</v>
      </c>
      <c r="T145" t="str">
        <f>TEXT(support_tickets[[#This Row],[opened_at]],"mmm yyyy")</f>
        <v>Nov 2025</v>
      </c>
      <c r="U145">
        <f>YEAR(support_tickets[[#This Row],[opened_at]])*100+MONTH(support_tickets[[#This Row],[opened_at]])</f>
        <v>202511</v>
      </c>
      <c r="V145" s="29">
        <f>DATE(YEAR(support_tickets[[#This Row],[opened_at]]),MONTH(support_tickets[[#This Row],[opened_at]]),1)</f>
        <v>45962</v>
      </c>
    </row>
    <row r="146" spans="1:22">
      <c r="A146">
        <v>5876372381</v>
      </c>
      <c r="B146">
        <v>797889971</v>
      </c>
      <c r="C146" t="s">
        <v>136</v>
      </c>
      <c r="D146" t="s">
        <v>137</v>
      </c>
      <c r="E146">
        <v>75579548</v>
      </c>
      <c r="G146" s="1">
        <v>46110.123645833337</v>
      </c>
      <c r="I146" t="s">
        <v>52</v>
      </c>
      <c r="J146" t="s">
        <v>38</v>
      </c>
      <c r="K146" t="s">
        <v>20</v>
      </c>
      <c r="L146" t="s">
        <v>34</v>
      </c>
      <c r="M146">
        <v>41</v>
      </c>
      <c r="O146">
        <v>0</v>
      </c>
      <c r="P146" t="s">
        <v>40</v>
      </c>
      <c r="Q146">
        <v>868</v>
      </c>
      <c r="R146" t="s">
        <v>53</v>
      </c>
      <c r="S146">
        <f>IF(support_tickets[[#This Row],[status_cleaned]]="closed",1,0)</f>
        <v>0</v>
      </c>
      <c r="T146" t="str">
        <f>TEXT(support_tickets[[#This Row],[opened_at]],"mmm yyyy")</f>
        <v>Mar 2026</v>
      </c>
      <c r="U146">
        <f>YEAR(support_tickets[[#This Row],[opened_at]])*100+MONTH(support_tickets[[#This Row],[opened_at]])</f>
        <v>202603</v>
      </c>
      <c r="V146" s="29">
        <f>DATE(YEAR(support_tickets[[#This Row],[opened_at]]),MONTH(support_tickets[[#This Row],[opened_at]]),1)</f>
        <v>46082</v>
      </c>
    </row>
    <row r="147" spans="1:22">
      <c r="A147">
        <v>5901185070</v>
      </c>
      <c r="B147">
        <v>179189225</v>
      </c>
      <c r="C147" t="s">
        <v>1194</v>
      </c>
      <c r="D147" t="s">
        <v>1195</v>
      </c>
      <c r="E147">
        <v>45575298</v>
      </c>
      <c r="F147">
        <v>8806099647</v>
      </c>
      <c r="G147" s="1">
        <v>45647.514594907407</v>
      </c>
      <c r="I147" t="s">
        <v>56</v>
      </c>
      <c r="J147" t="s">
        <v>19</v>
      </c>
      <c r="K147" t="s">
        <v>20</v>
      </c>
      <c r="L147" t="s">
        <v>34</v>
      </c>
      <c r="M147">
        <v>5</v>
      </c>
      <c r="O147">
        <v>0</v>
      </c>
      <c r="P147" t="s">
        <v>22</v>
      </c>
      <c r="Q147">
        <v>874</v>
      </c>
      <c r="R147" t="s">
        <v>53</v>
      </c>
      <c r="S147">
        <f>IF(support_tickets[[#This Row],[status_cleaned]]="closed",1,0)</f>
        <v>0</v>
      </c>
      <c r="T147" t="str">
        <f>TEXT(support_tickets[[#This Row],[opened_at]],"mmm yyyy")</f>
        <v>Dec 2024</v>
      </c>
      <c r="U147">
        <f>YEAR(support_tickets[[#This Row],[opened_at]])*100+MONTH(support_tickets[[#This Row],[opened_at]])</f>
        <v>202412</v>
      </c>
      <c r="V147" s="29">
        <f>DATE(YEAR(support_tickets[[#This Row],[opened_at]]),MONTH(support_tickets[[#This Row],[opened_at]]),1)</f>
        <v>45627</v>
      </c>
    </row>
    <row r="148" spans="1:22">
      <c r="A148">
        <v>5967304697</v>
      </c>
      <c r="B148">
        <v>796091085</v>
      </c>
      <c r="C148" t="s">
        <v>1198</v>
      </c>
      <c r="D148" t="s">
        <v>1199</v>
      </c>
      <c r="E148">
        <v>35808537</v>
      </c>
      <c r="G148" s="1">
        <v>45549.310937499999</v>
      </c>
      <c r="H148" s="1">
        <v>45550.034548611111</v>
      </c>
      <c r="I148" t="s">
        <v>43</v>
      </c>
      <c r="J148" t="s">
        <v>30</v>
      </c>
      <c r="K148" t="s">
        <v>20</v>
      </c>
      <c r="L148" t="s">
        <v>34</v>
      </c>
      <c r="M148">
        <v>52</v>
      </c>
      <c r="N148">
        <v>1042</v>
      </c>
      <c r="O148">
        <v>0</v>
      </c>
      <c r="P148" t="s">
        <v>31</v>
      </c>
      <c r="Q148">
        <v>884</v>
      </c>
      <c r="R148" t="s">
        <v>53</v>
      </c>
      <c r="S148">
        <f>IF(support_tickets[[#This Row],[status_cleaned]]="closed",1,0)</f>
        <v>0</v>
      </c>
      <c r="T148" t="str">
        <f>TEXT(support_tickets[[#This Row],[opened_at]],"mmm yyyy")</f>
        <v>Sep 2024</v>
      </c>
      <c r="U148">
        <f>YEAR(support_tickets[[#This Row],[opened_at]])*100+MONTH(support_tickets[[#This Row],[opened_at]])</f>
        <v>202409</v>
      </c>
      <c r="V148" s="29">
        <f>DATE(YEAR(support_tickets[[#This Row],[opened_at]]),MONTH(support_tickets[[#This Row],[opened_at]]),1)</f>
        <v>45536</v>
      </c>
    </row>
    <row r="149" spans="1:22">
      <c r="A149">
        <v>6403125657</v>
      </c>
      <c r="B149">
        <v>374796224</v>
      </c>
      <c r="C149" t="s">
        <v>1264</v>
      </c>
      <c r="D149" t="s">
        <v>1265</v>
      </c>
      <c r="E149">
        <v>51273847</v>
      </c>
      <c r="G149" s="1">
        <v>45359.82203703704</v>
      </c>
      <c r="I149" t="s">
        <v>56</v>
      </c>
      <c r="J149" t="s">
        <v>59</v>
      </c>
      <c r="K149" t="s">
        <v>20</v>
      </c>
      <c r="L149" t="s">
        <v>34</v>
      </c>
      <c r="M149">
        <v>13</v>
      </c>
      <c r="O149">
        <v>0</v>
      </c>
      <c r="P149" t="s">
        <v>61</v>
      </c>
      <c r="Q149">
        <v>961</v>
      </c>
      <c r="R149" t="s">
        <v>53</v>
      </c>
      <c r="S149">
        <f>IF(support_tickets[[#This Row],[status_cleaned]]="closed",1,0)</f>
        <v>0</v>
      </c>
      <c r="T149" t="str">
        <f>TEXT(support_tickets[[#This Row],[opened_at]],"mmm yyyy")</f>
        <v>Mar 2024</v>
      </c>
      <c r="U149">
        <f>YEAR(support_tickets[[#This Row],[opened_at]])*100+MONTH(support_tickets[[#This Row],[opened_at]])</f>
        <v>202403</v>
      </c>
      <c r="V149" s="29">
        <f>DATE(YEAR(support_tickets[[#This Row],[opened_at]]),MONTH(support_tickets[[#This Row],[opened_at]]),1)</f>
        <v>45352</v>
      </c>
    </row>
    <row r="150" spans="1:22">
      <c r="A150">
        <v>7232435041</v>
      </c>
      <c r="B150">
        <v>839393192</v>
      </c>
      <c r="C150" t="s">
        <v>28</v>
      </c>
      <c r="D150" t="s">
        <v>29</v>
      </c>
      <c r="E150">
        <v>39436733</v>
      </c>
      <c r="F150">
        <v>5924562641</v>
      </c>
      <c r="G150" s="1">
        <v>45659.512361111112</v>
      </c>
      <c r="I150" t="s">
        <v>37</v>
      </c>
      <c r="J150" t="s">
        <v>25</v>
      </c>
      <c r="K150" t="s">
        <v>20</v>
      </c>
      <c r="L150" t="s">
        <v>34</v>
      </c>
      <c r="M150">
        <v>61</v>
      </c>
      <c r="O150">
        <v>0</v>
      </c>
      <c r="P150" t="s">
        <v>27</v>
      </c>
      <c r="Q150">
        <v>1067</v>
      </c>
      <c r="R150" t="s">
        <v>53</v>
      </c>
      <c r="S150">
        <f>IF(support_tickets[[#This Row],[status_cleaned]]="closed",1,0)</f>
        <v>0</v>
      </c>
      <c r="T150" t="str">
        <f>TEXT(support_tickets[[#This Row],[opened_at]],"mmm yyyy")</f>
        <v>Jan 2025</v>
      </c>
      <c r="U150">
        <f>YEAR(support_tickets[[#This Row],[opened_at]])*100+MONTH(support_tickets[[#This Row],[opened_at]])</f>
        <v>202501</v>
      </c>
      <c r="V150" s="29">
        <f>DATE(YEAR(support_tickets[[#This Row],[opened_at]]),MONTH(support_tickets[[#This Row],[opened_at]]),1)</f>
        <v>45658</v>
      </c>
    </row>
    <row r="151" spans="1:22">
      <c r="A151">
        <v>7575072878</v>
      </c>
      <c r="B151">
        <v>514642708</v>
      </c>
      <c r="C151" t="s">
        <v>1136</v>
      </c>
      <c r="D151" t="s">
        <v>1137</v>
      </c>
      <c r="E151">
        <v>22575562</v>
      </c>
      <c r="G151" s="1">
        <v>45752.107708333337</v>
      </c>
      <c r="I151" t="s">
        <v>43</v>
      </c>
      <c r="J151" t="s">
        <v>30</v>
      </c>
      <c r="K151" t="s">
        <v>20</v>
      </c>
      <c r="L151" t="s">
        <v>34</v>
      </c>
      <c r="M151">
        <v>8</v>
      </c>
      <c r="O151">
        <v>0</v>
      </c>
      <c r="P151" t="s">
        <v>31</v>
      </c>
      <c r="Q151">
        <v>1120</v>
      </c>
      <c r="R151" t="s">
        <v>53</v>
      </c>
      <c r="S151">
        <f>IF(support_tickets[[#This Row],[status_cleaned]]="closed",1,0)</f>
        <v>0</v>
      </c>
      <c r="T151" t="str">
        <f>TEXT(support_tickets[[#This Row],[opened_at]],"mmm yyyy")</f>
        <v>Apr 2025</v>
      </c>
      <c r="U151">
        <f>YEAR(support_tickets[[#This Row],[opened_at]])*100+MONTH(support_tickets[[#This Row],[opened_at]])</f>
        <v>202504</v>
      </c>
      <c r="V151" s="29">
        <f>DATE(YEAR(support_tickets[[#This Row],[opened_at]]),MONTH(support_tickets[[#This Row],[opened_at]]),1)</f>
        <v>45748</v>
      </c>
    </row>
    <row r="152" spans="1:22">
      <c r="A152">
        <v>7669220569</v>
      </c>
      <c r="B152">
        <v>198476695</v>
      </c>
      <c r="C152" t="s">
        <v>1284</v>
      </c>
      <c r="D152" t="s">
        <v>1285</v>
      </c>
      <c r="E152">
        <v>97971488</v>
      </c>
      <c r="F152">
        <v>7367038689</v>
      </c>
      <c r="G152" s="1">
        <v>45789.240243055552</v>
      </c>
      <c r="I152" t="s">
        <v>56</v>
      </c>
      <c r="J152" t="s">
        <v>86</v>
      </c>
      <c r="K152" t="s">
        <v>20</v>
      </c>
      <c r="L152" t="s">
        <v>34</v>
      </c>
      <c r="M152">
        <v>21</v>
      </c>
      <c r="O152">
        <v>0</v>
      </c>
      <c r="P152" t="s">
        <v>87</v>
      </c>
      <c r="Q152">
        <v>1140</v>
      </c>
      <c r="R152" t="s">
        <v>53</v>
      </c>
      <c r="S152">
        <f>IF(support_tickets[[#This Row],[status_cleaned]]="closed",1,0)</f>
        <v>0</v>
      </c>
      <c r="T152" t="str">
        <f>TEXT(support_tickets[[#This Row],[opened_at]],"mmm yyyy")</f>
        <v>May 2025</v>
      </c>
      <c r="U152">
        <f>YEAR(support_tickets[[#This Row],[opened_at]])*100+MONTH(support_tickets[[#This Row],[opened_at]])</f>
        <v>202505</v>
      </c>
      <c r="V152" s="29">
        <f>DATE(YEAR(support_tickets[[#This Row],[opened_at]]),MONTH(support_tickets[[#This Row],[opened_at]]),1)</f>
        <v>45778</v>
      </c>
    </row>
    <row r="153" spans="1:22">
      <c r="A153">
        <v>8125872890</v>
      </c>
      <c r="B153">
        <v>843102880</v>
      </c>
      <c r="C153" t="s">
        <v>1431</v>
      </c>
      <c r="D153" t="s">
        <v>1432</v>
      </c>
      <c r="E153">
        <v>13356886</v>
      </c>
      <c r="F153">
        <v>6583130018</v>
      </c>
      <c r="G153" s="1">
        <v>45639.072418981479</v>
      </c>
      <c r="I153" t="s">
        <v>46</v>
      </c>
      <c r="J153" t="s">
        <v>30</v>
      </c>
      <c r="K153" t="s">
        <v>20</v>
      </c>
      <c r="L153" t="s">
        <v>34</v>
      </c>
      <c r="M153">
        <v>65</v>
      </c>
      <c r="O153">
        <v>0</v>
      </c>
      <c r="P153" t="s">
        <v>31</v>
      </c>
      <c r="Q153">
        <v>1199</v>
      </c>
      <c r="R153" t="s">
        <v>53</v>
      </c>
      <c r="S153">
        <f>IF(support_tickets[[#This Row],[status_cleaned]]="closed",1,0)</f>
        <v>0</v>
      </c>
      <c r="T153" t="str">
        <f>TEXT(support_tickets[[#This Row],[opened_at]],"mmm yyyy")</f>
        <v>Dec 2024</v>
      </c>
      <c r="U153">
        <f>YEAR(support_tickets[[#This Row],[opened_at]])*100+MONTH(support_tickets[[#This Row],[opened_at]])</f>
        <v>202412</v>
      </c>
      <c r="V153" s="29">
        <f>DATE(YEAR(support_tickets[[#This Row],[opened_at]]),MONTH(support_tickets[[#This Row],[opened_at]]),1)</f>
        <v>45627</v>
      </c>
    </row>
    <row r="154" spans="1:22">
      <c r="A154">
        <v>8168025371</v>
      </c>
      <c r="B154">
        <v>206389694</v>
      </c>
      <c r="C154" t="s">
        <v>1006</v>
      </c>
      <c r="D154" t="s">
        <v>1007</v>
      </c>
      <c r="E154">
        <v>31682744</v>
      </c>
      <c r="G154" s="1">
        <v>45590.40011574074</v>
      </c>
      <c r="I154" t="s">
        <v>3</v>
      </c>
      <c r="J154" t="s">
        <v>59</v>
      </c>
      <c r="K154" t="s">
        <v>20</v>
      </c>
      <c r="L154" t="s">
        <v>34</v>
      </c>
      <c r="M154">
        <v>35</v>
      </c>
      <c r="O154">
        <v>0</v>
      </c>
      <c r="P154" t="s">
        <v>61</v>
      </c>
      <c r="Q154">
        <v>1206</v>
      </c>
      <c r="R154" t="s">
        <v>53</v>
      </c>
      <c r="S154">
        <f>IF(support_tickets[[#This Row],[status_cleaned]]="closed",1,0)</f>
        <v>0</v>
      </c>
      <c r="T154" t="str">
        <f>TEXT(support_tickets[[#This Row],[opened_at]],"mmm yyyy")</f>
        <v>Oct 2024</v>
      </c>
      <c r="U154">
        <f>YEAR(support_tickets[[#This Row],[opened_at]])*100+MONTH(support_tickets[[#This Row],[opened_at]])</f>
        <v>202410</v>
      </c>
      <c r="V154" s="29">
        <f>DATE(YEAR(support_tickets[[#This Row],[opened_at]]),MONTH(support_tickets[[#This Row],[opened_at]]),1)</f>
        <v>45566</v>
      </c>
    </row>
    <row r="155" spans="1:22">
      <c r="A155">
        <v>8492178772</v>
      </c>
      <c r="B155">
        <v>144232045</v>
      </c>
      <c r="C155" t="s">
        <v>1459</v>
      </c>
      <c r="D155" t="s">
        <v>1460</v>
      </c>
      <c r="E155">
        <v>42868828</v>
      </c>
      <c r="G155" s="1">
        <v>46001.134884259256</v>
      </c>
      <c r="I155" t="s">
        <v>46</v>
      </c>
      <c r="J155" t="s">
        <v>38</v>
      </c>
      <c r="K155" t="s">
        <v>20</v>
      </c>
      <c r="L155" t="s">
        <v>34</v>
      </c>
      <c r="M155">
        <v>26</v>
      </c>
      <c r="O155">
        <v>0</v>
      </c>
      <c r="P155" t="s">
        <v>40</v>
      </c>
      <c r="Q155">
        <v>1254</v>
      </c>
      <c r="R155" t="s">
        <v>53</v>
      </c>
      <c r="S155">
        <f>IF(support_tickets[[#This Row],[status_cleaned]]="closed",1,0)</f>
        <v>0</v>
      </c>
      <c r="T155" t="str">
        <f>TEXT(support_tickets[[#This Row],[opened_at]],"mmm yyyy")</f>
        <v>Dec 2025</v>
      </c>
      <c r="U155">
        <f>YEAR(support_tickets[[#This Row],[opened_at]])*100+MONTH(support_tickets[[#This Row],[opened_at]])</f>
        <v>202512</v>
      </c>
      <c r="V155" s="29">
        <f>DATE(YEAR(support_tickets[[#This Row],[opened_at]]),MONTH(support_tickets[[#This Row],[opened_at]]),1)</f>
        <v>45992</v>
      </c>
    </row>
    <row r="156" spans="1:22">
      <c r="A156">
        <v>8548658258</v>
      </c>
      <c r="B156">
        <v>683246764</v>
      </c>
      <c r="C156" t="s">
        <v>588</v>
      </c>
      <c r="D156" t="s">
        <v>589</v>
      </c>
      <c r="E156">
        <v>25374874</v>
      </c>
      <c r="G156" s="1">
        <v>45708.999872685185</v>
      </c>
      <c r="I156" t="s">
        <v>18</v>
      </c>
      <c r="J156" t="s">
        <v>19</v>
      </c>
      <c r="K156" t="s">
        <v>20</v>
      </c>
      <c r="L156" t="s">
        <v>34</v>
      </c>
      <c r="M156">
        <v>42</v>
      </c>
      <c r="O156">
        <v>0</v>
      </c>
      <c r="P156" t="s">
        <v>22</v>
      </c>
      <c r="Q156">
        <v>1268</v>
      </c>
      <c r="R156" t="s">
        <v>53</v>
      </c>
      <c r="S156">
        <f>IF(support_tickets[[#This Row],[status_cleaned]]="closed",1,0)</f>
        <v>0</v>
      </c>
      <c r="T156" t="str">
        <f>TEXT(support_tickets[[#This Row],[opened_at]],"mmm yyyy")</f>
        <v>Feb 2025</v>
      </c>
      <c r="U156">
        <f>YEAR(support_tickets[[#This Row],[opened_at]])*100+MONTH(support_tickets[[#This Row],[opened_at]])</f>
        <v>202502</v>
      </c>
      <c r="V156" s="29">
        <f>DATE(YEAR(support_tickets[[#This Row],[opened_at]]),MONTH(support_tickets[[#This Row],[opened_at]]),1)</f>
        <v>45689</v>
      </c>
    </row>
    <row r="157" spans="1:22">
      <c r="A157">
        <v>8994837086</v>
      </c>
      <c r="B157">
        <v>461971444</v>
      </c>
      <c r="C157" t="s">
        <v>1318</v>
      </c>
      <c r="D157" t="s">
        <v>1319</v>
      </c>
      <c r="E157">
        <v>39587039</v>
      </c>
      <c r="F157">
        <v>2634106492</v>
      </c>
      <c r="G157" s="1">
        <v>45536.755486111113</v>
      </c>
      <c r="I157" t="s">
        <v>18</v>
      </c>
      <c r="J157" t="s">
        <v>38</v>
      </c>
      <c r="K157" t="s">
        <v>20</v>
      </c>
      <c r="L157" t="s">
        <v>34</v>
      </c>
      <c r="M157">
        <v>12</v>
      </c>
      <c r="O157">
        <v>0</v>
      </c>
      <c r="P157" t="s">
        <v>40</v>
      </c>
      <c r="Q157">
        <v>1344</v>
      </c>
      <c r="R157" t="s">
        <v>53</v>
      </c>
      <c r="S157">
        <f>IF(support_tickets[[#This Row],[status_cleaned]]="closed",1,0)</f>
        <v>0</v>
      </c>
      <c r="T157" t="str">
        <f>TEXT(support_tickets[[#This Row],[opened_at]],"mmm yyyy")</f>
        <v>Sep 2024</v>
      </c>
      <c r="U157">
        <f>YEAR(support_tickets[[#This Row],[opened_at]])*100+MONTH(support_tickets[[#This Row],[opened_at]])</f>
        <v>202409</v>
      </c>
      <c r="V157" s="29">
        <f>DATE(YEAR(support_tickets[[#This Row],[opened_at]]),MONTH(support_tickets[[#This Row],[opened_at]]),1)</f>
        <v>45536</v>
      </c>
    </row>
    <row r="158" spans="1:22">
      <c r="A158">
        <v>9136155213</v>
      </c>
      <c r="B158">
        <v>362935648</v>
      </c>
      <c r="C158" t="s">
        <v>332</v>
      </c>
      <c r="D158" t="s">
        <v>333</v>
      </c>
      <c r="E158">
        <v>66661351</v>
      </c>
      <c r="G158" s="1">
        <v>46069.264351851853</v>
      </c>
      <c r="I158" t="s">
        <v>18</v>
      </c>
      <c r="J158" t="s">
        <v>19</v>
      </c>
      <c r="K158" t="s">
        <v>20</v>
      </c>
      <c r="L158" t="s">
        <v>34</v>
      </c>
      <c r="M158">
        <v>20</v>
      </c>
      <c r="O158">
        <v>0</v>
      </c>
      <c r="P158" t="s">
        <v>22</v>
      </c>
      <c r="Q158">
        <v>1377</v>
      </c>
      <c r="R158" t="s">
        <v>53</v>
      </c>
      <c r="S158">
        <f>IF(support_tickets[[#This Row],[status_cleaned]]="closed",1,0)</f>
        <v>0</v>
      </c>
      <c r="T158" t="str">
        <f>TEXT(support_tickets[[#This Row],[opened_at]],"mmm yyyy")</f>
        <v>Feb 2026</v>
      </c>
      <c r="U158">
        <f>YEAR(support_tickets[[#This Row],[opened_at]])*100+MONTH(support_tickets[[#This Row],[opened_at]])</f>
        <v>202602</v>
      </c>
      <c r="V158" s="29">
        <f>DATE(YEAR(support_tickets[[#This Row],[opened_at]]),MONTH(support_tickets[[#This Row],[opened_at]]),1)</f>
        <v>46054</v>
      </c>
    </row>
    <row r="159" spans="1:22">
      <c r="A159">
        <v>9487551059</v>
      </c>
      <c r="B159">
        <v>634211672</v>
      </c>
      <c r="C159" t="s">
        <v>69</v>
      </c>
      <c r="D159" t="s">
        <v>70</v>
      </c>
      <c r="E159">
        <v>82340307</v>
      </c>
      <c r="F159">
        <v>6505350387</v>
      </c>
      <c r="G159" s="1">
        <v>46075.294490740744</v>
      </c>
      <c r="I159" t="s">
        <v>18</v>
      </c>
      <c r="J159" t="s">
        <v>59</v>
      </c>
      <c r="K159" t="s">
        <v>20</v>
      </c>
      <c r="L159" t="s">
        <v>34</v>
      </c>
      <c r="M159">
        <v>24</v>
      </c>
      <c r="O159">
        <v>0</v>
      </c>
      <c r="P159" t="s">
        <v>61</v>
      </c>
      <c r="Q159">
        <v>1432</v>
      </c>
      <c r="R159" t="s">
        <v>53</v>
      </c>
      <c r="S159">
        <f>IF(support_tickets[[#This Row],[status_cleaned]]="closed",1,0)</f>
        <v>0</v>
      </c>
      <c r="T159" t="str">
        <f>TEXT(support_tickets[[#This Row],[opened_at]],"mmm yyyy")</f>
        <v>Feb 2026</v>
      </c>
      <c r="U159">
        <f>YEAR(support_tickets[[#This Row],[opened_at]])*100+MONTH(support_tickets[[#This Row],[opened_at]])</f>
        <v>202602</v>
      </c>
      <c r="V159" s="29">
        <f>DATE(YEAR(support_tickets[[#This Row],[opened_at]]),MONTH(support_tickets[[#This Row],[opened_at]]),1)</f>
        <v>46054</v>
      </c>
    </row>
    <row r="160" spans="1:22">
      <c r="A160">
        <v>9549250209</v>
      </c>
      <c r="B160">
        <v>240409084</v>
      </c>
      <c r="C160" t="s">
        <v>970</v>
      </c>
      <c r="D160" t="s">
        <v>971</v>
      </c>
      <c r="E160">
        <v>67503414</v>
      </c>
      <c r="G160" s="1">
        <v>45813.620335648149</v>
      </c>
      <c r="I160" t="s">
        <v>46</v>
      </c>
      <c r="J160" t="s">
        <v>19</v>
      </c>
      <c r="K160" t="s">
        <v>20</v>
      </c>
      <c r="L160" t="s">
        <v>34</v>
      </c>
      <c r="M160">
        <v>38</v>
      </c>
      <c r="O160">
        <v>0</v>
      </c>
      <c r="P160" t="s">
        <v>22</v>
      </c>
      <c r="Q160">
        <v>1437</v>
      </c>
      <c r="R160" t="s">
        <v>53</v>
      </c>
      <c r="S160">
        <f>IF(support_tickets[[#This Row],[status_cleaned]]="closed",1,0)</f>
        <v>0</v>
      </c>
      <c r="T160" t="str">
        <f>TEXT(support_tickets[[#This Row],[opened_at]],"mmm yyyy")</f>
        <v>Jun 2025</v>
      </c>
      <c r="U160">
        <f>YEAR(support_tickets[[#This Row],[opened_at]])*100+MONTH(support_tickets[[#This Row],[opened_at]])</f>
        <v>202506</v>
      </c>
      <c r="V160" s="29">
        <f>DATE(YEAR(support_tickets[[#This Row],[opened_at]]),MONTH(support_tickets[[#This Row],[opened_at]]),1)</f>
        <v>45809</v>
      </c>
    </row>
    <row r="161" spans="1:22">
      <c r="A161">
        <v>9667198721</v>
      </c>
      <c r="B161">
        <v>409346714</v>
      </c>
      <c r="C161" t="s">
        <v>644</v>
      </c>
      <c r="D161" t="s">
        <v>645</v>
      </c>
      <c r="E161">
        <v>87490893</v>
      </c>
      <c r="G161" s="1">
        <v>45906.8750462963</v>
      </c>
      <c r="I161" t="s">
        <v>3</v>
      </c>
      <c r="J161" t="s">
        <v>86</v>
      </c>
      <c r="K161" t="s">
        <v>20</v>
      </c>
      <c r="L161" t="s">
        <v>34</v>
      </c>
      <c r="M161">
        <v>1</v>
      </c>
      <c r="O161">
        <v>0</v>
      </c>
      <c r="P161" t="s">
        <v>87</v>
      </c>
      <c r="Q161">
        <v>1459</v>
      </c>
      <c r="R161" t="s">
        <v>53</v>
      </c>
      <c r="S161">
        <f>IF(support_tickets[[#This Row],[status_cleaned]]="closed",1,0)</f>
        <v>0</v>
      </c>
      <c r="T161" t="str">
        <f>TEXT(support_tickets[[#This Row],[opened_at]],"mmm yyyy")</f>
        <v>Sep 2025</v>
      </c>
      <c r="U161">
        <f>YEAR(support_tickets[[#This Row],[opened_at]])*100+MONTH(support_tickets[[#This Row],[opened_at]])</f>
        <v>202509</v>
      </c>
      <c r="V161" s="29">
        <f>DATE(YEAR(support_tickets[[#This Row],[opened_at]]),MONTH(support_tickets[[#This Row],[opened_at]]),1)</f>
        <v>45901</v>
      </c>
    </row>
    <row r="162" spans="1:22">
      <c r="A162">
        <v>1044818985</v>
      </c>
      <c r="B162">
        <v>535391971</v>
      </c>
      <c r="C162" t="s">
        <v>50</v>
      </c>
      <c r="D162" t="s">
        <v>51</v>
      </c>
      <c r="E162">
        <v>84752529</v>
      </c>
      <c r="G162" s="1">
        <v>46104.881516203706</v>
      </c>
      <c r="I162" t="s">
        <v>52</v>
      </c>
      <c r="J162" t="s">
        <v>19</v>
      </c>
      <c r="K162" t="s">
        <v>20</v>
      </c>
      <c r="L162" t="s">
        <v>53</v>
      </c>
      <c r="M162">
        <v>27</v>
      </c>
      <c r="O162">
        <v>1</v>
      </c>
      <c r="P162" t="s">
        <v>22</v>
      </c>
      <c r="Q162">
        <v>9</v>
      </c>
      <c r="R162" t="s">
        <v>53</v>
      </c>
      <c r="S162">
        <f>IF(support_tickets[[#This Row],[status_cleaned]]="closed",1,0)</f>
        <v>0</v>
      </c>
      <c r="T162" t="str">
        <f>TEXT(support_tickets[[#This Row],[opened_at]],"mmm yyyy")</f>
        <v>Mar 2026</v>
      </c>
      <c r="U162">
        <f>YEAR(support_tickets[[#This Row],[opened_at]])*100+MONTH(support_tickets[[#This Row],[opened_at]])</f>
        <v>202603</v>
      </c>
      <c r="V162" s="29">
        <f>DATE(YEAR(support_tickets[[#This Row],[opened_at]]),MONTH(support_tickets[[#This Row],[opened_at]]),1)</f>
        <v>46082</v>
      </c>
    </row>
    <row r="163" spans="1:22">
      <c r="A163">
        <v>1284690860</v>
      </c>
      <c r="B163">
        <v>163525343</v>
      </c>
      <c r="C163" t="s">
        <v>156</v>
      </c>
      <c r="D163" t="s">
        <v>157</v>
      </c>
      <c r="E163">
        <v>26879290</v>
      </c>
      <c r="G163" s="1">
        <v>45533.713888888888</v>
      </c>
      <c r="I163" t="s">
        <v>18</v>
      </c>
      <c r="J163" t="s">
        <v>25</v>
      </c>
      <c r="K163" t="s">
        <v>20</v>
      </c>
      <c r="L163" t="s">
        <v>53</v>
      </c>
      <c r="M163">
        <v>59</v>
      </c>
      <c r="O163">
        <v>1</v>
      </c>
      <c r="P163" t="s">
        <v>27</v>
      </c>
      <c r="Q163">
        <v>58</v>
      </c>
      <c r="R163" t="s">
        <v>53</v>
      </c>
      <c r="S163">
        <f>IF(support_tickets[[#This Row],[status_cleaned]]="closed",1,0)</f>
        <v>0</v>
      </c>
      <c r="T163" t="str">
        <f>TEXT(support_tickets[[#This Row],[opened_at]],"mmm yyyy")</f>
        <v>Aug 2024</v>
      </c>
      <c r="U163">
        <f>YEAR(support_tickets[[#This Row],[opened_at]])*100+MONTH(support_tickets[[#This Row],[opened_at]])</f>
        <v>202408</v>
      </c>
      <c r="V163" s="29">
        <f>DATE(YEAR(support_tickets[[#This Row],[opened_at]]),MONTH(support_tickets[[#This Row],[opened_at]]),1)</f>
        <v>45505</v>
      </c>
    </row>
    <row r="164" spans="1:22">
      <c r="A164">
        <v>1404985744</v>
      </c>
      <c r="B164">
        <v>301126777</v>
      </c>
      <c r="C164" t="s">
        <v>182</v>
      </c>
      <c r="D164" t="s">
        <v>183</v>
      </c>
      <c r="E164">
        <v>66306997</v>
      </c>
      <c r="G164" s="1">
        <v>45530.886504629627</v>
      </c>
      <c r="I164" t="s">
        <v>43</v>
      </c>
      <c r="J164" t="s">
        <v>19</v>
      </c>
      <c r="K164" t="s">
        <v>20</v>
      </c>
      <c r="L164" t="s">
        <v>53</v>
      </c>
      <c r="M164">
        <v>87</v>
      </c>
      <c r="O164">
        <v>1</v>
      </c>
      <c r="P164" t="s">
        <v>22</v>
      </c>
      <c r="Q164">
        <v>73</v>
      </c>
      <c r="R164" t="s">
        <v>53</v>
      </c>
      <c r="S164">
        <f>IF(support_tickets[[#This Row],[status_cleaned]]="closed",1,0)</f>
        <v>0</v>
      </c>
      <c r="T164" t="str">
        <f>TEXT(support_tickets[[#This Row],[opened_at]],"mmm yyyy")</f>
        <v>Aug 2024</v>
      </c>
      <c r="U164">
        <f>YEAR(support_tickets[[#This Row],[opened_at]])*100+MONTH(support_tickets[[#This Row],[opened_at]])</f>
        <v>202408</v>
      </c>
      <c r="V164" s="29">
        <f>DATE(YEAR(support_tickets[[#This Row],[opened_at]]),MONTH(support_tickets[[#This Row],[opened_at]]),1)</f>
        <v>45505</v>
      </c>
    </row>
    <row r="165" spans="1:22">
      <c r="A165">
        <v>1599465828</v>
      </c>
      <c r="B165">
        <v>672440825</v>
      </c>
      <c r="C165" t="s">
        <v>236</v>
      </c>
      <c r="D165" t="s">
        <v>237</v>
      </c>
      <c r="E165">
        <v>55176955</v>
      </c>
      <c r="F165">
        <v>4396825966</v>
      </c>
      <c r="G165" s="1">
        <v>45821.932766203703</v>
      </c>
      <c r="I165" t="s">
        <v>3</v>
      </c>
      <c r="J165" t="s">
        <v>30</v>
      </c>
      <c r="K165" t="s">
        <v>20</v>
      </c>
      <c r="L165" t="s">
        <v>53</v>
      </c>
      <c r="M165">
        <v>50</v>
      </c>
      <c r="O165">
        <v>1</v>
      </c>
      <c r="P165" t="s">
        <v>31</v>
      </c>
      <c r="Q165">
        <v>104</v>
      </c>
      <c r="R165" t="s">
        <v>53</v>
      </c>
      <c r="S165">
        <f>IF(support_tickets[[#This Row],[status_cleaned]]="closed",1,0)</f>
        <v>0</v>
      </c>
      <c r="T165" t="str">
        <f>TEXT(support_tickets[[#This Row],[opened_at]],"mmm yyyy")</f>
        <v>Jun 2025</v>
      </c>
      <c r="U165">
        <f>YEAR(support_tickets[[#This Row],[opened_at]])*100+MONTH(support_tickets[[#This Row],[opened_at]])</f>
        <v>202506</v>
      </c>
      <c r="V165" s="29">
        <f>DATE(YEAR(support_tickets[[#This Row],[opened_at]]),MONTH(support_tickets[[#This Row],[opened_at]]),1)</f>
        <v>45809</v>
      </c>
    </row>
    <row r="166" spans="1:22">
      <c r="A166">
        <v>1688258685</v>
      </c>
      <c r="B166">
        <v>582750043</v>
      </c>
      <c r="C166" t="s">
        <v>260</v>
      </c>
      <c r="D166" t="s">
        <v>261</v>
      </c>
      <c r="E166">
        <v>67503414</v>
      </c>
      <c r="F166">
        <v>8376160226</v>
      </c>
      <c r="G166" s="1">
        <v>45973.968506944446</v>
      </c>
      <c r="I166" t="s">
        <v>52</v>
      </c>
      <c r="J166" t="s">
        <v>38</v>
      </c>
      <c r="K166" t="s">
        <v>20</v>
      </c>
      <c r="L166" t="s">
        <v>53</v>
      </c>
      <c r="M166">
        <v>56</v>
      </c>
      <c r="O166">
        <v>1</v>
      </c>
      <c r="P166" t="s">
        <v>40</v>
      </c>
      <c r="Q166">
        <v>122</v>
      </c>
      <c r="R166" t="s">
        <v>53</v>
      </c>
      <c r="S166">
        <f>IF(support_tickets[[#This Row],[status_cleaned]]="closed",1,0)</f>
        <v>0</v>
      </c>
      <c r="T166" t="str">
        <f>TEXT(support_tickets[[#This Row],[opened_at]],"mmm yyyy")</f>
        <v>Nov 2025</v>
      </c>
      <c r="U166">
        <f>YEAR(support_tickets[[#This Row],[opened_at]])*100+MONTH(support_tickets[[#This Row],[opened_at]])</f>
        <v>202511</v>
      </c>
      <c r="V166" s="29">
        <f>DATE(YEAR(support_tickets[[#This Row],[opened_at]]),MONTH(support_tickets[[#This Row],[opened_at]]),1)</f>
        <v>45962</v>
      </c>
    </row>
    <row r="167" spans="1:22">
      <c r="A167">
        <v>1712552060</v>
      </c>
      <c r="B167">
        <v>376236056</v>
      </c>
      <c r="C167" t="s">
        <v>276</v>
      </c>
      <c r="D167" t="s">
        <v>277</v>
      </c>
      <c r="E167">
        <v>84252722</v>
      </c>
      <c r="G167" s="1">
        <v>45642.673831018517</v>
      </c>
      <c r="I167" t="s">
        <v>18</v>
      </c>
      <c r="J167" t="s">
        <v>19</v>
      </c>
      <c r="K167" t="s">
        <v>20</v>
      </c>
      <c r="L167" t="s">
        <v>53</v>
      </c>
      <c r="M167">
        <v>49</v>
      </c>
      <c r="O167">
        <v>1</v>
      </c>
      <c r="P167" t="s">
        <v>22</v>
      </c>
      <c r="Q167">
        <v>126</v>
      </c>
      <c r="R167" t="s">
        <v>53</v>
      </c>
      <c r="S167">
        <f>IF(support_tickets[[#This Row],[status_cleaned]]="closed",1,0)</f>
        <v>0</v>
      </c>
      <c r="T167" t="str">
        <f>TEXT(support_tickets[[#This Row],[opened_at]],"mmm yyyy")</f>
        <v>Dec 2024</v>
      </c>
      <c r="U167">
        <f>YEAR(support_tickets[[#This Row],[opened_at]])*100+MONTH(support_tickets[[#This Row],[opened_at]])</f>
        <v>202412</v>
      </c>
      <c r="V167" s="29">
        <f>DATE(YEAR(support_tickets[[#This Row],[opened_at]]),MONTH(support_tickets[[#This Row],[opened_at]]),1)</f>
        <v>45627</v>
      </c>
    </row>
    <row r="168" spans="1:22">
      <c r="A168">
        <v>1742569971</v>
      </c>
      <c r="B168">
        <v>233654018</v>
      </c>
      <c r="C168" t="s">
        <v>294</v>
      </c>
      <c r="D168" t="s">
        <v>295</v>
      </c>
      <c r="E168">
        <v>45264581</v>
      </c>
      <c r="G168" s="1">
        <v>45378.994305555556</v>
      </c>
      <c r="I168" t="s">
        <v>46</v>
      </c>
      <c r="J168" t="s">
        <v>86</v>
      </c>
      <c r="K168" t="s">
        <v>20</v>
      </c>
      <c r="L168" t="s">
        <v>53</v>
      </c>
      <c r="M168">
        <v>38</v>
      </c>
      <c r="O168">
        <v>1</v>
      </c>
      <c r="P168" t="s">
        <v>87</v>
      </c>
      <c r="Q168">
        <v>136</v>
      </c>
      <c r="R168" t="s">
        <v>53</v>
      </c>
      <c r="S168">
        <f>IF(support_tickets[[#This Row],[status_cleaned]]="closed",1,0)</f>
        <v>0</v>
      </c>
      <c r="T168" t="str">
        <f>TEXT(support_tickets[[#This Row],[opened_at]],"mmm yyyy")</f>
        <v>Mar 2024</v>
      </c>
      <c r="U168">
        <f>YEAR(support_tickets[[#This Row],[opened_at]])*100+MONTH(support_tickets[[#This Row],[opened_at]])</f>
        <v>202403</v>
      </c>
      <c r="V168" s="29">
        <f>DATE(YEAR(support_tickets[[#This Row],[opened_at]]),MONTH(support_tickets[[#This Row],[opened_at]]),1)</f>
        <v>45352</v>
      </c>
    </row>
    <row r="169" spans="1:22">
      <c r="A169">
        <v>1800960335</v>
      </c>
      <c r="B169">
        <v>244796859</v>
      </c>
      <c r="C169" t="s">
        <v>324</v>
      </c>
      <c r="D169" t="s">
        <v>325</v>
      </c>
      <c r="E169">
        <v>12614124</v>
      </c>
      <c r="F169">
        <v>7248352168</v>
      </c>
      <c r="G169" s="1">
        <v>45308.760185185187</v>
      </c>
      <c r="I169" t="s">
        <v>37</v>
      </c>
      <c r="J169" t="s">
        <v>59</v>
      </c>
      <c r="K169" t="s">
        <v>20</v>
      </c>
      <c r="L169" t="s">
        <v>53</v>
      </c>
      <c r="M169">
        <v>21</v>
      </c>
      <c r="O169">
        <v>1</v>
      </c>
      <c r="P169" t="s">
        <v>61</v>
      </c>
      <c r="Q169">
        <v>157</v>
      </c>
      <c r="R169" t="s">
        <v>53</v>
      </c>
      <c r="S169">
        <f>IF(support_tickets[[#This Row],[status_cleaned]]="closed",1,0)</f>
        <v>0</v>
      </c>
      <c r="T169" t="str">
        <f>TEXT(support_tickets[[#This Row],[opened_at]],"mmm yyyy")</f>
        <v>Jan 2024</v>
      </c>
      <c r="U169">
        <f>YEAR(support_tickets[[#This Row],[opened_at]])*100+MONTH(support_tickets[[#This Row],[opened_at]])</f>
        <v>202401</v>
      </c>
      <c r="V169" s="29">
        <f>DATE(YEAR(support_tickets[[#This Row],[opened_at]]),MONTH(support_tickets[[#This Row],[opened_at]]),1)</f>
        <v>45292</v>
      </c>
    </row>
    <row r="170" spans="1:22">
      <c r="A170">
        <v>1815493684</v>
      </c>
      <c r="B170">
        <v>362935648</v>
      </c>
      <c r="C170" t="s">
        <v>332</v>
      </c>
      <c r="D170" t="s">
        <v>333</v>
      </c>
      <c r="E170">
        <v>63843426</v>
      </c>
      <c r="G170" s="1">
        <v>45502.40828703704</v>
      </c>
      <c r="I170" t="s">
        <v>56</v>
      </c>
      <c r="J170" t="s">
        <v>59</v>
      </c>
      <c r="K170" t="s">
        <v>20</v>
      </c>
      <c r="L170" t="s">
        <v>53</v>
      </c>
      <c r="M170">
        <v>27</v>
      </c>
      <c r="O170">
        <v>1</v>
      </c>
      <c r="P170" t="s">
        <v>61</v>
      </c>
      <c r="Q170">
        <v>160</v>
      </c>
      <c r="R170" t="s">
        <v>53</v>
      </c>
      <c r="S170">
        <f>IF(support_tickets[[#This Row],[status_cleaned]]="closed",1,0)</f>
        <v>0</v>
      </c>
      <c r="T170" t="str">
        <f>TEXT(support_tickets[[#This Row],[opened_at]],"mmm yyyy")</f>
        <v>Jul 2024</v>
      </c>
      <c r="U170">
        <f>YEAR(support_tickets[[#This Row],[opened_at]])*100+MONTH(support_tickets[[#This Row],[opened_at]])</f>
        <v>202407</v>
      </c>
      <c r="V170" s="29">
        <f>DATE(YEAR(support_tickets[[#This Row],[opened_at]]),MONTH(support_tickets[[#This Row],[opened_at]]),1)</f>
        <v>45474</v>
      </c>
    </row>
    <row r="171" spans="1:22">
      <c r="A171">
        <v>1946570644</v>
      </c>
      <c r="B171">
        <v>960170255</v>
      </c>
      <c r="C171" t="s">
        <v>382</v>
      </c>
      <c r="D171" t="s">
        <v>383</v>
      </c>
      <c r="E171">
        <v>91030736</v>
      </c>
      <c r="G171" s="1">
        <v>45612.256585648145</v>
      </c>
      <c r="I171" t="s">
        <v>52</v>
      </c>
      <c r="J171" t="s">
        <v>59</v>
      </c>
      <c r="K171" t="s">
        <v>20</v>
      </c>
      <c r="L171" t="s">
        <v>53</v>
      </c>
      <c r="M171">
        <v>31</v>
      </c>
      <c r="O171">
        <v>1</v>
      </c>
      <c r="P171" t="s">
        <v>61</v>
      </c>
      <c r="Q171">
        <v>191</v>
      </c>
      <c r="R171" t="s">
        <v>53</v>
      </c>
      <c r="S171">
        <f>IF(support_tickets[[#This Row],[status_cleaned]]="closed",1,0)</f>
        <v>0</v>
      </c>
      <c r="T171" t="str">
        <f>TEXT(support_tickets[[#This Row],[opened_at]],"mmm yyyy")</f>
        <v>Nov 2024</v>
      </c>
      <c r="U171">
        <f>YEAR(support_tickets[[#This Row],[opened_at]])*100+MONTH(support_tickets[[#This Row],[opened_at]])</f>
        <v>202411</v>
      </c>
      <c r="V171" s="29">
        <f>DATE(YEAR(support_tickets[[#This Row],[opened_at]]),MONTH(support_tickets[[#This Row],[opened_at]]),1)</f>
        <v>45597</v>
      </c>
    </row>
    <row r="172" spans="1:22">
      <c r="A172">
        <v>1983891158</v>
      </c>
      <c r="B172">
        <v>731130400</v>
      </c>
      <c r="C172" t="s">
        <v>390</v>
      </c>
      <c r="D172" t="s">
        <v>391</v>
      </c>
      <c r="E172">
        <v>55657579</v>
      </c>
      <c r="F172">
        <v>5767649713</v>
      </c>
      <c r="G172" s="1">
        <v>45672.707187499997</v>
      </c>
      <c r="I172" t="s">
        <v>52</v>
      </c>
      <c r="J172" t="s">
        <v>86</v>
      </c>
      <c r="K172" t="s">
        <v>20</v>
      </c>
      <c r="L172" t="s">
        <v>53</v>
      </c>
      <c r="M172">
        <v>82</v>
      </c>
      <c r="O172">
        <v>1</v>
      </c>
      <c r="P172" t="s">
        <v>87</v>
      </c>
      <c r="Q172">
        <v>196</v>
      </c>
      <c r="R172" t="s">
        <v>53</v>
      </c>
      <c r="S172">
        <f>IF(support_tickets[[#This Row],[status_cleaned]]="closed",1,0)</f>
        <v>0</v>
      </c>
      <c r="T172" t="str">
        <f>TEXT(support_tickets[[#This Row],[opened_at]],"mmm yyyy")</f>
        <v>Jan 2025</v>
      </c>
      <c r="U172">
        <f>YEAR(support_tickets[[#This Row],[opened_at]])*100+MONTH(support_tickets[[#This Row],[opened_at]])</f>
        <v>202501</v>
      </c>
      <c r="V172" s="29">
        <f>DATE(YEAR(support_tickets[[#This Row],[opened_at]]),MONTH(support_tickets[[#This Row],[opened_at]]),1)</f>
        <v>45658</v>
      </c>
    </row>
    <row r="173" spans="1:22">
      <c r="A173">
        <v>2607439886</v>
      </c>
      <c r="B173">
        <v>778556450</v>
      </c>
      <c r="C173" t="s">
        <v>124</v>
      </c>
      <c r="D173" t="s">
        <v>125</v>
      </c>
      <c r="E173">
        <v>98753260</v>
      </c>
      <c r="F173">
        <v>9615236685</v>
      </c>
      <c r="G173" s="1">
        <v>45960.131712962961</v>
      </c>
      <c r="I173" t="s">
        <v>43</v>
      </c>
      <c r="J173" t="s">
        <v>38</v>
      </c>
      <c r="K173" t="s">
        <v>20</v>
      </c>
      <c r="L173" t="s">
        <v>53</v>
      </c>
      <c r="M173">
        <v>53</v>
      </c>
      <c r="O173">
        <v>1</v>
      </c>
      <c r="P173" t="s">
        <v>40</v>
      </c>
      <c r="Q173">
        <v>288</v>
      </c>
      <c r="R173" t="s">
        <v>53</v>
      </c>
      <c r="S173">
        <f>IF(support_tickets[[#This Row],[status_cleaned]]="closed",1,0)</f>
        <v>0</v>
      </c>
      <c r="T173" t="str">
        <f>TEXT(support_tickets[[#This Row],[opened_at]],"mmm yyyy")</f>
        <v>Oct 2025</v>
      </c>
      <c r="U173">
        <f>YEAR(support_tickets[[#This Row],[opened_at]])*100+MONTH(support_tickets[[#This Row],[opened_at]])</f>
        <v>202510</v>
      </c>
      <c r="V173" s="29">
        <f>DATE(YEAR(support_tickets[[#This Row],[opened_at]]),MONTH(support_tickets[[#This Row],[opened_at]]),1)</f>
        <v>45931</v>
      </c>
    </row>
    <row r="174" spans="1:22">
      <c r="A174">
        <v>2619130590</v>
      </c>
      <c r="B174">
        <v>973498494</v>
      </c>
      <c r="C174" t="s">
        <v>478</v>
      </c>
      <c r="D174" t="s">
        <v>479</v>
      </c>
      <c r="E174">
        <v>95225343</v>
      </c>
      <c r="G174" s="1">
        <v>46085.745821759258</v>
      </c>
      <c r="I174" t="s">
        <v>37</v>
      </c>
      <c r="J174" t="s">
        <v>59</v>
      </c>
      <c r="K174" t="s">
        <v>20</v>
      </c>
      <c r="L174" t="s">
        <v>53</v>
      </c>
      <c r="M174">
        <v>62</v>
      </c>
      <c r="O174">
        <v>1</v>
      </c>
      <c r="P174" t="s">
        <v>61</v>
      </c>
      <c r="Q174">
        <v>290</v>
      </c>
      <c r="R174" t="s">
        <v>53</v>
      </c>
      <c r="S174">
        <f>IF(support_tickets[[#This Row],[status_cleaned]]="closed",1,0)</f>
        <v>0</v>
      </c>
      <c r="T174" t="str">
        <f>TEXT(support_tickets[[#This Row],[opened_at]],"mmm yyyy")</f>
        <v>Mar 2026</v>
      </c>
      <c r="U174">
        <f>YEAR(support_tickets[[#This Row],[opened_at]])*100+MONTH(support_tickets[[#This Row],[opened_at]])</f>
        <v>202603</v>
      </c>
      <c r="V174" s="29">
        <f>DATE(YEAR(support_tickets[[#This Row],[opened_at]]),MONTH(support_tickets[[#This Row],[opened_at]]),1)</f>
        <v>46082</v>
      </c>
    </row>
    <row r="175" spans="1:22">
      <c r="A175">
        <v>2895713954</v>
      </c>
      <c r="B175">
        <v>105563528</v>
      </c>
      <c r="C175" t="s">
        <v>598</v>
      </c>
      <c r="D175" t="s">
        <v>599</v>
      </c>
      <c r="E175">
        <v>70291817</v>
      </c>
      <c r="F175">
        <v>6943960966</v>
      </c>
      <c r="G175" s="1">
        <v>45568.348217592589</v>
      </c>
      <c r="I175" t="s">
        <v>37</v>
      </c>
      <c r="J175" t="s">
        <v>19</v>
      </c>
      <c r="K175" t="s">
        <v>20</v>
      </c>
      <c r="L175" t="s">
        <v>53</v>
      </c>
      <c r="M175">
        <v>65</v>
      </c>
      <c r="O175">
        <v>1</v>
      </c>
      <c r="P175" t="s">
        <v>22</v>
      </c>
      <c r="Q175">
        <v>339</v>
      </c>
      <c r="R175" t="s">
        <v>53</v>
      </c>
      <c r="S175">
        <f>IF(support_tickets[[#This Row],[status_cleaned]]="closed",1,0)</f>
        <v>0</v>
      </c>
      <c r="T175" t="str">
        <f>TEXT(support_tickets[[#This Row],[opened_at]],"mmm yyyy")</f>
        <v>Oct 2024</v>
      </c>
      <c r="U175">
        <f>YEAR(support_tickets[[#This Row],[opened_at]])*100+MONTH(support_tickets[[#This Row],[opened_at]])</f>
        <v>202410</v>
      </c>
      <c r="V175" s="29">
        <f>DATE(YEAR(support_tickets[[#This Row],[opened_at]]),MONTH(support_tickets[[#This Row],[opened_at]]),1)</f>
        <v>45566</v>
      </c>
    </row>
    <row r="176" spans="1:22">
      <c r="A176">
        <v>2920804426</v>
      </c>
      <c r="B176">
        <v>572022811</v>
      </c>
      <c r="C176" t="s">
        <v>604</v>
      </c>
      <c r="D176" t="s">
        <v>605</v>
      </c>
      <c r="E176">
        <v>47308985</v>
      </c>
      <c r="G176" s="1">
        <v>45819.187962962962</v>
      </c>
      <c r="I176" t="s">
        <v>3</v>
      </c>
      <c r="J176" t="s">
        <v>38</v>
      </c>
      <c r="K176" t="s">
        <v>20</v>
      </c>
      <c r="L176" t="s">
        <v>53</v>
      </c>
      <c r="M176">
        <v>32</v>
      </c>
      <c r="O176">
        <v>1</v>
      </c>
      <c r="P176" t="s">
        <v>40</v>
      </c>
      <c r="Q176">
        <v>343</v>
      </c>
      <c r="R176" t="s">
        <v>53</v>
      </c>
      <c r="S176">
        <f>IF(support_tickets[[#This Row],[status_cleaned]]="closed",1,0)</f>
        <v>0</v>
      </c>
      <c r="T176" t="str">
        <f>TEXT(support_tickets[[#This Row],[opened_at]],"mmm yyyy")</f>
        <v>Jun 2025</v>
      </c>
      <c r="U176">
        <f>YEAR(support_tickets[[#This Row],[opened_at]])*100+MONTH(support_tickets[[#This Row],[opened_at]])</f>
        <v>202506</v>
      </c>
      <c r="V176" s="29">
        <f>DATE(YEAR(support_tickets[[#This Row],[opened_at]]),MONTH(support_tickets[[#This Row],[opened_at]]),1)</f>
        <v>45809</v>
      </c>
    </row>
    <row r="177" spans="1:22">
      <c r="A177">
        <v>2962524048</v>
      </c>
      <c r="B177">
        <v>154508960</v>
      </c>
      <c r="C177" t="s">
        <v>616</v>
      </c>
      <c r="D177" t="s">
        <v>617</v>
      </c>
      <c r="E177">
        <v>71586053</v>
      </c>
      <c r="G177" s="1">
        <v>45643.303599537037</v>
      </c>
      <c r="I177" t="s">
        <v>43</v>
      </c>
      <c r="J177" t="s">
        <v>86</v>
      </c>
      <c r="K177" t="s">
        <v>20</v>
      </c>
      <c r="L177" t="s">
        <v>53</v>
      </c>
      <c r="M177">
        <v>43</v>
      </c>
      <c r="O177">
        <v>1</v>
      </c>
      <c r="P177" t="s">
        <v>87</v>
      </c>
      <c r="Q177">
        <v>350</v>
      </c>
      <c r="R177" t="s">
        <v>53</v>
      </c>
      <c r="S177">
        <f>IF(support_tickets[[#This Row],[status_cleaned]]="closed",1,0)</f>
        <v>0</v>
      </c>
      <c r="T177" t="str">
        <f>TEXT(support_tickets[[#This Row],[opened_at]],"mmm yyyy")</f>
        <v>Dec 2024</v>
      </c>
      <c r="U177">
        <f>YEAR(support_tickets[[#This Row],[opened_at]])*100+MONTH(support_tickets[[#This Row],[opened_at]])</f>
        <v>202412</v>
      </c>
      <c r="V177" s="29">
        <f>DATE(YEAR(support_tickets[[#This Row],[opened_at]]),MONTH(support_tickets[[#This Row],[opened_at]]),1)</f>
        <v>45627</v>
      </c>
    </row>
    <row r="178" spans="1:22">
      <c r="A178">
        <v>3149636709</v>
      </c>
      <c r="B178">
        <v>768737754</v>
      </c>
      <c r="C178" t="s">
        <v>622</v>
      </c>
      <c r="D178" t="s">
        <v>623</v>
      </c>
      <c r="E178">
        <v>61220073</v>
      </c>
      <c r="G178" s="1">
        <v>45487.798946759256</v>
      </c>
      <c r="I178" t="s">
        <v>43</v>
      </c>
      <c r="J178" t="s">
        <v>38</v>
      </c>
      <c r="K178" t="s">
        <v>20</v>
      </c>
      <c r="L178" t="s">
        <v>53</v>
      </c>
      <c r="M178">
        <v>44</v>
      </c>
      <c r="O178">
        <v>1</v>
      </c>
      <c r="P178" t="s">
        <v>40</v>
      </c>
      <c r="Q178">
        <v>391</v>
      </c>
      <c r="R178" t="s">
        <v>53</v>
      </c>
      <c r="S178">
        <f>IF(support_tickets[[#This Row],[status_cleaned]]="closed",1,0)</f>
        <v>0</v>
      </c>
      <c r="T178" t="str">
        <f>TEXT(support_tickets[[#This Row],[opened_at]],"mmm yyyy")</f>
        <v>Jul 2024</v>
      </c>
      <c r="U178">
        <f>YEAR(support_tickets[[#This Row],[opened_at]])*100+MONTH(support_tickets[[#This Row],[opened_at]])</f>
        <v>202407</v>
      </c>
      <c r="V178" s="29">
        <f>DATE(YEAR(support_tickets[[#This Row],[opened_at]]),MONTH(support_tickets[[#This Row],[opened_at]]),1)</f>
        <v>45474</v>
      </c>
    </row>
    <row r="179" spans="1:22">
      <c r="A179">
        <v>3432485696</v>
      </c>
      <c r="B179">
        <v>832215964</v>
      </c>
      <c r="C179" t="s">
        <v>740</v>
      </c>
      <c r="D179" t="s">
        <v>741</v>
      </c>
      <c r="E179">
        <v>85329037</v>
      </c>
      <c r="G179" s="1">
        <v>45395.07540509259</v>
      </c>
      <c r="I179" t="s">
        <v>43</v>
      </c>
      <c r="J179" t="s">
        <v>30</v>
      </c>
      <c r="K179" t="s">
        <v>20</v>
      </c>
      <c r="L179" t="s">
        <v>53</v>
      </c>
      <c r="M179">
        <v>23</v>
      </c>
      <c r="O179">
        <v>1</v>
      </c>
      <c r="P179" t="s">
        <v>31</v>
      </c>
      <c r="Q179">
        <v>439</v>
      </c>
      <c r="R179" t="s">
        <v>53</v>
      </c>
      <c r="S179">
        <f>IF(support_tickets[[#This Row],[status_cleaned]]="closed",1,0)</f>
        <v>0</v>
      </c>
      <c r="T179" t="str">
        <f>TEXT(support_tickets[[#This Row],[opened_at]],"mmm yyyy")</f>
        <v>Apr 2024</v>
      </c>
      <c r="U179">
        <f>YEAR(support_tickets[[#This Row],[opened_at]])*100+MONTH(support_tickets[[#This Row],[opened_at]])</f>
        <v>202404</v>
      </c>
      <c r="V179" s="29">
        <f>DATE(YEAR(support_tickets[[#This Row],[opened_at]]),MONTH(support_tickets[[#This Row],[opened_at]]),1)</f>
        <v>45383</v>
      </c>
    </row>
    <row r="180" spans="1:22">
      <c r="A180">
        <v>3496897808</v>
      </c>
      <c r="B180">
        <v>702247585</v>
      </c>
      <c r="C180" t="s">
        <v>734</v>
      </c>
      <c r="D180" t="s">
        <v>735</v>
      </c>
      <c r="E180">
        <v>78387461</v>
      </c>
      <c r="F180">
        <v>7467381113</v>
      </c>
      <c r="G180" s="1">
        <v>45651.395578703705</v>
      </c>
      <c r="I180" t="s">
        <v>43</v>
      </c>
      <c r="J180" t="s">
        <v>30</v>
      </c>
      <c r="K180" t="s">
        <v>20</v>
      </c>
      <c r="L180" t="s">
        <v>53</v>
      </c>
      <c r="M180">
        <v>38</v>
      </c>
      <c r="O180">
        <v>1</v>
      </c>
      <c r="P180" t="s">
        <v>31</v>
      </c>
      <c r="Q180">
        <v>450</v>
      </c>
      <c r="R180" t="s">
        <v>53</v>
      </c>
      <c r="S180">
        <f>IF(support_tickets[[#This Row],[status_cleaned]]="closed",1,0)</f>
        <v>0</v>
      </c>
      <c r="T180" t="str">
        <f>TEXT(support_tickets[[#This Row],[opened_at]],"mmm yyyy")</f>
        <v>Dec 2024</v>
      </c>
      <c r="U180">
        <f>YEAR(support_tickets[[#This Row],[opened_at]])*100+MONTH(support_tickets[[#This Row],[opened_at]])</f>
        <v>202412</v>
      </c>
      <c r="V180" s="29">
        <f>DATE(YEAR(support_tickets[[#This Row],[opened_at]]),MONTH(support_tickets[[#This Row],[opened_at]]),1)</f>
        <v>45627</v>
      </c>
    </row>
    <row r="181" spans="1:22">
      <c r="A181">
        <v>3597215154</v>
      </c>
      <c r="B181">
        <v>786111573</v>
      </c>
      <c r="C181" t="s">
        <v>666</v>
      </c>
      <c r="D181" t="s">
        <v>667</v>
      </c>
      <c r="E181">
        <v>96028436</v>
      </c>
      <c r="F181">
        <v>4307630024</v>
      </c>
      <c r="G181" s="1">
        <v>46099.066203703704</v>
      </c>
      <c r="I181" t="s">
        <v>56</v>
      </c>
      <c r="J181" t="s">
        <v>86</v>
      </c>
      <c r="K181" t="s">
        <v>20</v>
      </c>
      <c r="L181" t="s">
        <v>53</v>
      </c>
      <c r="M181">
        <v>23</v>
      </c>
      <c r="O181">
        <v>1</v>
      </c>
      <c r="P181" t="s">
        <v>87</v>
      </c>
      <c r="Q181">
        <v>463</v>
      </c>
      <c r="R181" t="s">
        <v>53</v>
      </c>
      <c r="S181">
        <f>IF(support_tickets[[#This Row],[status_cleaned]]="closed",1,0)</f>
        <v>0</v>
      </c>
      <c r="T181" t="str">
        <f>TEXT(support_tickets[[#This Row],[opened_at]],"mmm yyyy")</f>
        <v>Mar 2026</v>
      </c>
      <c r="U181">
        <f>YEAR(support_tickets[[#This Row],[opened_at]])*100+MONTH(support_tickets[[#This Row],[opened_at]])</f>
        <v>202603</v>
      </c>
      <c r="V181" s="29">
        <f>DATE(YEAR(support_tickets[[#This Row],[opened_at]]),MONTH(support_tickets[[#This Row],[opened_at]]),1)</f>
        <v>46082</v>
      </c>
    </row>
    <row r="182" spans="1:22">
      <c r="A182">
        <v>4559822204</v>
      </c>
      <c r="B182">
        <v>262598077</v>
      </c>
      <c r="C182" t="s">
        <v>818</v>
      </c>
      <c r="D182" t="s">
        <v>819</v>
      </c>
      <c r="E182">
        <v>97971488</v>
      </c>
      <c r="G182" s="1">
        <v>45408.294618055559</v>
      </c>
      <c r="I182" t="s">
        <v>56</v>
      </c>
      <c r="J182" t="s">
        <v>25</v>
      </c>
      <c r="K182" t="s">
        <v>20</v>
      </c>
      <c r="L182" t="s">
        <v>53</v>
      </c>
      <c r="M182">
        <v>73</v>
      </c>
      <c r="O182">
        <v>1</v>
      </c>
      <c r="P182" t="s">
        <v>27</v>
      </c>
      <c r="Q182">
        <v>623</v>
      </c>
      <c r="R182" t="s">
        <v>53</v>
      </c>
      <c r="S182">
        <f>IF(support_tickets[[#This Row],[status_cleaned]]="closed",1,0)</f>
        <v>0</v>
      </c>
      <c r="T182" t="str">
        <f>TEXT(support_tickets[[#This Row],[opened_at]],"mmm yyyy")</f>
        <v>Apr 2024</v>
      </c>
      <c r="U182">
        <f>YEAR(support_tickets[[#This Row],[opened_at]])*100+MONTH(support_tickets[[#This Row],[opened_at]])</f>
        <v>202404</v>
      </c>
      <c r="V182" s="29">
        <f>DATE(YEAR(support_tickets[[#This Row],[opened_at]]),MONTH(support_tickets[[#This Row],[opened_at]]),1)</f>
        <v>45383</v>
      </c>
    </row>
    <row r="183" spans="1:22">
      <c r="A183">
        <v>4652417558</v>
      </c>
      <c r="B183">
        <v>913126162</v>
      </c>
      <c r="C183" t="s">
        <v>978</v>
      </c>
      <c r="D183" t="s">
        <v>979</v>
      </c>
      <c r="E183">
        <v>56164955</v>
      </c>
      <c r="F183">
        <v>6042580412</v>
      </c>
      <c r="G183" s="1">
        <v>46041.266643518517</v>
      </c>
      <c r="I183" t="s">
        <v>18</v>
      </c>
      <c r="J183" t="s">
        <v>59</v>
      </c>
      <c r="K183" t="s">
        <v>20</v>
      </c>
      <c r="L183" t="s">
        <v>53</v>
      </c>
      <c r="M183">
        <v>55</v>
      </c>
      <c r="O183">
        <v>1</v>
      </c>
      <c r="P183" t="s">
        <v>61</v>
      </c>
      <c r="Q183">
        <v>638</v>
      </c>
      <c r="R183" t="s">
        <v>53</v>
      </c>
      <c r="S183">
        <f>IF(support_tickets[[#This Row],[status_cleaned]]="closed",1,0)</f>
        <v>0</v>
      </c>
      <c r="T183" t="str">
        <f>TEXT(support_tickets[[#This Row],[opened_at]],"mmm yyyy")</f>
        <v>Jan 2026</v>
      </c>
      <c r="U183">
        <f>YEAR(support_tickets[[#This Row],[opened_at]])*100+MONTH(support_tickets[[#This Row],[opened_at]])</f>
        <v>202601</v>
      </c>
      <c r="V183" s="29">
        <f>DATE(YEAR(support_tickets[[#This Row],[opened_at]]),MONTH(support_tickets[[#This Row],[opened_at]]),1)</f>
        <v>46023</v>
      </c>
    </row>
    <row r="184" spans="1:22">
      <c r="A184">
        <v>5082013237</v>
      </c>
      <c r="B184">
        <v>608678910</v>
      </c>
      <c r="C184" t="s">
        <v>972</v>
      </c>
      <c r="D184" t="s">
        <v>973</v>
      </c>
      <c r="E184">
        <v>78137358</v>
      </c>
      <c r="G184" s="1">
        <v>46109.864201388889</v>
      </c>
      <c r="I184" t="s">
        <v>52</v>
      </c>
      <c r="J184" t="s">
        <v>86</v>
      </c>
      <c r="K184" t="s">
        <v>20</v>
      </c>
      <c r="L184" t="s">
        <v>53</v>
      </c>
      <c r="M184">
        <v>23</v>
      </c>
      <c r="O184">
        <v>1</v>
      </c>
      <c r="P184" t="s">
        <v>87</v>
      </c>
      <c r="Q184">
        <v>709</v>
      </c>
      <c r="R184" t="s">
        <v>53</v>
      </c>
      <c r="S184">
        <f>IF(support_tickets[[#This Row],[status_cleaned]]="closed",1,0)</f>
        <v>0</v>
      </c>
      <c r="T184" t="str">
        <f>TEXT(support_tickets[[#This Row],[opened_at]],"mmm yyyy")</f>
        <v>Mar 2026</v>
      </c>
      <c r="U184">
        <f>YEAR(support_tickets[[#This Row],[opened_at]])*100+MONTH(support_tickets[[#This Row],[opened_at]])</f>
        <v>202603</v>
      </c>
      <c r="V184" s="29">
        <f>DATE(YEAR(support_tickets[[#This Row],[opened_at]]),MONTH(support_tickets[[#This Row],[opened_at]]),1)</f>
        <v>46082</v>
      </c>
    </row>
    <row r="185" spans="1:22">
      <c r="A185">
        <v>5142122483</v>
      </c>
      <c r="B185">
        <v>319068042</v>
      </c>
      <c r="C185" t="s">
        <v>1060</v>
      </c>
      <c r="D185" t="s">
        <v>1061</v>
      </c>
      <c r="E185">
        <v>96282117</v>
      </c>
      <c r="G185" s="1">
        <v>45915.475740740738</v>
      </c>
      <c r="I185" t="s">
        <v>37</v>
      </c>
      <c r="J185" t="s">
        <v>59</v>
      </c>
      <c r="K185" t="s">
        <v>20</v>
      </c>
      <c r="L185" t="s">
        <v>53</v>
      </c>
      <c r="M185">
        <v>21</v>
      </c>
      <c r="O185">
        <v>1</v>
      </c>
      <c r="P185" t="s">
        <v>61</v>
      </c>
      <c r="Q185">
        <v>718</v>
      </c>
      <c r="R185" t="s">
        <v>53</v>
      </c>
      <c r="S185">
        <f>IF(support_tickets[[#This Row],[status_cleaned]]="closed",1,0)</f>
        <v>0</v>
      </c>
      <c r="T185" t="str">
        <f>TEXT(support_tickets[[#This Row],[opened_at]],"mmm yyyy")</f>
        <v>Sep 2025</v>
      </c>
      <c r="U185">
        <f>YEAR(support_tickets[[#This Row],[opened_at]])*100+MONTH(support_tickets[[#This Row],[opened_at]])</f>
        <v>202509</v>
      </c>
      <c r="V185" s="29">
        <f>DATE(YEAR(support_tickets[[#This Row],[opened_at]]),MONTH(support_tickets[[#This Row],[opened_at]]),1)</f>
        <v>45901</v>
      </c>
    </row>
    <row r="186" spans="1:22">
      <c r="A186">
        <v>5371842591</v>
      </c>
      <c r="B186">
        <v>301126777</v>
      </c>
      <c r="C186" t="s">
        <v>182</v>
      </c>
      <c r="D186" t="s">
        <v>183</v>
      </c>
      <c r="E186">
        <v>38427073</v>
      </c>
      <c r="G186" s="1">
        <v>45678.073472222219</v>
      </c>
      <c r="I186" t="s">
        <v>46</v>
      </c>
      <c r="J186" t="s">
        <v>30</v>
      </c>
      <c r="K186" t="s">
        <v>20</v>
      </c>
      <c r="L186" t="s">
        <v>53</v>
      </c>
      <c r="M186">
        <v>47</v>
      </c>
      <c r="O186">
        <v>1</v>
      </c>
      <c r="P186" t="s">
        <v>31</v>
      </c>
      <c r="Q186">
        <v>772</v>
      </c>
      <c r="R186" t="s">
        <v>53</v>
      </c>
      <c r="S186">
        <f>IF(support_tickets[[#This Row],[status_cleaned]]="closed",1,0)</f>
        <v>0</v>
      </c>
      <c r="T186" t="str">
        <f>TEXT(support_tickets[[#This Row],[opened_at]],"mmm yyyy")</f>
        <v>Jan 2025</v>
      </c>
      <c r="U186">
        <f>YEAR(support_tickets[[#This Row],[opened_at]])*100+MONTH(support_tickets[[#This Row],[opened_at]])</f>
        <v>202501</v>
      </c>
      <c r="V186" s="29">
        <f>DATE(YEAR(support_tickets[[#This Row],[opened_at]]),MONTH(support_tickets[[#This Row],[opened_at]]),1)</f>
        <v>45658</v>
      </c>
    </row>
    <row r="187" spans="1:22">
      <c r="A187">
        <v>5576674146</v>
      </c>
      <c r="B187">
        <v>968253265</v>
      </c>
      <c r="C187" t="s">
        <v>760</v>
      </c>
      <c r="D187" t="s">
        <v>761</v>
      </c>
      <c r="E187">
        <v>30868105</v>
      </c>
      <c r="G187" s="1">
        <v>45723.847326388888</v>
      </c>
      <c r="I187" t="s">
        <v>3</v>
      </c>
      <c r="J187" t="s">
        <v>59</v>
      </c>
      <c r="K187" t="s">
        <v>20</v>
      </c>
      <c r="L187" t="s">
        <v>53</v>
      </c>
      <c r="M187">
        <v>17</v>
      </c>
      <c r="O187">
        <v>1</v>
      </c>
      <c r="P187" t="s">
        <v>61</v>
      </c>
      <c r="Q187">
        <v>816</v>
      </c>
      <c r="R187" t="s">
        <v>53</v>
      </c>
      <c r="S187">
        <f>IF(support_tickets[[#This Row],[status_cleaned]]="closed",1,0)</f>
        <v>0</v>
      </c>
      <c r="T187" t="str">
        <f>TEXT(support_tickets[[#This Row],[opened_at]],"mmm yyyy")</f>
        <v>Mar 2025</v>
      </c>
      <c r="U187">
        <f>YEAR(support_tickets[[#This Row],[opened_at]])*100+MONTH(support_tickets[[#This Row],[opened_at]])</f>
        <v>202503</v>
      </c>
      <c r="V187" s="29">
        <f>DATE(YEAR(support_tickets[[#This Row],[opened_at]]),MONTH(support_tickets[[#This Row],[opened_at]]),1)</f>
        <v>45717</v>
      </c>
    </row>
    <row r="188" spans="1:22">
      <c r="A188">
        <v>5601352537</v>
      </c>
      <c r="B188">
        <v>402550088</v>
      </c>
      <c r="C188" t="s">
        <v>556</v>
      </c>
      <c r="D188" t="s">
        <v>557</v>
      </c>
      <c r="E188">
        <v>28566572</v>
      </c>
      <c r="G188" s="1">
        <v>46007.179745370369</v>
      </c>
      <c r="I188" t="s">
        <v>3</v>
      </c>
      <c r="J188" t="s">
        <v>38</v>
      </c>
      <c r="K188" t="s">
        <v>20</v>
      </c>
      <c r="L188" t="s">
        <v>53</v>
      </c>
      <c r="M188">
        <v>11</v>
      </c>
      <c r="O188">
        <v>1</v>
      </c>
      <c r="P188" t="s">
        <v>40</v>
      </c>
      <c r="Q188">
        <v>824</v>
      </c>
      <c r="R188" t="s">
        <v>53</v>
      </c>
      <c r="S188">
        <f>IF(support_tickets[[#This Row],[status_cleaned]]="closed",1,0)</f>
        <v>0</v>
      </c>
      <c r="T188" t="str">
        <f>TEXT(support_tickets[[#This Row],[opened_at]],"mmm yyyy")</f>
        <v>Dec 2025</v>
      </c>
      <c r="U188">
        <f>YEAR(support_tickets[[#This Row],[opened_at]])*100+MONTH(support_tickets[[#This Row],[opened_at]])</f>
        <v>202512</v>
      </c>
      <c r="V188" s="29">
        <f>DATE(YEAR(support_tickets[[#This Row],[opened_at]]),MONTH(support_tickets[[#This Row],[opened_at]]),1)</f>
        <v>45992</v>
      </c>
    </row>
    <row r="189" spans="1:22">
      <c r="A189">
        <v>6850950579</v>
      </c>
      <c r="B189">
        <v>194264587</v>
      </c>
      <c r="C189" t="s">
        <v>1314</v>
      </c>
      <c r="D189" t="s">
        <v>1315</v>
      </c>
      <c r="E189">
        <v>20709497</v>
      </c>
      <c r="F189">
        <v>7591749938</v>
      </c>
      <c r="G189" s="1">
        <v>45932.140625</v>
      </c>
      <c r="I189" t="s">
        <v>46</v>
      </c>
      <c r="J189" t="s">
        <v>19</v>
      </c>
      <c r="K189" t="s">
        <v>20</v>
      </c>
      <c r="L189" t="s">
        <v>53</v>
      </c>
      <c r="M189">
        <v>38</v>
      </c>
      <c r="O189">
        <v>1</v>
      </c>
      <c r="P189" t="s">
        <v>22</v>
      </c>
      <c r="Q189">
        <v>1016</v>
      </c>
      <c r="R189" t="s">
        <v>53</v>
      </c>
      <c r="S189">
        <f>IF(support_tickets[[#This Row],[status_cleaned]]="closed",1,0)</f>
        <v>0</v>
      </c>
      <c r="T189" t="str">
        <f>TEXT(support_tickets[[#This Row],[opened_at]],"mmm yyyy")</f>
        <v>Oct 2025</v>
      </c>
      <c r="U189">
        <f>YEAR(support_tickets[[#This Row],[opened_at]])*100+MONTH(support_tickets[[#This Row],[opened_at]])</f>
        <v>202510</v>
      </c>
      <c r="V189" s="29">
        <f>DATE(YEAR(support_tickets[[#This Row],[opened_at]]),MONTH(support_tickets[[#This Row],[opened_at]]),1)</f>
        <v>45931</v>
      </c>
    </row>
    <row r="190" spans="1:22">
      <c r="A190">
        <v>7150145929</v>
      </c>
      <c r="B190">
        <v>975903641</v>
      </c>
      <c r="C190" t="s">
        <v>1026</v>
      </c>
      <c r="D190" t="s">
        <v>1027</v>
      </c>
      <c r="E190">
        <v>99949389</v>
      </c>
      <c r="F190">
        <v>1477886699</v>
      </c>
      <c r="G190" s="1">
        <v>46000.696747685186</v>
      </c>
      <c r="I190" t="s">
        <v>37</v>
      </c>
      <c r="J190" t="s">
        <v>59</v>
      </c>
      <c r="K190" t="s">
        <v>20</v>
      </c>
      <c r="L190" t="s">
        <v>53</v>
      </c>
      <c r="M190">
        <v>48</v>
      </c>
      <c r="O190">
        <v>1</v>
      </c>
      <c r="P190" t="s">
        <v>61</v>
      </c>
      <c r="Q190">
        <v>1055</v>
      </c>
      <c r="R190" t="s">
        <v>53</v>
      </c>
      <c r="S190">
        <f>IF(support_tickets[[#This Row],[status_cleaned]]="closed",1,0)</f>
        <v>0</v>
      </c>
      <c r="T190" t="str">
        <f>TEXT(support_tickets[[#This Row],[opened_at]],"mmm yyyy")</f>
        <v>Dec 2025</v>
      </c>
      <c r="U190">
        <f>YEAR(support_tickets[[#This Row],[opened_at]])*100+MONTH(support_tickets[[#This Row],[opened_at]])</f>
        <v>202512</v>
      </c>
      <c r="V190" s="29">
        <f>DATE(YEAR(support_tickets[[#This Row],[opened_at]]),MONTH(support_tickets[[#This Row],[opened_at]]),1)</f>
        <v>45992</v>
      </c>
    </row>
    <row r="191" spans="1:22">
      <c r="A191">
        <v>7239777742</v>
      </c>
      <c r="B191">
        <v>634211672</v>
      </c>
      <c r="C191" t="s">
        <v>69</v>
      </c>
      <c r="D191" t="s">
        <v>70</v>
      </c>
      <c r="E191">
        <v>97226012</v>
      </c>
      <c r="G191" s="1">
        <v>45917.967719907407</v>
      </c>
      <c r="I191" t="s">
        <v>56</v>
      </c>
      <c r="J191" t="s">
        <v>30</v>
      </c>
      <c r="K191" t="s">
        <v>20</v>
      </c>
      <c r="L191" t="s">
        <v>53</v>
      </c>
      <c r="M191">
        <v>49</v>
      </c>
      <c r="O191">
        <v>1</v>
      </c>
      <c r="P191" t="s">
        <v>31</v>
      </c>
      <c r="Q191">
        <v>1068</v>
      </c>
      <c r="R191" t="s">
        <v>53</v>
      </c>
      <c r="S191">
        <f>IF(support_tickets[[#This Row],[status_cleaned]]="closed",1,0)</f>
        <v>0</v>
      </c>
      <c r="T191" t="str">
        <f>TEXT(support_tickets[[#This Row],[opened_at]],"mmm yyyy")</f>
        <v>Sep 2025</v>
      </c>
      <c r="U191">
        <f>YEAR(support_tickets[[#This Row],[opened_at]])*100+MONTH(support_tickets[[#This Row],[opened_at]])</f>
        <v>202509</v>
      </c>
      <c r="V191" s="29">
        <f>DATE(YEAR(support_tickets[[#This Row],[opened_at]]),MONTH(support_tickets[[#This Row],[opened_at]]),1)</f>
        <v>45901</v>
      </c>
    </row>
    <row r="192" spans="1:22">
      <c r="A192">
        <v>7767115101</v>
      </c>
      <c r="B192">
        <v>244796859</v>
      </c>
      <c r="C192" t="s">
        <v>324</v>
      </c>
      <c r="D192" t="s">
        <v>325</v>
      </c>
      <c r="E192">
        <v>52339391</v>
      </c>
      <c r="G192" s="1">
        <v>45495.72934027778</v>
      </c>
      <c r="I192" t="s">
        <v>3</v>
      </c>
      <c r="J192" t="s">
        <v>86</v>
      </c>
      <c r="K192" t="s">
        <v>20</v>
      </c>
      <c r="L192" t="s">
        <v>53</v>
      </c>
      <c r="M192">
        <v>39</v>
      </c>
      <c r="O192">
        <v>1</v>
      </c>
      <c r="P192" t="s">
        <v>87</v>
      </c>
      <c r="Q192">
        <v>1154</v>
      </c>
      <c r="R192" t="s">
        <v>53</v>
      </c>
      <c r="S192">
        <f>IF(support_tickets[[#This Row],[status_cleaned]]="closed",1,0)</f>
        <v>0</v>
      </c>
      <c r="T192" t="str">
        <f>TEXT(support_tickets[[#This Row],[opened_at]],"mmm yyyy")</f>
        <v>Jul 2024</v>
      </c>
      <c r="U192">
        <f>YEAR(support_tickets[[#This Row],[opened_at]])*100+MONTH(support_tickets[[#This Row],[opened_at]])</f>
        <v>202407</v>
      </c>
      <c r="V192" s="29">
        <f>DATE(YEAR(support_tickets[[#This Row],[opened_at]]),MONTH(support_tickets[[#This Row],[opened_at]]),1)</f>
        <v>45474</v>
      </c>
    </row>
    <row r="193" spans="1:22">
      <c r="A193">
        <v>7798241428</v>
      </c>
      <c r="B193">
        <v>715122372</v>
      </c>
      <c r="C193" t="s">
        <v>1102</v>
      </c>
      <c r="D193" t="s">
        <v>1103</v>
      </c>
      <c r="E193">
        <v>63551839</v>
      </c>
      <c r="G193" s="1">
        <v>45550.008472222224</v>
      </c>
      <c r="I193" t="s">
        <v>18</v>
      </c>
      <c r="J193" t="s">
        <v>38</v>
      </c>
      <c r="K193" t="s">
        <v>20</v>
      </c>
      <c r="L193" t="s">
        <v>53</v>
      </c>
      <c r="M193">
        <v>25</v>
      </c>
      <c r="O193">
        <v>1</v>
      </c>
      <c r="P193" t="s">
        <v>40</v>
      </c>
      <c r="Q193">
        <v>1156</v>
      </c>
      <c r="R193" t="s">
        <v>53</v>
      </c>
      <c r="S193">
        <f>IF(support_tickets[[#This Row],[status_cleaned]]="closed",1,0)</f>
        <v>0</v>
      </c>
      <c r="T193" t="str">
        <f>TEXT(support_tickets[[#This Row],[opened_at]],"mmm yyyy")</f>
        <v>Sep 2024</v>
      </c>
      <c r="U193">
        <f>YEAR(support_tickets[[#This Row],[opened_at]])*100+MONTH(support_tickets[[#This Row],[opened_at]])</f>
        <v>202409</v>
      </c>
      <c r="V193" s="29">
        <f>DATE(YEAR(support_tickets[[#This Row],[opened_at]]),MONTH(support_tickets[[#This Row],[opened_at]]),1)</f>
        <v>45536</v>
      </c>
    </row>
    <row r="194" spans="1:22">
      <c r="A194">
        <v>8205401456</v>
      </c>
      <c r="B194">
        <v>399580835</v>
      </c>
      <c r="C194" t="s">
        <v>356</v>
      </c>
      <c r="D194" t="s">
        <v>357</v>
      </c>
      <c r="E194">
        <v>41244663</v>
      </c>
      <c r="G194" s="1">
        <v>45506.503645833334</v>
      </c>
      <c r="I194" t="s">
        <v>18</v>
      </c>
      <c r="J194" t="s">
        <v>59</v>
      </c>
      <c r="K194" t="s">
        <v>20</v>
      </c>
      <c r="L194" t="s">
        <v>53</v>
      </c>
      <c r="M194">
        <v>39</v>
      </c>
      <c r="O194">
        <v>1</v>
      </c>
      <c r="P194" t="s">
        <v>61</v>
      </c>
      <c r="Q194">
        <v>1212</v>
      </c>
      <c r="R194" t="s">
        <v>53</v>
      </c>
      <c r="S194">
        <f>IF(support_tickets[[#This Row],[status_cleaned]]="closed",1,0)</f>
        <v>0</v>
      </c>
      <c r="T194" t="str">
        <f>TEXT(support_tickets[[#This Row],[opened_at]],"mmm yyyy")</f>
        <v>Aug 2024</v>
      </c>
      <c r="U194">
        <f>YEAR(support_tickets[[#This Row],[opened_at]])*100+MONTH(support_tickets[[#This Row],[opened_at]])</f>
        <v>202408</v>
      </c>
      <c r="V194" s="29">
        <f>DATE(YEAR(support_tickets[[#This Row],[opened_at]]),MONTH(support_tickets[[#This Row],[opened_at]]),1)</f>
        <v>45505</v>
      </c>
    </row>
    <row r="195" spans="1:22">
      <c r="A195">
        <v>8250302474</v>
      </c>
      <c r="B195">
        <v>451581531</v>
      </c>
      <c r="C195" t="s">
        <v>1445</v>
      </c>
      <c r="D195" t="s">
        <v>1446</v>
      </c>
      <c r="E195">
        <v>93926371</v>
      </c>
      <c r="F195">
        <v>4881785530</v>
      </c>
      <c r="G195" s="1">
        <v>45603.070648148147</v>
      </c>
      <c r="I195" t="s">
        <v>46</v>
      </c>
      <c r="J195" t="s">
        <v>86</v>
      </c>
      <c r="K195" t="s">
        <v>20</v>
      </c>
      <c r="L195" t="s">
        <v>53</v>
      </c>
      <c r="M195">
        <v>6</v>
      </c>
      <c r="O195">
        <v>1</v>
      </c>
      <c r="P195" t="s">
        <v>87</v>
      </c>
      <c r="Q195">
        <v>1220</v>
      </c>
      <c r="R195" t="s">
        <v>53</v>
      </c>
      <c r="S195">
        <f>IF(support_tickets[[#This Row],[status_cleaned]]="closed",1,0)</f>
        <v>0</v>
      </c>
      <c r="T195" t="str">
        <f>TEXT(support_tickets[[#This Row],[opened_at]],"mmm yyyy")</f>
        <v>Nov 2024</v>
      </c>
      <c r="U195">
        <f>YEAR(support_tickets[[#This Row],[opened_at]])*100+MONTH(support_tickets[[#This Row],[opened_at]])</f>
        <v>202411</v>
      </c>
      <c r="V195" s="29">
        <f>DATE(YEAR(support_tickets[[#This Row],[opened_at]]),MONTH(support_tickets[[#This Row],[opened_at]]),1)</f>
        <v>45597</v>
      </c>
    </row>
    <row r="196" spans="1:22">
      <c r="A196">
        <v>8642627217</v>
      </c>
      <c r="B196">
        <v>630452018</v>
      </c>
      <c r="C196" t="s">
        <v>1098</v>
      </c>
      <c r="D196" t="s">
        <v>1099</v>
      </c>
      <c r="E196">
        <v>19583482</v>
      </c>
      <c r="F196">
        <v>3018176579</v>
      </c>
      <c r="G196" s="1">
        <v>45890.04791666667</v>
      </c>
      <c r="I196" t="s">
        <v>3</v>
      </c>
      <c r="J196" t="s">
        <v>30</v>
      </c>
      <c r="K196" t="s">
        <v>20</v>
      </c>
      <c r="L196" t="s">
        <v>53</v>
      </c>
      <c r="M196">
        <v>51</v>
      </c>
      <c r="O196">
        <v>1</v>
      </c>
      <c r="P196" t="s">
        <v>31</v>
      </c>
      <c r="Q196">
        <v>1287</v>
      </c>
      <c r="R196" t="s">
        <v>53</v>
      </c>
      <c r="S196">
        <f>IF(support_tickets[[#This Row],[status_cleaned]]="closed",1,0)</f>
        <v>0</v>
      </c>
      <c r="T196" t="str">
        <f>TEXT(support_tickets[[#This Row],[opened_at]],"mmm yyyy")</f>
        <v>Aug 2025</v>
      </c>
      <c r="U196">
        <f>YEAR(support_tickets[[#This Row],[opened_at]])*100+MONTH(support_tickets[[#This Row],[opened_at]])</f>
        <v>202508</v>
      </c>
      <c r="V196" s="29">
        <f>DATE(YEAR(support_tickets[[#This Row],[opened_at]]),MONTH(support_tickets[[#This Row],[opened_at]]),1)</f>
        <v>45870</v>
      </c>
    </row>
    <row r="197" spans="1:22">
      <c r="A197">
        <v>8707801854</v>
      </c>
      <c r="B197">
        <v>576676179</v>
      </c>
      <c r="C197" t="s">
        <v>1316</v>
      </c>
      <c r="D197" t="s">
        <v>1317</v>
      </c>
      <c r="E197">
        <v>88461803</v>
      </c>
      <c r="G197" s="1">
        <v>45688.688125000001</v>
      </c>
      <c r="I197" t="s">
        <v>46</v>
      </c>
      <c r="J197" t="s">
        <v>38</v>
      </c>
      <c r="K197" t="s">
        <v>20</v>
      </c>
      <c r="L197" t="s">
        <v>53</v>
      </c>
      <c r="M197">
        <v>32</v>
      </c>
      <c r="O197">
        <v>1</v>
      </c>
      <c r="P197" t="s">
        <v>40</v>
      </c>
      <c r="Q197">
        <v>1299</v>
      </c>
      <c r="R197" t="s">
        <v>53</v>
      </c>
      <c r="S197">
        <f>IF(support_tickets[[#This Row],[status_cleaned]]="closed",1,0)</f>
        <v>0</v>
      </c>
      <c r="T197" t="str">
        <f>TEXT(support_tickets[[#This Row],[opened_at]],"mmm yyyy")</f>
        <v>Jan 2025</v>
      </c>
      <c r="U197">
        <f>YEAR(support_tickets[[#This Row],[opened_at]])*100+MONTH(support_tickets[[#This Row],[opened_at]])</f>
        <v>202501</v>
      </c>
      <c r="V197" s="29">
        <f>DATE(YEAR(support_tickets[[#This Row],[opened_at]]),MONTH(support_tickets[[#This Row],[opened_at]]),1)</f>
        <v>45658</v>
      </c>
    </row>
    <row r="198" spans="1:22">
      <c r="A198">
        <v>9215167368</v>
      </c>
      <c r="B198">
        <v>522950895</v>
      </c>
      <c r="C198" t="s">
        <v>520</v>
      </c>
      <c r="D198" t="s">
        <v>521</v>
      </c>
      <c r="E198">
        <v>42329237</v>
      </c>
      <c r="F198">
        <v>9782669254</v>
      </c>
      <c r="G198" s="1">
        <v>45416.926458333335</v>
      </c>
      <c r="I198" t="s">
        <v>18</v>
      </c>
      <c r="J198" t="s">
        <v>59</v>
      </c>
      <c r="K198" t="s">
        <v>20</v>
      </c>
      <c r="L198" t="s">
        <v>53</v>
      </c>
      <c r="M198">
        <v>79</v>
      </c>
      <c r="O198">
        <v>1</v>
      </c>
      <c r="P198" t="s">
        <v>61</v>
      </c>
      <c r="Q198">
        <v>1386</v>
      </c>
      <c r="R198" t="s">
        <v>53</v>
      </c>
      <c r="S198">
        <f>IF(support_tickets[[#This Row],[status_cleaned]]="closed",1,0)</f>
        <v>0</v>
      </c>
      <c r="T198" t="str">
        <f>TEXT(support_tickets[[#This Row],[opened_at]],"mmm yyyy")</f>
        <v>May 2024</v>
      </c>
      <c r="U198">
        <f>YEAR(support_tickets[[#This Row],[opened_at]])*100+MONTH(support_tickets[[#This Row],[opened_at]])</f>
        <v>202405</v>
      </c>
      <c r="V198" s="29">
        <f>DATE(YEAR(support_tickets[[#This Row],[opened_at]]),MONTH(support_tickets[[#This Row],[opened_at]]),1)</f>
        <v>45413</v>
      </c>
    </row>
    <row r="199" spans="1:22">
      <c r="A199">
        <v>9584753191</v>
      </c>
      <c r="B199">
        <v>409346714</v>
      </c>
      <c r="C199" t="s">
        <v>644</v>
      </c>
      <c r="D199" t="s">
        <v>645</v>
      </c>
      <c r="E199">
        <v>77187530</v>
      </c>
      <c r="F199">
        <v>2944697243</v>
      </c>
      <c r="G199" s="1">
        <v>45372.935023148151</v>
      </c>
      <c r="I199" t="s">
        <v>52</v>
      </c>
      <c r="J199" t="s">
        <v>38</v>
      </c>
      <c r="K199" t="s">
        <v>20</v>
      </c>
      <c r="L199" t="s">
        <v>53</v>
      </c>
      <c r="M199">
        <v>54</v>
      </c>
      <c r="O199">
        <v>1</v>
      </c>
      <c r="P199" t="s">
        <v>40</v>
      </c>
      <c r="Q199">
        <v>1446</v>
      </c>
      <c r="R199" t="s">
        <v>53</v>
      </c>
      <c r="S199">
        <f>IF(support_tickets[[#This Row],[status_cleaned]]="closed",1,0)</f>
        <v>0</v>
      </c>
      <c r="T199" t="str">
        <f>TEXT(support_tickets[[#This Row],[opened_at]],"mmm yyyy")</f>
        <v>Mar 2024</v>
      </c>
      <c r="U199">
        <f>YEAR(support_tickets[[#This Row],[opened_at]])*100+MONTH(support_tickets[[#This Row],[opened_at]])</f>
        <v>202403</v>
      </c>
      <c r="V199" s="29">
        <f>DATE(YEAR(support_tickets[[#This Row],[opened_at]]),MONTH(support_tickets[[#This Row],[opened_at]]),1)</f>
        <v>45352</v>
      </c>
    </row>
    <row r="200" spans="1:22">
      <c r="A200">
        <v>9656747042</v>
      </c>
      <c r="B200">
        <v>471904990</v>
      </c>
      <c r="C200" t="s">
        <v>1485</v>
      </c>
      <c r="D200" t="s">
        <v>1486</v>
      </c>
      <c r="E200">
        <v>91734598</v>
      </c>
      <c r="F200">
        <v>1043162941</v>
      </c>
      <c r="G200" s="1">
        <v>46018.43445601852</v>
      </c>
      <c r="I200" t="s">
        <v>3</v>
      </c>
      <c r="J200" t="s">
        <v>38</v>
      </c>
      <c r="K200" t="s">
        <v>20</v>
      </c>
      <c r="L200" t="s">
        <v>53</v>
      </c>
      <c r="M200">
        <v>42</v>
      </c>
      <c r="O200">
        <v>1</v>
      </c>
      <c r="P200" t="s">
        <v>40</v>
      </c>
      <c r="Q200">
        <v>1458</v>
      </c>
      <c r="R200" t="s">
        <v>53</v>
      </c>
      <c r="S200">
        <f>IF(support_tickets[[#This Row],[status_cleaned]]="closed",1,0)</f>
        <v>0</v>
      </c>
      <c r="T200" t="str">
        <f>TEXT(support_tickets[[#This Row],[opened_at]],"mmm yyyy")</f>
        <v>Dec 2025</v>
      </c>
      <c r="U200">
        <f>YEAR(support_tickets[[#This Row],[opened_at]])*100+MONTH(support_tickets[[#This Row],[opened_at]])</f>
        <v>202512</v>
      </c>
      <c r="V200" s="29">
        <f>DATE(YEAR(support_tickets[[#This Row],[opened_at]]),MONTH(support_tickets[[#This Row],[opened_at]]),1)</f>
        <v>45992</v>
      </c>
    </row>
    <row r="201" spans="1:22">
      <c r="A201">
        <v>9738571759</v>
      </c>
      <c r="B201">
        <v>337135066</v>
      </c>
      <c r="C201" t="s">
        <v>1527</v>
      </c>
      <c r="D201" t="s">
        <v>1528</v>
      </c>
      <c r="E201">
        <v>15831819</v>
      </c>
      <c r="G201" s="1">
        <v>45945.089548611111</v>
      </c>
      <c r="I201" t="s">
        <v>52</v>
      </c>
      <c r="J201" t="s">
        <v>30</v>
      </c>
      <c r="K201" t="s">
        <v>20</v>
      </c>
      <c r="L201" t="s">
        <v>53</v>
      </c>
      <c r="M201">
        <v>57</v>
      </c>
      <c r="O201">
        <v>1</v>
      </c>
      <c r="P201" t="s">
        <v>31</v>
      </c>
      <c r="Q201">
        <v>1473</v>
      </c>
      <c r="R201" t="s">
        <v>53</v>
      </c>
      <c r="S201">
        <f>IF(support_tickets[[#This Row],[status_cleaned]]="closed",1,0)</f>
        <v>0</v>
      </c>
      <c r="T201" t="str">
        <f>TEXT(support_tickets[[#This Row],[opened_at]],"mmm yyyy")</f>
        <v>Oct 2025</v>
      </c>
      <c r="U201">
        <f>YEAR(support_tickets[[#This Row],[opened_at]])*100+MONTH(support_tickets[[#This Row],[opened_at]])</f>
        <v>202510</v>
      </c>
      <c r="V201" s="29">
        <f>DATE(YEAR(support_tickets[[#This Row],[opened_at]]),MONTH(support_tickets[[#This Row],[opened_at]]),1)</f>
        <v>45931</v>
      </c>
    </row>
    <row r="202" spans="1:22">
      <c r="A202">
        <v>9757750532</v>
      </c>
      <c r="B202">
        <v>861639583</v>
      </c>
      <c r="C202" t="s">
        <v>164</v>
      </c>
      <c r="D202" t="s">
        <v>165</v>
      </c>
      <c r="E202">
        <v>98753260</v>
      </c>
      <c r="G202" s="1">
        <v>45639.08388888889</v>
      </c>
      <c r="I202" t="s">
        <v>56</v>
      </c>
      <c r="J202" t="s">
        <v>19</v>
      </c>
      <c r="K202" t="s">
        <v>20</v>
      </c>
      <c r="L202" t="s">
        <v>53</v>
      </c>
      <c r="M202">
        <v>96</v>
      </c>
      <c r="O202">
        <v>1</v>
      </c>
      <c r="P202" t="s">
        <v>22</v>
      </c>
      <c r="Q202">
        <v>1475</v>
      </c>
      <c r="R202" t="s">
        <v>53</v>
      </c>
      <c r="S202">
        <f>IF(support_tickets[[#This Row],[status_cleaned]]="closed",1,0)</f>
        <v>0</v>
      </c>
      <c r="T202" t="str">
        <f>TEXT(support_tickets[[#This Row],[opened_at]],"mmm yyyy")</f>
        <v>Dec 2024</v>
      </c>
      <c r="U202">
        <f>YEAR(support_tickets[[#This Row],[opened_at]])*100+MONTH(support_tickets[[#This Row],[opened_at]])</f>
        <v>202412</v>
      </c>
      <c r="V202" s="29">
        <f>DATE(YEAR(support_tickets[[#This Row],[opened_at]]),MONTH(support_tickets[[#This Row],[opened_at]]),1)</f>
        <v>45627</v>
      </c>
    </row>
    <row r="203" spans="1:22">
      <c r="A203">
        <v>9920537307</v>
      </c>
      <c r="B203">
        <v>730104453</v>
      </c>
      <c r="C203" t="s">
        <v>218</v>
      </c>
      <c r="D203" t="s">
        <v>219</v>
      </c>
      <c r="E203">
        <v>87490893</v>
      </c>
      <c r="F203">
        <v>2462222211</v>
      </c>
      <c r="G203" s="1">
        <v>45382.867546296293</v>
      </c>
      <c r="I203" t="s">
        <v>37</v>
      </c>
      <c r="J203" t="s">
        <v>25</v>
      </c>
      <c r="K203" t="s">
        <v>20</v>
      </c>
      <c r="L203" t="s">
        <v>53</v>
      </c>
      <c r="M203">
        <v>41</v>
      </c>
      <c r="O203">
        <v>1</v>
      </c>
      <c r="P203" t="s">
        <v>27</v>
      </c>
      <c r="Q203">
        <v>1492</v>
      </c>
      <c r="R203" t="s">
        <v>53</v>
      </c>
      <c r="S203">
        <f>IF(support_tickets[[#This Row],[status_cleaned]]="closed",1,0)</f>
        <v>0</v>
      </c>
      <c r="T203" t="str">
        <f>TEXT(support_tickets[[#This Row],[opened_at]],"mmm yyyy")</f>
        <v>Mar 2024</v>
      </c>
      <c r="U203">
        <f>YEAR(support_tickets[[#This Row],[opened_at]])*100+MONTH(support_tickets[[#This Row],[opened_at]])</f>
        <v>202403</v>
      </c>
      <c r="V203" s="29">
        <f>DATE(YEAR(support_tickets[[#This Row],[opened_at]]),MONTH(support_tickets[[#This Row],[opened_at]]),1)</f>
        <v>45352</v>
      </c>
    </row>
    <row r="204" spans="1:22">
      <c r="A204">
        <v>1359522952</v>
      </c>
      <c r="B204">
        <v>991617660</v>
      </c>
      <c r="C204" t="s">
        <v>148</v>
      </c>
      <c r="D204" t="s">
        <v>149</v>
      </c>
      <c r="E204">
        <v>93926371</v>
      </c>
      <c r="G204" s="1">
        <v>45771.678229166668</v>
      </c>
      <c r="H204" s="1">
        <v>45772.417812500003</v>
      </c>
      <c r="I204" t="s">
        <v>43</v>
      </c>
      <c r="J204" t="s">
        <v>59</v>
      </c>
      <c r="K204" t="s">
        <v>20</v>
      </c>
      <c r="L204" t="s">
        <v>66</v>
      </c>
      <c r="M204">
        <v>59</v>
      </c>
      <c r="N204">
        <v>1065</v>
      </c>
      <c r="O204">
        <v>0</v>
      </c>
      <c r="P204" t="s">
        <v>61</v>
      </c>
      <c r="Q204">
        <v>64</v>
      </c>
      <c r="R204" t="s">
        <v>1607</v>
      </c>
      <c r="S204">
        <f>IF(support_tickets[[#This Row],[status_cleaned]]="closed",1,0)</f>
        <v>0</v>
      </c>
      <c r="T204" t="str">
        <f>TEXT(support_tickets[[#This Row],[opened_at]],"mmm yyyy")</f>
        <v>Apr 2025</v>
      </c>
      <c r="U204">
        <f>YEAR(support_tickets[[#This Row],[opened_at]])*100+MONTH(support_tickets[[#This Row],[opened_at]])</f>
        <v>202504</v>
      </c>
      <c r="V204" s="29">
        <f>DATE(YEAR(support_tickets[[#This Row],[opened_at]]),MONTH(support_tickets[[#This Row],[opened_at]]),1)</f>
        <v>45748</v>
      </c>
    </row>
    <row r="205" spans="1:22">
      <c r="A205">
        <v>1405330575</v>
      </c>
      <c r="B205">
        <v>564520346</v>
      </c>
      <c r="C205" t="s">
        <v>184</v>
      </c>
      <c r="D205" t="s">
        <v>185</v>
      </c>
      <c r="E205">
        <v>95320121</v>
      </c>
      <c r="G205" s="1">
        <v>45298.160069444442</v>
      </c>
      <c r="I205" t="s">
        <v>46</v>
      </c>
      <c r="J205" t="s">
        <v>25</v>
      </c>
      <c r="K205" t="s">
        <v>20</v>
      </c>
      <c r="L205" t="s">
        <v>66</v>
      </c>
      <c r="M205">
        <v>25</v>
      </c>
      <c r="O205">
        <v>0</v>
      </c>
      <c r="P205" t="s">
        <v>27</v>
      </c>
      <c r="Q205">
        <v>74</v>
      </c>
      <c r="R205" t="s">
        <v>1607</v>
      </c>
      <c r="S205">
        <f>IF(support_tickets[[#This Row],[status_cleaned]]="closed",1,0)</f>
        <v>0</v>
      </c>
      <c r="T205" t="str">
        <f>TEXT(support_tickets[[#This Row],[opened_at]],"mmm yyyy")</f>
        <v>Jan 2024</v>
      </c>
      <c r="U205">
        <f>YEAR(support_tickets[[#This Row],[opened_at]])*100+MONTH(support_tickets[[#This Row],[opened_at]])</f>
        <v>202401</v>
      </c>
      <c r="V205" s="29">
        <f>DATE(YEAR(support_tickets[[#This Row],[opened_at]]),MONTH(support_tickets[[#This Row],[opened_at]]),1)</f>
        <v>45292</v>
      </c>
    </row>
    <row r="206" spans="1:22">
      <c r="A206">
        <v>1501551011</v>
      </c>
      <c r="B206">
        <v>798510601</v>
      </c>
      <c r="C206" t="s">
        <v>204</v>
      </c>
      <c r="D206" t="s">
        <v>205</v>
      </c>
      <c r="E206">
        <v>24716857</v>
      </c>
      <c r="G206" s="1">
        <v>45649.267754629633</v>
      </c>
      <c r="I206" t="s">
        <v>37</v>
      </c>
      <c r="J206" t="s">
        <v>86</v>
      </c>
      <c r="K206" t="s">
        <v>20</v>
      </c>
      <c r="L206" t="s">
        <v>66</v>
      </c>
      <c r="M206">
        <v>8</v>
      </c>
      <c r="O206">
        <v>0</v>
      </c>
      <c r="P206" t="s">
        <v>87</v>
      </c>
      <c r="Q206">
        <v>85</v>
      </c>
      <c r="R206" t="s">
        <v>1607</v>
      </c>
      <c r="S206">
        <f>IF(support_tickets[[#This Row],[status_cleaned]]="closed",1,0)</f>
        <v>0</v>
      </c>
      <c r="T206" t="str">
        <f>TEXT(support_tickets[[#This Row],[opened_at]],"mmm yyyy")</f>
        <v>Dec 2024</v>
      </c>
      <c r="U206">
        <f>YEAR(support_tickets[[#This Row],[opened_at]])*100+MONTH(support_tickets[[#This Row],[opened_at]])</f>
        <v>202412</v>
      </c>
      <c r="V206" s="29">
        <f>DATE(YEAR(support_tickets[[#This Row],[opened_at]]),MONTH(support_tickets[[#This Row],[opened_at]]),1)</f>
        <v>45627</v>
      </c>
    </row>
    <row r="207" spans="1:22">
      <c r="A207">
        <v>1874399893</v>
      </c>
      <c r="B207">
        <v>925884151</v>
      </c>
      <c r="C207" t="s">
        <v>322</v>
      </c>
      <c r="D207" t="s">
        <v>323</v>
      </c>
      <c r="E207">
        <v>48840994</v>
      </c>
      <c r="G207" s="1">
        <v>45981.765729166669</v>
      </c>
      <c r="I207" t="s">
        <v>56</v>
      </c>
      <c r="J207" t="s">
        <v>86</v>
      </c>
      <c r="K207" t="s">
        <v>20</v>
      </c>
      <c r="L207" t="s">
        <v>66</v>
      </c>
      <c r="M207">
        <v>88</v>
      </c>
      <c r="O207">
        <v>0</v>
      </c>
      <c r="P207" t="s">
        <v>87</v>
      </c>
      <c r="Q207">
        <v>172</v>
      </c>
      <c r="R207" t="s">
        <v>1607</v>
      </c>
      <c r="S207">
        <f>IF(support_tickets[[#This Row],[status_cleaned]]="closed",1,0)</f>
        <v>0</v>
      </c>
      <c r="T207" t="str">
        <f>TEXT(support_tickets[[#This Row],[opened_at]],"mmm yyyy")</f>
        <v>Nov 2025</v>
      </c>
      <c r="U207">
        <f>YEAR(support_tickets[[#This Row],[opened_at]])*100+MONTH(support_tickets[[#This Row],[opened_at]])</f>
        <v>202511</v>
      </c>
      <c r="V207" s="29">
        <f>DATE(YEAR(support_tickets[[#This Row],[opened_at]]),MONTH(support_tickets[[#This Row],[opened_at]]),1)</f>
        <v>45962</v>
      </c>
    </row>
    <row r="208" spans="1:22">
      <c r="A208">
        <v>2161711840</v>
      </c>
      <c r="B208">
        <v>331009561</v>
      </c>
      <c r="C208" t="s">
        <v>292</v>
      </c>
      <c r="D208" t="s">
        <v>293</v>
      </c>
      <c r="E208">
        <v>31472420</v>
      </c>
      <c r="G208" s="1">
        <v>45802.399201388886</v>
      </c>
      <c r="I208" t="s">
        <v>56</v>
      </c>
      <c r="J208" t="s">
        <v>19</v>
      </c>
      <c r="K208" t="s">
        <v>20</v>
      </c>
      <c r="L208" t="s">
        <v>66</v>
      </c>
      <c r="M208">
        <v>10</v>
      </c>
      <c r="O208">
        <v>0</v>
      </c>
      <c r="P208" t="s">
        <v>22</v>
      </c>
      <c r="Q208">
        <v>215</v>
      </c>
      <c r="R208" t="s">
        <v>1607</v>
      </c>
      <c r="S208">
        <f>IF(support_tickets[[#This Row],[status_cleaned]]="closed",1,0)</f>
        <v>0</v>
      </c>
      <c r="T208" t="str">
        <f>TEXT(support_tickets[[#This Row],[opened_at]],"mmm yyyy")</f>
        <v>May 2025</v>
      </c>
      <c r="U208">
        <f>YEAR(support_tickets[[#This Row],[opened_at]])*100+MONTH(support_tickets[[#This Row],[opened_at]])</f>
        <v>202505</v>
      </c>
      <c r="V208" s="29">
        <f>DATE(YEAR(support_tickets[[#This Row],[opened_at]]),MONTH(support_tickets[[#This Row],[opened_at]]),1)</f>
        <v>45778</v>
      </c>
    </row>
    <row r="209" spans="1:22">
      <c r="A209">
        <v>2335743785</v>
      </c>
      <c r="B209">
        <v>157184151</v>
      </c>
      <c r="C209" t="s">
        <v>466</v>
      </c>
      <c r="D209" t="s">
        <v>467</v>
      </c>
      <c r="E209">
        <v>63606628</v>
      </c>
      <c r="F209">
        <v>3051815663</v>
      </c>
      <c r="G209" s="1">
        <v>45520.11141203704</v>
      </c>
      <c r="I209" t="s">
        <v>52</v>
      </c>
      <c r="J209" t="s">
        <v>30</v>
      </c>
      <c r="K209" t="s">
        <v>20</v>
      </c>
      <c r="L209" t="s">
        <v>66</v>
      </c>
      <c r="M209">
        <v>34</v>
      </c>
      <c r="O209">
        <v>0</v>
      </c>
      <c r="P209" t="s">
        <v>31</v>
      </c>
      <c r="Q209">
        <v>244</v>
      </c>
      <c r="R209" t="s">
        <v>1607</v>
      </c>
      <c r="S209">
        <f>IF(support_tickets[[#This Row],[status_cleaned]]="closed",1,0)</f>
        <v>0</v>
      </c>
      <c r="T209" t="str">
        <f>TEXT(support_tickets[[#This Row],[opened_at]],"mmm yyyy")</f>
        <v>Aug 2024</v>
      </c>
      <c r="U209">
        <f>YEAR(support_tickets[[#This Row],[opened_at]])*100+MONTH(support_tickets[[#This Row],[opened_at]])</f>
        <v>202408</v>
      </c>
      <c r="V209" s="29">
        <f>DATE(YEAR(support_tickets[[#This Row],[opened_at]]),MONTH(support_tickets[[#This Row],[opened_at]]),1)</f>
        <v>45505</v>
      </c>
    </row>
    <row r="210" spans="1:22">
      <c r="A210">
        <v>2353725181</v>
      </c>
      <c r="B210">
        <v>530121245</v>
      </c>
      <c r="C210" t="s">
        <v>472</v>
      </c>
      <c r="D210" t="s">
        <v>473</v>
      </c>
      <c r="E210">
        <v>90048665</v>
      </c>
      <c r="G210" s="1">
        <v>45810.447835648149</v>
      </c>
      <c r="I210" t="s">
        <v>3</v>
      </c>
      <c r="J210" t="s">
        <v>30</v>
      </c>
      <c r="K210" t="s">
        <v>20</v>
      </c>
      <c r="L210" t="s">
        <v>66</v>
      </c>
      <c r="M210">
        <v>32</v>
      </c>
      <c r="O210">
        <v>0</v>
      </c>
      <c r="P210" t="s">
        <v>31</v>
      </c>
      <c r="Q210">
        <v>247</v>
      </c>
      <c r="R210" t="s">
        <v>1607</v>
      </c>
      <c r="S210">
        <f>IF(support_tickets[[#This Row],[status_cleaned]]="closed",1,0)</f>
        <v>0</v>
      </c>
      <c r="T210" t="str">
        <f>TEXT(support_tickets[[#This Row],[opened_at]],"mmm yyyy")</f>
        <v>Jun 2025</v>
      </c>
      <c r="U210">
        <f>YEAR(support_tickets[[#This Row],[opened_at]])*100+MONTH(support_tickets[[#This Row],[opened_at]])</f>
        <v>202506</v>
      </c>
      <c r="V210" s="29">
        <f>DATE(YEAR(support_tickets[[#This Row],[opened_at]]),MONTH(support_tickets[[#This Row],[opened_at]]),1)</f>
        <v>45809</v>
      </c>
    </row>
    <row r="211" spans="1:22">
      <c r="A211">
        <v>2523105932</v>
      </c>
      <c r="B211">
        <v>372354893</v>
      </c>
      <c r="C211" t="s">
        <v>510</v>
      </c>
      <c r="D211" t="s">
        <v>511</v>
      </c>
      <c r="E211">
        <v>33978249</v>
      </c>
      <c r="G211" s="1">
        <v>45522.84103009259</v>
      </c>
      <c r="I211" t="s">
        <v>46</v>
      </c>
      <c r="J211" t="s">
        <v>30</v>
      </c>
      <c r="K211" t="s">
        <v>20</v>
      </c>
      <c r="L211" t="s">
        <v>66</v>
      </c>
      <c r="M211">
        <v>21</v>
      </c>
      <c r="O211">
        <v>0</v>
      </c>
      <c r="P211" t="s">
        <v>31</v>
      </c>
      <c r="Q211">
        <v>276</v>
      </c>
      <c r="R211" t="s">
        <v>1607</v>
      </c>
      <c r="S211">
        <f>IF(support_tickets[[#This Row],[status_cleaned]]="closed",1,0)</f>
        <v>0</v>
      </c>
      <c r="T211" t="str">
        <f>TEXT(support_tickets[[#This Row],[opened_at]],"mmm yyyy")</f>
        <v>Aug 2024</v>
      </c>
      <c r="U211">
        <f>YEAR(support_tickets[[#This Row],[opened_at]])*100+MONTH(support_tickets[[#This Row],[opened_at]])</f>
        <v>202408</v>
      </c>
      <c r="V211" s="29">
        <f>DATE(YEAR(support_tickets[[#This Row],[opened_at]]),MONTH(support_tickets[[#This Row],[opened_at]]),1)</f>
        <v>45505</v>
      </c>
    </row>
    <row r="212" spans="1:22">
      <c r="A212">
        <v>2835415852</v>
      </c>
      <c r="B212">
        <v>462516271</v>
      </c>
      <c r="C212" t="s">
        <v>110</v>
      </c>
      <c r="D212" t="s">
        <v>111</v>
      </c>
      <c r="E212">
        <v>25014631</v>
      </c>
      <c r="G212" s="1">
        <v>45402.016053240739</v>
      </c>
      <c r="I212" t="s">
        <v>56</v>
      </c>
      <c r="J212" t="s">
        <v>86</v>
      </c>
      <c r="K212" t="s">
        <v>20</v>
      </c>
      <c r="L212" t="s">
        <v>66</v>
      </c>
      <c r="M212">
        <v>1</v>
      </c>
      <c r="O212">
        <v>0</v>
      </c>
      <c r="P212" t="s">
        <v>87</v>
      </c>
      <c r="Q212">
        <v>330</v>
      </c>
      <c r="R212" t="s">
        <v>1607</v>
      </c>
      <c r="S212">
        <f>IF(support_tickets[[#This Row],[status_cleaned]]="closed",1,0)</f>
        <v>0</v>
      </c>
      <c r="T212" t="str">
        <f>TEXT(support_tickets[[#This Row],[opened_at]],"mmm yyyy")</f>
        <v>Apr 2024</v>
      </c>
      <c r="U212">
        <f>YEAR(support_tickets[[#This Row],[opened_at]])*100+MONTH(support_tickets[[#This Row],[opened_at]])</f>
        <v>202404</v>
      </c>
      <c r="V212" s="29">
        <f>DATE(YEAR(support_tickets[[#This Row],[opened_at]]),MONTH(support_tickets[[#This Row],[opened_at]]),1)</f>
        <v>45383</v>
      </c>
    </row>
    <row r="213" spans="1:22">
      <c r="A213">
        <v>3040880495</v>
      </c>
      <c r="B213">
        <v>409346714</v>
      </c>
      <c r="C213" t="s">
        <v>644</v>
      </c>
      <c r="D213" t="s">
        <v>645</v>
      </c>
      <c r="E213">
        <v>77005685</v>
      </c>
      <c r="F213">
        <v>2944697243</v>
      </c>
      <c r="G213" s="1">
        <v>45850.464861111112</v>
      </c>
      <c r="I213" t="s">
        <v>52</v>
      </c>
      <c r="J213" t="s">
        <v>25</v>
      </c>
      <c r="K213" t="s">
        <v>20</v>
      </c>
      <c r="L213" t="s">
        <v>66</v>
      </c>
      <c r="M213">
        <v>16</v>
      </c>
      <c r="O213">
        <v>0</v>
      </c>
      <c r="P213" t="s">
        <v>27</v>
      </c>
      <c r="Q213">
        <v>372</v>
      </c>
      <c r="R213" t="s">
        <v>1607</v>
      </c>
      <c r="S213">
        <f>IF(support_tickets[[#This Row],[status_cleaned]]="closed",1,0)</f>
        <v>0</v>
      </c>
      <c r="T213" t="str">
        <f>TEXT(support_tickets[[#This Row],[opened_at]],"mmm yyyy")</f>
        <v>Jul 2025</v>
      </c>
      <c r="U213">
        <f>YEAR(support_tickets[[#This Row],[opened_at]])*100+MONTH(support_tickets[[#This Row],[opened_at]])</f>
        <v>202507</v>
      </c>
      <c r="V213" s="29">
        <f>DATE(YEAR(support_tickets[[#This Row],[opened_at]]),MONTH(support_tickets[[#This Row],[opened_at]]),1)</f>
        <v>45839</v>
      </c>
    </row>
    <row r="214" spans="1:22">
      <c r="A214">
        <v>3233741461</v>
      </c>
      <c r="B214">
        <v>300593456</v>
      </c>
      <c r="C214" t="s">
        <v>268</v>
      </c>
      <c r="D214" t="s">
        <v>269</v>
      </c>
      <c r="E214">
        <v>90388981</v>
      </c>
      <c r="G214" s="1">
        <v>45523.02416666667</v>
      </c>
      <c r="H214" s="1">
        <v>45523.301944444444</v>
      </c>
      <c r="I214" t="s">
        <v>56</v>
      </c>
      <c r="J214" t="s">
        <v>30</v>
      </c>
      <c r="K214" t="s">
        <v>20</v>
      </c>
      <c r="L214" t="s">
        <v>66</v>
      </c>
      <c r="M214">
        <v>82</v>
      </c>
      <c r="N214">
        <v>400</v>
      </c>
      <c r="O214">
        <v>0</v>
      </c>
      <c r="P214" t="s">
        <v>31</v>
      </c>
      <c r="Q214">
        <v>400</v>
      </c>
      <c r="R214" t="s">
        <v>1607</v>
      </c>
      <c r="S214">
        <f>IF(support_tickets[[#This Row],[status_cleaned]]="closed",1,0)</f>
        <v>0</v>
      </c>
      <c r="T214" t="str">
        <f>TEXT(support_tickets[[#This Row],[opened_at]],"mmm yyyy")</f>
        <v>Aug 2024</v>
      </c>
      <c r="U214">
        <f>YEAR(support_tickets[[#This Row],[opened_at]])*100+MONTH(support_tickets[[#This Row],[opened_at]])</f>
        <v>202408</v>
      </c>
      <c r="V214" s="29">
        <f>DATE(YEAR(support_tickets[[#This Row],[opened_at]]),MONTH(support_tickets[[#This Row],[opened_at]]),1)</f>
        <v>45505</v>
      </c>
    </row>
    <row r="215" spans="1:22">
      <c r="A215">
        <v>3346629194</v>
      </c>
      <c r="B215">
        <v>231556899</v>
      </c>
      <c r="C215" t="s">
        <v>712</v>
      </c>
      <c r="D215" t="s">
        <v>713</v>
      </c>
      <c r="E215">
        <v>49349722</v>
      </c>
      <c r="F215">
        <v>9447571702</v>
      </c>
      <c r="G215" s="1">
        <v>45456.152719907404</v>
      </c>
      <c r="H215" s="1">
        <v>45456.821469907409</v>
      </c>
      <c r="I215" t="s">
        <v>43</v>
      </c>
      <c r="J215" t="s">
        <v>25</v>
      </c>
      <c r="K215" t="s">
        <v>20</v>
      </c>
      <c r="L215" t="s">
        <v>66</v>
      </c>
      <c r="M215">
        <v>20</v>
      </c>
      <c r="N215">
        <v>963</v>
      </c>
      <c r="O215">
        <v>0</v>
      </c>
      <c r="P215" t="s">
        <v>27</v>
      </c>
      <c r="Q215">
        <v>423</v>
      </c>
      <c r="R215" t="s">
        <v>1607</v>
      </c>
      <c r="S215">
        <f>IF(support_tickets[[#This Row],[status_cleaned]]="closed",1,0)</f>
        <v>0</v>
      </c>
      <c r="T215" t="str">
        <f>TEXT(support_tickets[[#This Row],[opened_at]],"mmm yyyy")</f>
        <v>Jun 2024</v>
      </c>
      <c r="U215">
        <f>YEAR(support_tickets[[#This Row],[opened_at]])*100+MONTH(support_tickets[[#This Row],[opened_at]])</f>
        <v>202406</v>
      </c>
      <c r="V215" s="29">
        <f>DATE(YEAR(support_tickets[[#This Row],[opened_at]]),MONTH(support_tickets[[#This Row],[opened_at]]),1)</f>
        <v>45444</v>
      </c>
    </row>
    <row r="216" spans="1:22">
      <c r="A216">
        <v>3968179935</v>
      </c>
      <c r="B216">
        <v>145168545</v>
      </c>
      <c r="C216" t="s">
        <v>838</v>
      </c>
      <c r="D216" t="s">
        <v>839</v>
      </c>
      <c r="E216">
        <v>71662963</v>
      </c>
      <c r="F216">
        <v>2788831866</v>
      </c>
      <c r="G216" s="1">
        <v>45413.196087962962</v>
      </c>
      <c r="I216" t="s">
        <v>43</v>
      </c>
      <c r="J216" t="s">
        <v>25</v>
      </c>
      <c r="K216" t="s">
        <v>20</v>
      </c>
      <c r="L216" t="s">
        <v>66</v>
      </c>
      <c r="M216">
        <v>21</v>
      </c>
      <c r="O216">
        <v>0</v>
      </c>
      <c r="P216" t="s">
        <v>27</v>
      </c>
      <c r="Q216">
        <v>517</v>
      </c>
      <c r="R216" t="s">
        <v>1607</v>
      </c>
      <c r="S216">
        <f>IF(support_tickets[[#This Row],[status_cleaned]]="closed",1,0)</f>
        <v>0</v>
      </c>
      <c r="T216" t="str">
        <f>TEXT(support_tickets[[#This Row],[opened_at]],"mmm yyyy")</f>
        <v>May 2024</v>
      </c>
      <c r="U216">
        <f>YEAR(support_tickets[[#This Row],[opened_at]])*100+MONTH(support_tickets[[#This Row],[opened_at]])</f>
        <v>202405</v>
      </c>
      <c r="V216" s="29">
        <f>DATE(YEAR(support_tickets[[#This Row],[opened_at]]),MONTH(support_tickets[[#This Row],[opened_at]]),1)</f>
        <v>45413</v>
      </c>
    </row>
    <row r="217" spans="1:22">
      <c r="A217">
        <v>4261912630</v>
      </c>
      <c r="B217">
        <v>716470999</v>
      </c>
      <c r="C217" t="s">
        <v>890</v>
      </c>
      <c r="D217" t="s">
        <v>891</v>
      </c>
      <c r="E217">
        <v>21668732</v>
      </c>
      <c r="G217" s="1">
        <v>45924.694236111114</v>
      </c>
      <c r="I217" t="s">
        <v>43</v>
      </c>
      <c r="J217" t="s">
        <v>25</v>
      </c>
      <c r="K217" t="s">
        <v>20</v>
      </c>
      <c r="L217" t="s">
        <v>66</v>
      </c>
      <c r="M217">
        <v>11</v>
      </c>
      <c r="O217">
        <v>0</v>
      </c>
      <c r="P217" t="s">
        <v>27</v>
      </c>
      <c r="Q217">
        <v>562</v>
      </c>
      <c r="R217" t="s">
        <v>1607</v>
      </c>
      <c r="S217">
        <f>IF(support_tickets[[#This Row],[status_cleaned]]="closed",1,0)</f>
        <v>0</v>
      </c>
      <c r="T217" t="str">
        <f>TEXT(support_tickets[[#This Row],[opened_at]],"mmm yyyy")</f>
        <v>Sep 2025</v>
      </c>
      <c r="U217">
        <f>YEAR(support_tickets[[#This Row],[opened_at]])*100+MONTH(support_tickets[[#This Row],[opened_at]])</f>
        <v>202509</v>
      </c>
      <c r="V217" s="29">
        <f>DATE(YEAR(support_tickets[[#This Row],[opened_at]]),MONTH(support_tickets[[#This Row],[opened_at]]),1)</f>
        <v>45901</v>
      </c>
    </row>
    <row r="218" spans="1:22">
      <c r="A218">
        <v>4291727088</v>
      </c>
      <c r="B218">
        <v>641394238</v>
      </c>
      <c r="C218" t="s">
        <v>896</v>
      </c>
      <c r="D218" t="s">
        <v>897</v>
      </c>
      <c r="E218">
        <v>67503414</v>
      </c>
      <c r="G218" s="1">
        <v>45524.460335648146</v>
      </c>
      <c r="I218" t="s">
        <v>18</v>
      </c>
      <c r="J218" t="s">
        <v>25</v>
      </c>
      <c r="K218" t="s">
        <v>20</v>
      </c>
      <c r="L218" t="s">
        <v>66</v>
      </c>
      <c r="M218">
        <v>26</v>
      </c>
      <c r="O218">
        <v>0</v>
      </c>
      <c r="P218" t="s">
        <v>27</v>
      </c>
      <c r="Q218">
        <v>567</v>
      </c>
      <c r="R218" t="s">
        <v>1607</v>
      </c>
      <c r="S218">
        <f>IF(support_tickets[[#This Row],[status_cleaned]]="closed",1,0)</f>
        <v>0</v>
      </c>
      <c r="T218" t="str">
        <f>TEXT(support_tickets[[#This Row],[opened_at]],"mmm yyyy")</f>
        <v>Aug 2024</v>
      </c>
      <c r="U218">
        <f>YEAR(support_tickets[[#This Row],[opened_at]])*100+MONTH(support_tickets[[#This Row],[opened_at]])</f>
        <v>202408</v>
      </c>
      <c r="V218" s="29">
        <f>DATE(YEAR(support_tickets[[#This Row],[opened_at]]),MONTH(support_tickets[[#This Row],[opened_at]]),1)</f>
        <v>45505</v>
      </c>
    </row>
    <row r="219" spans="1:22">
      <c r="A219">
        <v>4382352480</v>
      </c>
      <c r="B219">
        <v>258672959</v>
      </c>
      <c r="C219" t="s">
        <v>914</v>
      </c>
      <c r="D219" t="s">
        <v>915</v>
      </c>
      <c r="E219">
        <v>10872248</v>
      </c>
      <c r="G219" s="1">
        <v>45653.572210648148</v>
      </c>
      <c r="I219" t="s">
        <v>18</v>
      </c>
      <c r="J219" t="s">
        <v>86</v>
      </c>
      <c r="K219" t="s">
        <v>20</v>
      </c>
      <c r="L219" t="s">
        <v>66</v>
      </c>
      <c r="M219">
        <v>38</v>
      </c>
      <c r="O219">
        <v>0</v>
      </c>
      <c r="P219" t="s">
        <v>87</v>
      </c>
      <c r="Q219">
        <v>584</v>
      </c>
      <c r="R219" t="s">
        <v>1607</v>
      </c>
      <c r="S219">
        <f>IF(support_tickets[[#This Row],[status_cleaned]]="closed",1,0)</f>
        <v>0</v>
      </c>
      <c r="T219" t="str">
        <f>TEXT(support_tickets[[#This Row],[opened_at]],"mmm yyyy")</f>
        <v>Dec 2024</v>
      </c>
      <c r="U219">
        <f>YEAR(support_tickets[[#This Row],[opened_at]])*100+MONTH(support_tickets[[#This Row],[opened_at]])</f>
        <v>202412</v>
      </c>
      <c r="V219" s="29">
        <f>DATE(YEAR(support_tickets[[#This Row],[opened_at]]),MONTH(support_tickets[[#This Row],[opened_at]]),1)</f>
        <v>45627</v>
      </c>
    </row>
    <row r="220" spans="1:22">
      <c r="A220">
        <v>4398250825</v>
      </c>
      <c r="B220">
        <v>258214411</v>
      </c>
      <c r="C220" t="s">
        <v>394</v>
      </c>
      <c r="D220" t="s">
        <v>395</v>
      </c>
      <c r="E220">
        <v>63100814</v>
      </c>
      <c r="G220" s="1">
        <v>45669.152453703704</v>
      </c>
      <c r="I220" t="s">
        <v>46</v>
      </c>
      <c r="J220" t="s">
        <v>30</v>
      </c>
      <c r="K220" t="s">
        <v>20</v>
      </c>
      <c r="L220" t="s">
        <v>66</v>
      </c>
      <c r="M220">
        <v>21</v>
      </c>
      <c r="O220">
        <v>0</v>
      </c>
      <c r="P220" t="s">
        <v>31</v>
      </c>
      <c r="Q220">
        <v>590</v>
      </c>
      <c r="R220" t="s">
        <v>1607</v>
      </c>
      <c r="S220">
        <f>IF(support_tickets[[#This Row],[status_cleaned]]="closed",1,0)</f>
        <v>0</v>
      </c>
      <c r="T220" t="str">
        <f>TEXT(support_tickets[[#This Row],[opened_at]],"mmm yyyy")</f>
        <v>Jan 2025</v>
      </c>
      <c r="U220">
        <f>YEAR(support_tickets[[#This Row],[opened_at]])*100+MONTH(support_tickets[[#This Row],[opened_at]])</f>
        <v>202501</v>
      </c>
      <c r="V220" s="29">
        <f>DATE(YEAR(support_tickets[[#This Row],[opened_at]]),MONTH(support_tickets[[#This Row],[opened_at]]),1)</f>
        <v>45658</v>
      </c>
    </row>
    <row r="221" spans="1:22">
      <c r="A221">
        <v>4482725370</v>
      </c>
      <c r="B221">
        <v>695433590</v>
      </c>
      <c r="C221" t="s">
        <v>942</v>
      </c>
      <c r="D221" t="s">
        <v>943</v>
      </c>
      <c r="E221">
        <v>20576383</v>
      </c>
      <c r="F221">
        <v>9689323679</v>
      </c>
      <c r="G221" s="1">
        <v>45861.70753472222</v>
      </c>
      <c r="I221" t="s">
        <v>3</v>
      </c>
      <c r="J221" t="s">
        <v>86</v>
      </c>
      <c r="K221" t="s">
        <v>20</v>
      </c>
      <c r="L221" t="s">
        <v>66</v>
      </c>
      <c r="M221">
        <v>54</v>
      </c>
      <c r="O221">
        <v>0</v>
      </c>
      <c r="P221" t="s">
        <v>87</v>
      </c>
      <c r="Q221">
        <v>607</v>
      </c>
      <c r="R221" t="s">
        <v>1607</v>
      </c>
      <c r="S221">
        <f>IF(support_tickets[[#This Row],[status_cleaned]]="closed",1,0)</f>
        <v>0</v>
      </c>
      <c r="T221" t="str">
        <f>TEXT(support_tickets[[#This Row],[opened_at]],"mmm yyyy")</f>
        <v>Jul 2025</v>
      </c>
      <c r="U221">
        <f>YEAR(support_tickets[[#This Row],[opened_at]])*100+MONTH(support_tickets[[#This Row],[opened_at]])</f>
        <v>202507</v>
      </c>
      <c r="V221" s="29">
        <f>DATE(YEAR(support_tickets[[#This Row],[opened_at]]),MONTH(support_tickets[[#This Row],[opened_at]]),1)</f>
        <v>45839</v>
      </c>
    </row>
    <row r="222" spans="1:22">
      <c r="A222">
        <v>4649871299</v>
      </c>
      <c r="B222">
        <v>960226208</v>
      </c>
      <c r="C222" t="s">
        <v>512</v>
      </c>
      <c r="D222" t="s">
        <v>513</v>
      </c>
      <c r="E222">
        <v>23556182</v>
      </c>
      <c r="F222">
        <v>7575102757</v>
      </c>
      <c r="G222" s="1">
        <v>45951.45590277778</v>
      </c>
      <c r="I222" t="s">
        <v>52</v>
      </c>
      <c r="J222" t="s">
        <v>19</v>
      </c>
      <c r="K222" t="s">
        <v>20</v>
      </c>
      <c r="L222" t="s">
        <v>66</v>
      </c>
      <c r="M222">
        <v>51</v>
      </c>
      <c r="O222">
        <v>0</v>
      </c>
      <c r="P222" t="s">
        <v>22</v>
      </c>
      <c r="Q222">
        <v>637</v>
      </c>
      <c r="R222" t="s">
        <v>1607</v>
      </c>
      <c r="S222">
        <f>IF(support_tickets[[#This Row],[status_cleaned]]="closed",1,0)</f>
        <v>0</v>
      </c>
      <c r="T222" t="str">
        <f>TEXT(support_tickets[[#This Row],[opened_at]],"mmm yyyy")</f>
        <v>Oct 2025</v>
      </c>
      <c r="U222">
        <f>YEAR(support_tickets[[#This Row],[opened_at]])*100+MONTH(support_tickets[[#This Row],[opened_at]])</f>
        <v>202510</v>
      </c>
      <c r="V222" s="29">
        <f>DATE(YEAR(support_tickets[[#This Row],[opened_at]]),MONTH(support_tickets[[#This Row],[opened_at]]),1)</f>
        <v>45931</v>
      </c>
    </row>
    <row r="223" spans="1:22">
      <c r="A223">
        <v>4736152218</v>
      </c>
      <c r="B223">
        <v>809656613</v>
      </c>
      <c r="C223" t="s">
        <v>76</v>
      </c>
      <c r="D223" t="s">
        <v>77</v>
      </c>
      <c r="E223">
        <v>53524491</v>
      </c>
      <c r="G223" s="1">
        <v>45296.485520833332</v>
      </c>
      <c r="I223" t="s">
        <v>43</v>
      </c>
      <c r="J223" t="s">
        <v>19</v>
      </c>
      <c r="K223" t="s">
        <v>20</v>
      </c>
      <c r="L223" t="s">
        <v>66</v>
      </c>
      <c r="M223">
        <v>60</v>
      </c>
      <c r="O223">
        <v>0</v>
      </c>
      <c r="P223" t="s">
        <v>22</v>
      </c>
      <c r="Q223">
        <v>654</v>
      </c>
      <c r="R223" t="s">
        <v>1607</v>
      </c>
      <c r="S223">
        <f>IF(support_tickets[[#This Row],[status_cleaned]]="closed",1,0)</f>
        <v>0</v>
      </c>
      <c r="T223" t="str">
        <f>TEXT(support_tickets[[#This Row],[opened_at]],"mmm yyyy")</f>
        <v>Jan 2024</v>
      </c>
      <c r="U223">
        <f>YEAR(support_tickets[[#This Row],[opened_at]])*100+MONTH(support_tickets[[#This Row],[opened_at]])</f>
        <v>202401</v>
      </c>
      <c r="V223" s="29">
        <f>DATE(YEAR(support_tickets[[#This Row],[opened_at]]),MONTH(support_tickets[[#This Row],[opened_at]]),1)</f>
        <v>45292</v>
      </c>
    </row>
    <row r="224" spans="1:22">
      <c r="A224">
        <v>4776648985</v>
      </c>
      <c r="B224">
        <v>747233283</v>
      </c>
      <c r="C224" t="s">
        <v>1010</v>
      </c>
      <c r="D224" t="s">
        <v>1011</v>
      </c>
      <c r="E224">
        <v>63100814</v>
      </c>
      <c r="F224">
        <v>5329451114</v>
      </c>
      <c r="G224" s="1">
        <v>45924.902557870373</v>
      </c>
      <c r="I224" t="s">
        <v>37</v>
      </c>
      <c r="J224" t="s">
        <v>59</v>
      </c>
      <c r="K224" t="s">
        <v>20</v>
      </c>
      <c r="L224" t="s">
        <v>66</v>
      </c>
      <c r="M224">
        <v>9</v>
      </c>
      <c r="O224">
        <v>0</v>
      </c>
      <c r="P224" t="s">
        <v>61</v>
      </c>
      <c r="Q224">
        <v>662</v>
      </c>
      <c r="R224" t="s">
        <v>1607</v>
      </c>
      <c r="S224">
        <f>IF(support_tickets[[#This Row],[status_cleaned]]="closed",1,0)</f>
        <v>0</v>
      </c>
      <c r="T224" t="str">
        <f>TEXT(support_tickets[[#This Row],[opened_at]],"mmm yyyy")</f>
        <v>Sep 2025</v>
      </c>
      <c r="U224">
        <f>YEAR(support_tickets[[#This Row],[opened_at]])*100+MONTH(support_tickets[[#This Row],[opened_at]])</f>
        <v>202509</v>
      </c>
      <c r="V224" s="29">
        <f>DATE(YEAR(support_tickets[[#This Row],[opened_at]]),MONTH(support_tickets[[#This Row],[opened_at]]),1)</f>
        <v>45901</v>
      </c>
    </row>
    <row r="225" spans="1:22">
      <c r="A225">
        <v>5291218965</v>
      </c>
      <c r="B225">
        <v>440405868</v>
      </c>
      <c r="C225" t="s">
        <v>1084</v>
      </c>
      <c r="D225" t="s">
        <v>1085</v>
      </c>
      <c r="E225">
        <v>83197857</v>
      </c>
      <c r="G225" s="1">
        <v>45668.821979166663</v>
      </c>
      <c r="I225" t="s">
        <v>56</v>
      </c>
      <c r="J225" t="s">
        <v>30</v>
      </c>
      <c r="K225" t="s">
        <v>20</v>
      </c>
      <c r="L225" t="s">
        <v>66</v>
      </c>
      <c r="M225">
        <v>16</v>
      </c>
      <c r="O225">
        <v>0</v>
      </c>
      <c r="P225" t="s">
        <v>31</v>
      </c>
      <c r="Q225">
        <v>749</v>
      </c>
      <c r="R225" t="s">
        <v>1607</v>
      </c>
      <c r="S225">
        <f>IF(support_tickets[[#This Row],[status_cleaned]]="closed",1,0)</f>
        <v>0</v>
      </c>
      <c r="T225" t="str">
        <f>TEXT(support_tickets[[#This Row],[opened_at]],"mmm yyyy")</f>
        <v>Jan 2025</v>
      </c>
      <c r="U225">
        <f>YEAR(support_tickets[[#This Row],[opened_at]])*100+MONTH(support_tickets[[#This Row],[opened_at]])</f>
        <v>202501</v>
      </c>
      <c r="V225" s="29">
        <f>DATE(YEAR(support_tickets[[#This Row],[opened_at]]),MONTH(support_tickets[[#This Row],[opened_at]]),1)</f>
        <v>45658</v>
      </c>
    </row>
    <row r="226" spans="1:22">
      <c r="A226">
        <v>5330497673</v>
      </c>
      <c r="B226">
        <v>630452018</v>
      </c>
      <c r="C226" t="s">
        <v>1098</v>
      </c>
      <c r="D226" t="s">
        <v>1099</v>
      </c>
      <c r="E226">
        <v>71662963</v>
      </c>
      <c r="G226" s="1">
        <v>45884.241030092591</v>
      </c>
      <c r="I226" t="s">
        <v>37</v>
      </c>
      <c r="J226" t="s">
        <v>25</v>
      </c>
      <c r="K226" t="s">
        <v>20</v>
      </c>
      <c r="L226" t="s">
        <v>66</v>
      </c>
      <c r="M226">
        <v>53</v>
      </c>
      <c r="O226">
        <v>0</v>
      </c>
      <c r="P226" t="s">
        <v>27</v>
      </c>
      <c r="Q226">
        <v>763</v>
      </c>
      <c r="R226" t="s">
        <v>1607</v>
      </c>
      <c r="S226">
        <f>IF(support_tickets[[#This Row],[status_cleaned]]="closed",1,0)</f>
        <v>0</v>
      </c>
      <c r="T226" t="str">
        <f>TEXT(support_tickets[[#This Row],[opened_at]],"mmm yyyy")</f>
        <v>Aug 2025</v>
      </c>
      <c r="U226">
        <f>YEAR(support_tickets[[#This Row],[opened_at]])*100+MONTH(support_tickets[[#This Row],[opened_at]])</f>
        <v>202508</v>
      </c>
      <c r="V226" s="29">
        <f>DATE(YEAR(support_tickets[[#This Row],[opened_at]]),MONTH(support_tickets[[#This Row],[opened_at]]),1)</f>
        <v>45870</v>
      </c>
    </row>
    <row r="227" spans="1:22">
      <c r="A227">
        <v>5357436824</v>
      </c>
      <c r="B227">
        <v>599714064</v>
      </c>
      <c r="C227" t="s">
        <v>791</v>
      </c>
      <c r="D227" t="s">
        <v>792</v>
      </c>
      <c r="E227">
        <v>84252722</v>
      </c>
      <c r="G227" s="1">
        <v>45414.507569444446</v>
      </c>
      <c r="H227" s="1">
        <v>45415.165208333332</v>
      </c>
      <c r="I227" t="s">
        <v>46</v>
      </c>
      <c r="J227" t="s">
        <v>86</v>
      </c>
      <c r="K227" t="s">
        <v>20</v>
      </c>
      <c r="L227" t="s">
        <v>66</v>
      </c>
      <c r="M227">
        <v>14</v>
      </c>
      <c r="N227">
        <v>947</v>
      </c>
      <c r="O227">
        <v>0</v>
      </c>
      <c r="P227" t="s">
        <v>87</v>
      </c>
      <c r="Q227">
        <v>770</v>
      </c>
      <c r="R227" t="s">
        <v>1607</v>
      </c>
      <c r="S227">
        <f>IF(support_tickets[[#This Row],[status_cleaned]]="closed",1,0)</f>
        <v>0</v>
      </c>
      <c r="T227" t="str">
        <f>TEXT(support_tickets[[#This Row],[opened_at]],"mmm yyyy")</f>
        <v>May 2024</v>
      </c>
      <c r="U227">
        <f>YEAR(support_tickets[[#This Row],[opened_at]])*100+MONTH(support_tickets[[#This Row],[opened_at]])</f>
        <v>202405</v>
      </c>
      <c r="V227" s="29">
        <f>DATE(YEAR(support_tickets[[#This Row],[opened_at]]),MONTH(support_tickets[[#This Row],[opened_at]]),1)</f>
        <v>45413</v>
      </c>
    </row>
    <row r="228" spans="1:22">
      <c r="A228">
        <v>5387154543</v>
      </c>
      <c r="B228">
        <v>813363254</v>
      </c>
      <c r="C228" t="s">
        <v>976</v>
      </c>
      <c r="D228" t="s">
        <v>977</v>
      </c>
      <c r="E228">
        <v>78387461</v>
      </c>
      <c r="G228" s="1">
        <v>45959.848923611113</v>
      </c>
      <c r="I228" t="s">
        <v>37</v>
      </c>
      <c r="J228" t="s">
        <v>59</v>
      </c>
      <c r="K228" t="s">
        <v>20</v>
      </c>
      <c r="L228" t="s">
        <v>66</v>
      </c>
      <c r="M228">
        <v>33</v>
      </c>
      <c r="O228">
        <v>0</v>
      </c>
      <c r="P228" t="s">
        <v>61</v>
      </c>
      <c r="Q228">
        <v>778</v>
      </c>
      <c r="R228" t="s">
        <v>1607</v>
      </c>
      <c r="S228">
        <f>IF(support_tickets[[#This Row],[status_cleaned]]="closed",1,0)</f>
        <v>0</v>
      </c>
      <c r="T228" t="str">
        <f>TEXT(support_tickets[[#This Row],[opened_at]],"mmm yyyy")</f>
        <v>Oct 2025</v>
      </c>
      <c r="U228">
        <f>YEAR(support_tickets[[#This Row],[opened_at]])*100+MONTH(support_tickets[[#This Row],[opened_at]])</f>
        <v>202510</v>
      </c>
      <c r="V228" s="29">
        <f>DATE(YEAR(support_tickets[[#This Row],[opened_at]]),MONTH(support_tickets[[#This Row],[opened_at]]),1)</f>
        <v>45931</v>
      </c>
    </row>
    <row r="229" spans="1:22">
      <c r="A229">
        <v>5778342509</v>
      </c>
      <c r="B229">
        <v>243811545</v>
      </c>
      <c r="C229" t="s">
        <v>1172</v>
      </c>
      <c r="D229" t="s">
        <v>1173</v>
      </c>
      <c r="E229">
        <v>15831819</v>
      </c>
      <c r="F229">
        <v>9200543022</v>
      </c>
      <c r="G229" s="1">
        <v>45567.034537037034</v>
      </c>
      <c r="H229" s="1">
        <v>45567.344953703701</v>
      </c>
      <c r="I229" t="s">
        <v>52</v>
      </c>
      <c r="J229" t="s">
        <v>19</v>
      </c>
      <c r="K229" t="s">
        <v>20</v>
      </c>
      <c r="L229" t="s">
        <v>66</v>
      </c>
      <c r="M229">
        <v>52</v>
      </c>
      <c r="N229">
        <v>447</v>
      </c>
      <c r="O229">
        <v>0</v>
      </c>
      <c r="P229" t="s">
        <v>22</v>
      </c>
      <c r="Q229">
        <v>852</v>
      </c>
      <c r="R229" t="s">
        <v>1607</v>
      </c>
      <c r="S229">
        <f>IF(support_tickets[[#This Row],[status_cleaned]]="closed",1,0)</f>
        <v>0</v>
      </c>
      <c r="T229" t="str">
        <f>TEXT(support_tickets[[#This Row],[opened_at]],"mmm yyyy")</f>
        <v>Oct 2024</v>
      </c>
      <c r="U229">
        <f>YEAR(support_tickets[[#This Row],[opened_at]])*100+MONTH(support_tickets[[#This Row],[opened_at]])</f>
        <v>202410</v>
      </c>
      <c r="V229" s="29">
        <f>DATE(YEAR(support_tickets[[#This Row],[opened_at]]),MONTH(support_tickets[[#This Row],[opened_at]]),1)</f>
        <v>45566</v>
      </c>
    </row>
    <row r="230" spans="1:22">
      <c r="A230">
        <v>5780242230</v>
      </c>
      <c r="B230">
        <v>239340792</v>
      </c>
      <c r="C230" t="s">
        <v>1174</v>
      </c>
      <c r="D230" t="s">
        <v>1175</v>
      </c>
      <c r="E230">
        <v>76238574</v>
      </c>
      <c r="G230" s="1">
        <v>45723.874942129631</v>
      </c>
      <c r="I230" t="s">
        <v>52</v>
      </c>
      <c r="J230" t="s">
        <v>25</v>
      </c>
      <c r="K230" t="s">
        <v>20</v>
      </c>
      <c r="L230" t="s">
        <v>66</v>
      </c>
      <c r="M230">
        <v>2</v>
      </c>
      <c r="O230">
        <v>0</v>
      </c>
      <c r="P230" t="s">
        <v>27</v>
      </c>
      <c r="Q230">
        <v>854</v>
      </c>
      <c r="R230" t="s">
        <v>1607</v>
      </c>
      <c r="S230">
        <f>IF(support_tickets[[#This Row],[status_cleaned]]="closed",1,0)</f>
        <v>0</v>
      </c>
      <c r="T230" t="str">
        <f>TEXT(support_tickets[[#This Row],[opened_at]],"mmm yyyy")</f>
        <v>Mar 2025</v>
      </c>
      <c r="U230">
        <f>YEAR(support_tickets[[#This Row],[opened_at]])*100+MONTH(support_tickets[[#This Row],[opened_at]])</f>
        <v>202503</v>
      </c>
      <c r="V230" s="29">
        <f>DATE(YEAR(support_tickets[[#This Row],[opened_at]]),MONTH(support_tickets[[#This Row],[opened_at]]),1)</f>
        <v>45717</v>
      </c>
    </row>
    <row r="231" spans="1:22">
      <c r="A231">
        <v>5959675649</v>
      </c>
      <c r="B231">
        <v>922816526</v>
      </c>
      <c r="C231" t="s">
        <v>518</v>
      </c>
      <c r="D231" t="s">
        <v>519</v>
      </c>
      <c r="E231">
        <v>83793389</v>
      </c>
      <c r="G231" s="1">
        <v>45585.654108796298</v>
      </c>
      <c r="H231" s="1">
        <v>45585.834664351853</v>
      </c>
      <c r="I231" t="s">
        <v>46</v>
      </c>
      <c r="J231" t="s">
        <v>86</v>
      </c>
      <c r="K231" t="s">
        <v>20</v>
      </c>
      <c r="L231" t="s">
        <v>66</v>
      </c>
      <c r="M231">
        <v>33</v>
      </c>
      <c r="N231">
        <v>260</v>
      </c>
      <c r="O231">
        <v>0</v>
      </c>
      <c r="P231" t="s">
        <v>87</v>
      </c>
      <c r="Q231">
        <v>881</v>
      </c>
      <c r="R231" t="s">
        <v>1607</v>
      </c>
      <c r="S231">
        <f>IF(support_tickets[[#This Row],[status_cleaned]]="closed",1,0)</f>
        <v>0</v>
      </c>
      <c r="T231" t="str">
        <f>TEXT(support_tickets[[#This Row],[opened_at]],"mmm yyyy")</f>
        <v>Oct 2024</v>
      </c>
      <c r="U231">
        <f>YEAR(support_tickets[[#This Row],[opened_at]])*100+MONTH(support_tickets[[#This Row],[opened_at]])</f>
        <v>202410</v>
      </c>
      <c r="V231" s="29">
        <f>DATE(YEAR(support_tickets[[#This Row],[opened_at]]),MONTH(support_tickets[[#This Row],[opened_at]]),1)</f>
        <v>45566</v>
      </c>
    </row>
    <row r="232" spans="1:22">
      <c r="A232">
        <v>6364590980</v>
      </c>
      <c r="B232">
        <v>683364453</v>
      </c>
      <c r="C232" t="s">
        <v>178</v>
      </c>
      <c r="D232" t="s">
        <v>179</v>
      </c>
      <c r="E232">
        <v>61642594</v>
      </c>
      <c r="G232" s="1">
        <v>45463.020937499998</v>
      </c>
      <c r="I232" t="s">
        <v>43</v>
      </c>
      <c r="J232" t="s">
        <v>59</v>
      </c>
      <c r="K232" t="s">
        <v>20</v>
      </c>
      <c r="L232" t="s">
        <v>66</v>
      </c>
      <c r="M232">
        <v>23</v>
      </c>
      <c r="O232">
        <v>0</v>
      </c>
      <c r="P232" t="s">
        <v>61</v>
      </c>
      <c r="Q232">
        <v>952</v>
      </c>
      <c r="R232" t="s">
        <v>1607</v>
      </c>
      <c r="S232">
        <f>IF(support_tickets[[#This Row],[status_cleaned]]="closed",1,0)</f>
        <v>0</v>
      </c>
      <c r="T232" t="str">
        <f>TEXT(support_tickets[[#This Row],[opened_at]],"mmm yyyy")</f>
        <v>Jun 2024</v>
      </c>
      <c r="U232">
        <f>YEAR(support_tickets[[#This Row],[opened_at]])*100+MONTH(support_tickets[[#This Row],[opened_at]])</f>
        <v>202406</v>
      </c>
      <c r="V232" s="29">
        <f>DATE(YEAR(support_tickets[[#This Row],[opened_at]]),MONTH(support_tickets[[#This Row],[opened_at]]),1)</f>
        <v>45444</v>
      </c>
    </row>
    <row r="233" spans="1:22">
      <c r="A233">
        <v>6507337708</v>
      </c>
      <c r="B233">
        <v>285388355</v>
      </c>
      <c r="C233" t="s">
        <v>586</v>
      </c>
      <c r="D233" t="s">
        <v>587</v>
      </c>
      <c r="E233">
        <v>39958838</v>
      </c>
      <c r="G233" s="1">
        <v>45372.601886574077</v>
      </c>
      <c r="I233" t="s">
        <v>37</v>
      </c>
      <c r="J233" t="s">
        <v>38</v>
      </c>
      <c r="K233" t="s">
        <v>20</v>
      </c>
      <c r="L233" t="s">
        <v>66</v>
      </c>
      <c r="M233">
        <v>2</v>
      </c>
      <c r="O233">
        <v>0</v>
      </c>
      <c r="P233" t="s">
        <v>40</v>
      </c>
      <c r="Q233">
        <v>975</v>
      </c>
      <c r="R233" t="s">
        <v>1607</v>
      </c>
      <c r="S233">
        <f>IF(support_tickets[[#This Row],[status_cleaned]]="closed",1,0)</f>
        <v>0</v>
      </c>
      <c r="T233" t="str">
        <f>TEXT(support_tickets[[#This Row],[opened_at]],"mmm yyyy")</f>
        <v>Mar 2024</v>
      </c>
      <c r="U233">
        <f>YEAR(support_tickets[[#This Row],[opened_at]])*100+MONTH(support_tickets[[#This Row],[opened_at]])</f>
        <v>202403</v>
      </c>
      <c r="V233" s="29">
        <f>DATE(YEAR(support_tickets[[#This Row],[opened_at]]),MONTH(support_tickets[[#This Row],[opened_at]]),1)</f>
        <v>45352</v>
      </c>
    </row>
    <row r="234" spans="1:22">
      <c r="A234">
        <v>6830144919</v>
      </c>
      <c r="B234">
        <v>154508960</v>
      </c>
      <c r="C234" t="s">
        <v>616</v>
      </c>
      <c r="D234" t="s">
        <v>617</v>
      </c>
      <c r="E234">
        <v>97971488</v>
      </c>
      <c r="G234" s="1">
        <v>45368.468263888892</v>
      </c>
      <c r="I234" t="s">
        <v>43</v>
      </c>
      <c r="J234" t="s">
        <v>30</v>
      </c>
      <c r="K234" t="s">
        <v>20</v>
      </c>
      <c r="L234" t="s">
        <v>66</v>
      </c>
      <c r="M234">
        <v>84</v>
      </c>
      <c r="O234">
        <v>0</v>
      </c>
      <c r="P234" t="s">
        <v>31</v>
      </c>
      <c r="Q234">
        <v>1013</v>
      </c>
      <c r="R234" t="s">
        <v>1607</v>
      </c>
      <c r="S234">
        <f>IF(support_tickets[[#This Row],[status_cleaned]]="closed",1,0)</f>
        <v>0</v>
      </c>
      <c r="T234" t="str">
        <f>TEXT(support_tickets[[#This Row],[opened_at]],"mmm yyyy")</f>
        <v>Mar 2024</v>
      </c>
      <c r="U234">
        <f>YEAR(support_tickets[[#This Row],[opened_at]])*100+MONTH(support_tickets[[#This Row],[opened_at]])</f>
        <v>202403</v>
      </c>
      <c r="V234" s="29">
        <f>DATE(YEAR(support_tickets[[#This Row],[opened_at]]),MONTH(support_tickets[[#This Row],[opened_at]]),1)</f>
        <v>45352</v>
      </c>
    </row>
    <row r="235" spans="1:22">
      <c r="A235">
        <v>7183919686</v>
      </c>
      <c r="B235">
        <v>840629322</v>
      </c>
      <c r="C235" t="s">
        <v>1134</v>
      </c>
      <c r="D235" t="s">
        <v>1135</v>
      </c>
      <c r="E235">
        <v>16150444</v>
      </c>
      <c r="F235">
        <v>9811035250</v>
      </c>
      <c r="G235" s="1">
        <v>45891.197557870371</v>
      </c>
      <c r="H235" s="1">
        <v>45891.82603009259</v>
      </c>
      <c r="I235" t="s">
        <v>18</v>
      </c>
      <c r="J235" t="s">
        <v>86</v>
      </c>
      <c r="K235" t="s">
        <v>20</v>
      </c>
      <c r="L235" t="s">
        <v>66</v>
      </c>
      <c r="M235">
        <v>45</v>
      </c>
      <c r="N235">
        <v>905</v>
      </c>
      <c r="O235">
        <v>0</v>
      </c>
      <c r="P235" t="s">
        <v>87</v>
      </c>
      <c r="Q235">
        <v>1060</v>
      </c>
      <c r="R235" t="s">
        <v>1607</v>
      </c>
      <c r="S235">
        <f>IF(support_tickets[[#This Row],[status_cleaned]]="closed",1,0)</f>
        <v>0</v>
      </c>
      <c r="T235" t="str">
        <f>TEXT(support_tickets[[#This Row],[opened_at]],"mmm yyyy")</f>
        <v>Aug 2025</v>
      </c>
      <c r="U235">
        <f>YEAR(support_tickets[[#This Row],[opened_at]])*100+MONTH(support_tickets[[#This Row],[opened_at]])</f>
        <v>202508</v>
      </c>
      <c r="V235" s="29">
        <f>DATE(YEAR(support_tickets[[#This Row],[opened_at]]),MONTH(support_tickets[[#This Row],[opened_at]]),1)</f>
        <v>45870</v>
      </c>
    </row>
    <row r="236" spans="1:22">
      <c r="A236">
        <v>7499741213</v>
      </c>
      <c r="B236">
        <v>652681586</v>
      </c>
      <c r="C236" t="s">
        <v>826</v>
      </c>
      <c r="D236" t="s">
        <v>827</v>
      </c>
      <c r="E236">
        <v>83793389</v>
      </c>
      <c r="G236" s="1">
        <v>45530.684502314813</v>
      </c>
      <c r="I236" t="s">
        <v>18</v>
      </c>
      <c r="J236" t="s">
        <v>30</v>
      </c>
      <c r="K236" t="s">
        <v>20</v>
      </c>
      <c r="L236" t="s">
        <v>66</v>
      </c>
      <c r="M236">
        <v>29</v>
      </c>
      <c r="O236">
        <v>0</v>
      </c>
      <c r="P236" t="s">
        <v>31</v>
      </c>
      <c r="Q236">
        <v>1106</v>
      </c>
      <c r="R236" t="s">
        <v>1607</v>
      </c>
      <c r="S236">
        <f>IF(support_tickets[[#This Row],[status_cleaned]]="closed",1,0)</f>
        <v>0</v>
      </c>
      <c r="T236" t="str">
        <f>TEXT(support_tickets[[#This Row],[opened_at]],"mmm yyyy")</f>
        <v>Aug 2024</v>
      </c>
      <c r="U236">
        <f>YEAR(support_tickets[[#This Row],[opened_at]])*100+MONTH(support_tickets[[#This Row],[opened_at]])</f>
        <v>202408</v>
      </c>
      <c r="V236" s="29">
        <f>DATE(YEAR(support_tickets[[#This Row],[opened_at]]),MONTH(support_tickets[[#This Row],[opened_at]]),1)</f>
        <v>45505</v>
      </c>
    </row>
    <row r="237" spans="1:22">
      <c r="A237">
        <v>7615677462</v>
      </c>
      <c r="B237">
        <v>234568604</v>
      </c>
      <c r="C237" t="s">
        <v>1382</v>
      </c>
      <c r="D237" t="s">
        <v>1383</v>
      </c>
      <c r="E237">
        <v>13356886</v>
      </c>
      <c r="F237">
        <v>3077935216</v>
      </c>
      <c r="G237" s="1">
        <v>45528.942731481482</v>
      </c>
      <c r="I237" t="s">
        <v>56</v>
      </c>
      <c r="J237" t="s">
        <v>30</v>
      </c>
      <c r="K237" t="s">
        <v>20</v>
      </c>
      <c r="L237" t="s">
        <v>66</v>
      </c>
      <c r="M237">
        <v>30</v>
      </c>
      <c r="O237">
        <v>0</v>
      </c>
      <c r="P237" t="s">
        <v>31</v>
      </c>
      <c r="Q237">
        <v>1128</v>
      </c>
      <c r="R237" t="s">
        <v>1607</v>
      </c>
      <c r="S237">
        <f>IF(support_tickets[[#This Row],[status_cleaned]]="closed",1,0)</f>
        <v>0</v>
      </c>
      <c r="T237" t="str">
        <f>TEXT(support_tickets[[#This Row],[opened_at]],"mmm yyyy")</f>
        <v>Aug 2024</v>
      </c>
      <c r="U237">
        <f>YEAR(support_tickets[[#This Row],[opened_at]])*100+MONTH(support_tickets[[#This Row],[opened_at]])</f>
        <v>202408</v>
      </c>
      <c r="V237" s="29">
        <f>DATE(YEAR(support_tickets[[#This Row],[opened_at]]),MONTH(support_tickets[[#This Row],[opened_at]]),1)</f>
        <v>45505</v>
      </c>
    </row>
    <row r="238" spans="1:22">
      <c r="A238">
        <v>7753590861</v>
      </c>
      <c r="B238">
        <v>878810937</v>
      </c>
      <c r="C238" t="s">
        <v>342</v>
      </c>
      <c r="D238" t="s">
        <v>343</v>
      </c>
      <c r="E238">
        <v>82383095</v>
      </c>
      <c r="G238" s="1">
        <v>45813.742951388886</v>
      </c>
      <c r="I238" t="s">
        <v>52</v>
      </c>
      <c r="J238" t="s">
        <v>59</v>
      </c>
      <c r="K238" t="s">
        <v>20</v>
      </c>
      <c r="L238" t="s">
        <v>66</v>
      </c>
      <c r="M238">
        <v>16</v>
      </c>
      <c r="O238">
        <v>0</v>
      </c>
      <c r="P238" t="s">
        <v>61</v>
      </c>
      <c r="Q238">
        <v>1151</v>
      </c>
      <c r="R238" t="s">
        <v>1607</v>
      </c>
      <c r="S238">
        <f>IF(support_tickets[[#This Row],[status_cleaned]]="closed",1,0)</f>
        <v>0</v>
      </c>
      <c r="T238" t="str">
        <f>TEXT(support_tickets[[#This Row],[opened_at]],"mmm yyyy")</f>
        <v>Jun 2025</v>
      </c>
      <c r="U238">
        <f>YEAR(support_tickets[[#This Row],[opened_at]])*100+MONTH(support_tickets[[#This Row],[opened_at]])</f>
        <v>202506</v>
      </c>
      <c r="V238" s="29">
        <f>DATE(YEAR(support_tickets[[#This Row],[opened_at]]),MONTH(support_tickets[[#This Row],[opened_at]]),1)</f>
        <v>45809</v>
      </c>
    </row>
    <row r="239" spans="1:22">
      <c r="A239">
        <v>7761722734</v>
      </c>
      <c r="B239">
        <v>871880418</v>
      </c>
      <c r="C239" t="s">
        <v>992</v>
      </c>
      <c r="D239" t="s">
        <v>993</v>
      </c>
      <c r="E239">
        <v>15831819</v>
      </c>
      <c r="F239">
        <v>1697341120</v>
      </c>
      <c r="G239" s="1">
        <v>45660.942094907405</v>
      </c>
      <c r="H239" s="1">
        <v>45661.085844907408</v>
      </c>
      <c r="I239" t="s">
        <v>52</v>
      </c>
      <c r="J239" t="s">
        <v>86</v>
      </c>
      <c r="K239" t="s">
        <v>20</v>
      </c>
      <c r="L239" t="s">
        <v>66</v>
      </c>
      <c r="M239">
        <v>26</v>
      </c>
      <c r="N239">
        <v>207</v>
      </c>
      <c r="O239">
        <v>0</v>
      </c>
      <c r="P239" t="s">
        <v>87</v>
      </c>
      <c r="Q239">
        <v>1152</v>
      </c>
      <c r="R239" t="s">
        <v>1607</v>
      </c>
      <c r="S239">
        <f>IF(support_tickets[[#This Row],[status_cleaned]]="closed",1,0)</f>
        <v>0</v>
      </c>
      <c r="T239" t="str">
        <f>TEXT(support_tickets[[#This Row],[opened_at]],"mmm yyyy")</f>
        <v>Jan 2025</v>
      </c>
      <c r="U239">
        <f>YEAR(support_tickets[[#This Row],[opened_at]])*100+MONTH(support_tickets[[#This Row],[opened_at]])</f>
        <v>202501</v>
      </c>
      <c r="V239" s="29">
        <f>DATE(YEAR(support_tickets[[#This Row],[opened_at]]),MONTH(support_tickets[[#This Row],[opened_at]]),1)</f>
        <v>45658</v>
      </c>
    </row>
    <row r="240" spans="1:22">
      <c r="A240">
        <v>7766052970</v>
      </c>
      <c r="B240">
        <v>392907427</v>
      </c>
      <c r="C240" t="s">
        <v>1396</v>
      </c>
      <c r="D240" t="s">
        <v>1397</v>
      </c>
      <c r="E240">
        <v>20576383</v>
      </c>
      <c r="G240" s="1">
        <v>45328.109340277777</v>
      </c>
      <c r="H240" s="1">
        <v>45328.270451388889</v>
      </c>
      <c r="I240" t="s">
        <v>52</v>
      </c>
      <c r="J240" t="s">
        <v>59</v>
      </c>
      <c r="K240" t="s">
        <v>20</v>
      </c>
      <c r="L240" t="s">
        <v>66</v>
      </c>
      <c r="M240">
        <v>44</v>
      </c>
      <c r="N240">
        <v>232</v>
      </c>
      <c r="O240">
        <v>0</v>
      </c>
      <c r="P240" t="s">
        <v>61</v>
      </c>
      <c r="Q240">
        <v>1153</v>
      </c>
      <c r="R240" t="s">
        <v>1607</v>
      </c>
      <c r="S240">
        <f>IF(support_tickets[[#This Row],[status_cleaned]]="closed",1,0)</f>
        <v>0</v>
      </c>
      <c r="T240" t="str">
        <f>TEXT(support_tickets[[#This Row],[opened_at]],"mmm yyyy")</f>
        <v>Feb 2024</v>
      </c>
      <c r="U240">
        <f>YEAR(support_tickets[[#This Row],[opened_at]])*100+MONTH(support_tickets[[#This Row],[opened_at]])</f>
        <v>202402</v>
      </c>
      <c r="V240" s="29">
        <f>DATE(YEAR(support_tickets[[#This Row],[opened_at]]),MONTH(support_tickets[[#This Row],[opened_at]]),1)</f>
        <v>45323</v>
      </c>
    </row>
    <row r="241" spans="1:22">
      <c r="A241">
        <v>8399025486</v>
      </c>
      <c r="B241">
        <v>402104065</v>
      </c>
      <c r="C241" t="s">
        <v>1455</v>
      </c>
      <c r="D241" t="s">
        <v>1456</v>
      </c>
      <c r="E241">
        <v>12614124</v>
      </c>
      <c r="G241" s="1">
        <v>45327.835995370369</v>
      </c>
      <c r="H241" s="1">
        <v>45328.481828703705</v>
      </c>
      <c r="I241" t="s">
        <v>18</v>
      </c>
      <c r="J241" t="s">
        <v>59</v>
      </c>
      <c r="K241" t="s">
        <v>20</v>
      </c>
      <c r="L241" t="s">
        <v>66</v>
      </c>
      <c r="M241">
        <v>29</v>
      </c>
      <c r="N241">
        <v>930</v>
      </c>
      <c r="O241">
        <v>0</v>
      </c>
      <c r="P241" t="s">
        <v>61</v>
      </c>
      <c r="Q241">
        <v>1237</v>
      </c>
      <c r="R241" t="s">
        <v>1607</v>
      </c>
      <c r="S241">
        <f>IF(support_tickets[[#This Row],[status_cleaned]]="closed",1,0)</f>
        <v>0</v>
      </c>
      <c r="T241" t="str">
        <f>TEXT(support_tickets[[#This Row],[opened_at]],"mmm yyyy")</f>
        <v>Feb 2024</v>
      </c>
      <c r="U241">
        <f>YEAR(support_tickets[[#This Row],[opened_at]])*100+MONTH(support_tickets[[#This Row],[opened_at]])</f>
        <v>202402</v>
      </c>
      <c r="V241" s="29">
        <f>DATE(YEAR(support_tickets[[#This Row],[opened_at]]),MONTH(support_tickets[[#This Row],[opened_at]]),1)</f>
        <v>45323</v>
      </c>
    </row>
    <row r="242" spans="1:22">
      <c r="A242">
        <v>8479397526</v>
      </c>
      <c r="B242">
        <v>151329185</v>
      </c>
      <c r="C242" t="s">
        <v>1266</v>
      </c>
      <c r="D242" t="s">
        <v>1267</v>
      </c>
      <c r="E242">
        <v>13356886</v>
      </c>
      <c r="G242" s="1">
        <v>45722.892187500001</v>
      </c>
      <c r="I242" t="s">
        <v>56</v>
      </c>
      <c r="J242" t="s">
        <v>30</v>
      </c>
      <c r="K242" t="s">
        <v>20</v>
      </c>
      <c r="L242" t="s">
        <v>66</v>
      </c>
      <c r="M242">
        <v>66</v>
      </c>
      <c r="O242">
        <v>0</v>
      </c>
      <c r="P242" t="s">
        <v>31</v>
      </c>
      <c r="Q242">
        <v>1252</v>
      </c>
      <c r="R242" t="s">
        <v>1607</v>
      </c>
      <c r="S242">
        <f>IF(support_tickets[[#This Row],[status_cleaned]]="closed",1,0)</f>
        <v>0</v>
      </c>
      <c r="T242" t="str">
        <f>TEXT(support_tickets[[#This Row],[opened_at]],"mmm yyyy")</f>
        <v>Mar 2025</v>
      </c>
      <c r="U242">
        <f>YEAR(support_tickets[[#This Row],[opened_at]])*100+MONTH(support_tickets[[#This Row],[opened_at]])</f>
        <v>202503</v>
      </c>
      <c r="V242" s="29">
        <f>DATE(YEAR(support_tickets[[#This Row],[opened_at]]),MONTH(support_tickets[[#This Row],[opened_at]]),1)</f>
        <v>45717</v>
      </c>
    </row>
    <row r="243" spans="1:22">
      <c r="A243">
        <v>8663887985</v>
      </c>
      <c r="B243">
        <v>853703117</v>
      </c>
      <c r="C243" t="s">
        <v>128</v>
      </c>
      <c r="D243" t="s">
        <v>129</v>
      </c>
      <c r="E243">
        <v>86149359</v>
      </c>
      <c r="G243" s="1">
        <v>45575.156342592592</v>
      </c>
      <c r="I243" t="s">
        <v>3</v>
      </c>
      <c r="J243" t="s">
        <v>25</v>
      </c>
      <c r="K243" t="s">
        <v>20</v>
      </c>
      <c r="L243" t="s">
        <v>66</v>
      </c>
      <c r="M243">
        <v>39</v>
      </c>
      <c r="O243">
        <v>0</v>
      </c>
      <c r="P243" t="s">
        <v>27</v>
      </c>
      <c r="Q243">
        <v>1291</v>
      </c>
      <c r="R243" t="s">
        <v>1607</v>
      </c>
      <c r="S243">
        <f>IF(support_tickets[[#This Row],[status_cleaned]]="closed",1,0)</f>
        <v>0</v>
      </c>
      <c r="T243" t="str">
        <f>TEXT(support_tickets[[#This Row],[opened_at]],"mmm yyyy")</f>
        <v>Oct 2024</v>
      </c>
      <c r="U243">
        <f>YEAR(support_tickets[[#This Row],[opened_at]])*100+MONTH(support_tickets[[#This Row],[opened_at]])</f>
        <v>202410</v>
      </c>
      <c r="V243" s="29">
        <f>DATE(YEAR(support_tickets[[#This Row],[opened_at]]),MONTH(support_tickets[[#This Row],[opened_at]]),1)</f>
        <v>45566</v>
      </c>
    </row>
    <row r="244" spans="1:22">
      <c r="A244">
        <v>8723506101</v>
      </c>
      <c r="B244">
        <v>847508242</v>
      </c>
      <c r="C244" t="s">
        <v>438</v>
      </c>
      <c r="D244" t="s">
        <v>439</v>
      </c>
      <c r="E244">
        <v>95758349</v>
      </c>
      <c r="G244" s="1">
        <v>45645.829247685186</v>
      </c>
      <c r="I244" t="s">
        <v>37</v>
      </c>
      <c r="J244" t="s">
        <v>19</v>
      </c>
      <c r="K244" t="s">
        <v>20</v>
      </c>
      <c r="L244" t="s">
        <v>66</v>
      </c>
      <c r="M244">
        <v>26</v>
      </c>
      <c r="O244">
        <v>0</v>
      </c>
      <c r="P244" t="s">
        <v>22</v>
      </c>
      <c r="Q244">
        <v>1300</v>
      </c>
      <c r="R244" t="s">
        <v>1607</v>
      </c>
      <c r="S244">
        <f>IF(support_tickets[[#This Row],[status_cleaned]]="closed",1,0)</f>
        <v>0</v>
      </c>
      <c r="T244" t="str">
        <f>TEXT(support_tickets[[#This Row],[opened_at]],"mmm yyyy")</f>
        <v>Dec 2024</v>
      </c>
      <c r="U244">
        <f>YEAR(support_tickets[[#This Row],[opened_at]])*100+MONTH(support_tickets[[#This Row],[opened_at]])</f>
        <v>202412</v>
      </c>
      <c r="V244" s="29">
        <f>DATE(YEAR(support_tickets[[#This Row],[opened_at]]),MONTH(support_tickets[[#This Row],[opened_at]]),1)</f>
        <v>45627</v>
      </c>
    </row>
    <row r="245" spans="1:22">
      <c r="A245">
        <v>8905044610</v>
      </c>
      <c r="B245">
        <v>404994549</v>
      </c>
      <c r="C245" t="s">
        <v>1120</v>
      </c>
      <c r="D245" t="s">
        <v>1121</v>
      </c>
      <c r="E245">
        <v>51837852</v>
      </c>
      <c r="G245" s="1">
        <v>45939.988113425927</v>
      </c>
      <c r="I245" t="s">
        <v>3</v>
      </c>
      <c r="J245" t="s">
        <v>30</v>
      </c>
      <c r="K245" t="s">
        <v>20</v>
      </c>
      <c r="L245" t="s">
        <v>66</v>
      </c>
      <c r="M245">
        <v>50</v>
      </c>
      <c r="O245">
        <v>0</v>
      </c>
      <c r="P245" t="s">
        <v>31</v>
      </c>
      <c r="Q245">
        <v>1330</v>
      </c>
      <c r="R245" t="s">
        <v>1607</v>
      </c>
      <c r="S245">
        <f>IF(support_tickets[[#This Row],[status_cleaned]]="closed",1,0)</f>
        <v>0</v>
      </c>
      <c r="T245" t="str">
        <f>TEXT(support_tickets[[#This Row],[opened_at]],"mmm yyyy")</f>
        <v>Oct 2025</v>
      </c>
      <c r="U245">
        <f>YEAR(support_tickets[[#This Row],[opened_at]])*100+MONTH(support_tickets[[#This Row],[opened_at]])</f>
        <v>202510</v>
      </c>
      <c r="V245" s="29">
        <f>DATE(YEAR(support_tickets[[#This Row],[opened_at]]),MONTH(support_tickets[[#This Row],[opened_at]]),1)</f>
        <v>45931</v>
      </c>
    </row>
    <row r="246" spans="1:22">
      <c r="A246">
        <v>9053851299</v>
      </c>
      <c r="B246">
        <v>356022467</v>
      </c>
      <c r="C246" t="s">
        <v>846</v>
      </c>
      <c r="D246" t="s">
        <v>847</v>
      </c>
      <c r="E246">
        <v>57683626</v>
      </c>
      <c r="F246">
        <v>5727349037</v>
      </c>
      <c r="G246" s="1">
        <v>45951.63890046296</v>
      </c>
      <c r="H246" s="1">
        <v>45952.362511574072</v>
      </c>
      <c r="I246" t="s">
        <v>3</v>
      </c>
      <c r="J246" t="s">
        <v>38</v>
      </c>
      <c r="K246" t="s">
        <v>20</v>
      </c>
      <c r="L246" t="s">
        <v>66</v>
      </c>
      <c r="M246">
        <v>46</v>
      </c>
      <c r="N246">
        <v>1042</v>
      </c>
      <c r="O246">
        <v>0</v>
      </c>
      <c r="P246" t="s">
        <v>40</v>
      </c>
      <c r="Q246">
        <v>1357</v>
      </c>
      <c r="R246" t="s">
        <v>1607</v>
      </c>
      <c r="S246">
        <f>IF(support_tickets[[#This Row],[status_cleaned]]="closed",1,0)</f>
        <v>0</v>
      </c>
      <c r="T246" t="str">
        <f>TEXT(support_tickets[[#This Row],[opened_at]],"mmm yyyy")</f>
        <v>Oct 2025</v>
      </c>
      <c r="U246">
        <f>YEAR(support_tickets[[#This Row],[opened_at]])*100+MONTH(support_tickets[[#This Row],[opened_at]])</f>
        <v>202510</v>
      </c>
      <c r="V246" s="29">
        <f>DATE(YEAR(support_tickets[[#This Row],[opened_at]]),MONTH(support_tickets[[#This Row],[opened_at]]),1)</f>
        <v>45931</v>
      </c>
    </row>
    <row r="247" spans="1:22">
      <c r="A247">
        <v>9099544909</v>
      </c>
      <c r="B247">
        <v>768737754</v>
      </c>
      <c r="C247" t="s">
        <v>622</v>
      </c>
      <c r="D247" t="s">
        <v>623</v>
      </c>
      <c r="E247">
        <v>24282218</v>
      </c>
      <c r="G247" s="1">
        <v>45492.939803240741</v>
      </c>
      <c r="I247" t="s">
        <v>43</v>
      </c>
      <c r="J247" t="s">
        <v>19</v>
      </c>
      <c r="K247" t="s">
        <v>20</v>
      </c>
      <c r="L247" t="s">
        <v>66</v>
      </c>
      <c r="M247">
        <v>64</v>
      </c>
      <c r="O247">
        <v>0</v>
      </c>
      <c r="P247" t="s">
        <v>22</v>
      </c>
      <c r="Q247">
        <v>1368</v>
      </c>
      <c r="R247" t="s">
        <v>1607</v>
      </c>
      <c r="S247">
        <f>IF(support_tickets[[#This Row],[status_cleaned]]="closed",1,0)</f>
        <v>0</v>
      </c>
      <c r="T247" t="str">
        <f>TEXT(support_tickets[[#This Row],[opened_at]],"mmm yyyy")</f>
        <v>Jul 2024</v>
      </c>
      <c r="U247">
        <f>YEAR(support_tickets[[#This Row],[opened_at]])*100+MONTH(support_tickets[[#This Row],[opened_at]])</f>
        <v>202407</v>
      </c>
      <c r="V247" s="29">
        <f>DATE(YEAR(support_tickets[[#This Row],[opened_at]]),MONTH(support_tickets[[#This Row],[opened_at]]),1)</f>
        <v>45474</v>
      </c>
    </row>
    <row r="248" spans="1:22">
      <c r="A248">
        <v>9231028203</v>
      </c>
      <c r="B248">
        <v>393622794</v>
      </c>
      <c r="C248" t="s">
        <v>424</v>
      </c>
      <c r="D248" t="s">
        <v>425</v>
      </c>
      <c r="E248">
        <v>20576383</v>
      </c>
      <c r="G248" s="1">
        <v>45305.812511574077</v>
      </c>
      <c r="I248" t="s">
        <v>43</v>
      </c>
      <c r="J248" t="s">
        <v>86</v>
      </c>
      <c r="K248" t="s">
        <v>20</v>
      </c>
      <c r="L248" t="s">
        <v>66</v>
      </c>
      <c r="M248">
        <v>51</v>
      </c>
      <c r="O248">
        <v>0</v>
      </c>
      <c r="P248" t="s">
        <v>87</v>
      </c>
      <c r="Q248">
        <v>1388</v>
      </c>
      <c r="R248" t="s">
        <v>1607</v>
      </c>
      <c r="S248">
        <f>IF(support_tickets[[#This Row],[status_cleaned]]="closed",1,0)</f>
        <v>0</v>
      </c>
      <c r="T248" t="str">
        <f>TEXT(support_tickets[[#This Row],[opened_at]],"mmm yyyy")</f>
        <v>Jan 2024</v>
      </c>
      <c r="U248">
        <f>YEAR(support_tickets[[#This Row],[opened_at]])*100+MONTH(support_tickets[[#This Row],[opened_at]])</f>
        <v>202401</v>
      </c>
      <c r="V248" s="29">
        <f>DATE(YEAR(support_tickets[[#This Row],[opened_at]]),MONTH(support_tickets[[#This Row],[opened_at]]),1)</f>
        <v>45292</v>
      </c>
    </row>
    <row r="249" spans="1:22">
      <c r="A249">
        <v>9330013423</v>
      </c>
      <c r="B249">
        <v>794604127</v>
      </c>
      <c r="C249" t="s">
        <v>1070</v>
      </c>
      <c r="D249" t="s">
        <v>1071</v>
      </c>
      <c r="E249">
        <v>95822412</v>
      </c>
      <c r="G249" s="1">
        <v>45370.276261574072</v>
      </c>
      <c r="I249" t="s">
        <v>56</v>
      </c>
      <c r="J249" t="s">
        <v>38</v>
      </c>
      <c r="K249" t="s">
        <v>20</v>
      </c>
      <c r="L249" t="s">
        <v>66</v>
      </c>
      <c r="M249">
        <v>70</v>
      </c>
      <c r="O249">
        <v>0</v>
      </c>
      <c r="P249" t="s">
        <v>40</v>
      </c>
      <c r="Q249">
        <v>1404</v>
      </c>
      <c r="R249" t="s">
        <v>1607</v>
      </c>
      <c r="S249">
        <f>IF(support_tickets[[#This Row],[status_cleaned]]="closed",1,0)</f>
        <v>0</v>
      </c>
      <c r="T249" t="str">
        <f>TEXT(support_tickets[[#This Row],[opened_at]],"mmm yyyy")</f>
        <v>Mar 2024</v>
      </c>
      <c r="U249">
        <f>YEAR(support_tickets[[#This Row],[opened_at]])*100+MONTH(support_tickets[[#This Row],[opened_at]])</f>
        <v>202403</v>
      </c>
      <c r="V249" s="29">
        <f>DATE(YEAR(support_tickets[[#This Row],[opened_at]]),MONTH(support_tickets[[#This Row],[opened_at]]),1)</f>
        <v>45352</v>
      </c>
    </row>
    <row r="250" spans="1:22">
      <c r="A250">
        <v>9679857324</v>
      </c>
      <c r="B250">
        <v>634047267</v>
      </c>
      <c r="C250" t="s">
        <v>1184</v>
      </c>
      <c r="D250" t="s">
        <v>1185</v>
      </c>
      <c r="E250">
        <v>17507864</v>
      </c>
      <c r="G250" s="1">
        <v>45364.346539351849</v>
      </c>
      <c r="I250" t="s">
        <v>3</v>
      </c>
      <c r="J250" t="s">
        <v>59</v>
      </c>
      <c r="K250" t="s">
        <v>20</v>
      </c>
      <c r="L250" t="s">
        <v>66</v>
      </c>
      <c r="M250">
        <v>42</v>
      </c>
      <c r="O250">
        <v>0</v>
      </c>
      <c r="P250" t="s">
        <v>61</v>
      </c>
      <c r="Q250">
        <v>1464</v>
      </c>
      <c r="R250" t="s">
        <v>1607</v>
      </c>
      <c r="S250">
        <f>IF(support_tickets[[#This Row],[status_cleaned]]="closed",1,0)</f>
        <v>0</v>
      </c>
      <c r="T250" t="str">
        <f>TEXT(support_tickets[[#This Row],[opened_at]],"mmm yyyy")</f>
        <v>Mar 2024</v>
      </c>
      <c r="U250">
        <f>YEAR(support_tickets[[#This Row],[opened_at]])*100+MONTH(support_tickets[[#This Row],[opened_at]])</f>
        <v>202403</v>
      </c>
      <c r="V250" s="29">
        <f>DATE(YEAR(support_tickets[[#This Row],[opened_at]]),MONTH(support_tickets[[#This Row],[opened_at]]),1)</f>
        <v>45352</v>
      </c>
    </row>
    <row r="251" spans="1:22">
      <c r="A251">
        <v>9781468007</v>
      </c>
      <c r="B251">
        <v>490102359</v>
      </c>
      <c r="C251" t="s">
        <v>720</v>
      </c>
      <c r="D251" t="s">
        <v>721</v>
      </c>
      <c r="E251">
        <v>81971316</v>
      </c>
      <c r="F251">
        <v>7671347646</v>
      </c>
      <c r="G251" s="1">
        <v>45349.319930555554</v>
      </c>
      <c r="H251" s="1">
        <v>45349.906736111108</v>
      </c>
      <c r="I251" t="s">
        <v>3</v>
      </c>
      <c r="J251" t="s">
        <v>86</v>
      </c>
      <c r="K251" t="s">
        <v>20</v>
      </c>
      <c r="L251" t="s">
        <v>66</v>
      </c>
      <c r="M251">
        <v>4</v>
      </c>
      <c r="N251">
        <v>845</v>
      </c>
      <c r="O251">
        <v>0</v>
      </c>
      <c r="P251" t="s">
        <v>87</v>
      </c>
      <c r="Q251">
        <v>1479</v>
      </c>
      <c r="R251" t="s">
        <v>1607</v>
      </c>
      <c r="S251">
        <f>IF(support_tickets[[#This Row],[status_cleaned]]="closed",1,0)</f>
        <v>0</v>
      </c>
      <c r="T251" t="str">
        <f>TEXT(support_tickets[[#This Row],[opened_at]],"mmm yyyy")</f>
        <v>Feb 2024</v>
      </c>
      <c r="U251">
        <f>YEAR(support_tickets[[#This Row],[opened_at]])*100+MONTH(support_tickets[[#This Row],[opened_at]])</f>
        <v>202402</v>
      </c>
      <c r="V251" s="29">
        <f>DATE(YEAR(support_tickets[[#This Row],[opened_at]]),MONTH(support_tickets[[#This Row],[opened_at]]),1)</f>
        <v>45323</v>
      </c>
    </row>
    <row r="252" spans="1:22">
      <c r="A252">
        <v>1004123145</v>
      </c>
      <c r="B252">
        <v>507693523</v>
      </c>
      <c r="C252" t="s">
        <v>16</v>
      </c>
      <c r="D252" t="s">
        <v>17</v>
      </c>
      <c r="E252">
        <v>11540956</v>
      </c>
      <c r="G252" s="1">
        <v>45445.940972222219</v>
      </c>
      <c r="H252" s="1">
        <v>45446.268055555556</v>
      </c>
      <c r="I252" t="s">
        <v>18</v>
      </c>
      <c r="J252" t="s">
        <v>19</v>
      </c>
      <c r="K252" t="s">
        <v>20</v>
      </c>
      <c r="L252" t="s">
        <v>21</v>
      </c>
      <c r="M252">
        <v>1</v>
      </c>
      <c r="N252">
        <v>471</v>
      </c>
      <c r="O252">
        <v>0</v>
      </c>
      <c r="P252" t="s">
        <v>22</v>
      </c>
      <c r="Q252">
        <v>1</v>
      </c>
      <c r="R252" t="s">
        <v>39</v>
      </c>
      <c r="S252">
        <f>IF(support_tickets[[#This Row],[status_cleaned]]="closed",1,0)</f>
        <v>1</v>
      </c>
      <c r="T252" t="str">
        <f>TEXT(support_tickets[[#This Row],[opened_at]],"mmm yyyy")</f>
        <v>Jun 2024</v>
      </c>
      <c r="U252">
        <f>YEAR(support_tickets[[#This Row],[opened_at]])*100+MONTH(support_tickets[[#This Row],[opened_at]])</f>
        <v>202406</v>
      </c>
      <c r="V252" s="29">
        <f>DATE(YEAR(support_tickets[[#This Row],[opened_at]]),MONTH(support_tickets[[#This Row],[opened_at]]),1)</f>
        <v>45444</v>
      </c>
    </row>
    <row r="253" spans="1:22">
      <c r="A253">
        <v>1044338542</v>
      </c>
      <c r="B253">
        <v>723464439</v>
      </c>
      <c r="C253" t="s">
        <v>48</v>
      </c>
      <c r="D253" t="s">
        <v>49</v>
      </c>
      <c r="E253">
        <v>58966946</v>
      </c>
      <c r="G253" s="1">
        <v>45994.580428240741</v>
      </c>
      <c r="H253" s="1">
        <v>45994.8359837963</v>
      </c>
      <c r="I253" t="s">
        <v>46</v>
      </c>
      <c r="J253" t="s">
        <v>38</v>
      </c>
      <c r="K253" t="s">
        <v>20</v>
      </c>
      <c r="L253" t="s">
        <v>21</v>
      </c>
      <c r="M253">
        <v>29</v>
      </c>
      <c r="N253">
        <v>368</v>
      </c>
      <c r="O253">
        <v>0</v>
      </c>
      <c r="P253" t="s">
        <v>40</v>
      </c>
      <c r="Q253">
        <v>8</v>
      </c>
      <c r="R253" t="s">
        <v>39</v>
      </c>
      <c r="S253">
        <f>IF(support_tickets[[#This Row],[status_cleaned]]="closed",1,0)</f>
        <v>1</v>
      </c>
      <c r="T253" t="str">
        <f>TEXT(support_tickets[[#This Row],[opened_at]],"mmm yyyy")</f>
        <v>Dec 2025</v>
      </c>
      <c r="U253">
        <f>YEAR(support_tickets[[#This Row],[opened_at]])*100+MONTH(support_tickets[[#This Row],[opened_at]])</f>
        <v>202512</v>
      </c>
      <c r="V253" s="29">
        <f>DATE(YEAR(support_tickets[[#This Row],[opened_at]]),MONTH(support_tickets[[#This Row],[opened_at]]),1)</f>
        <v>45992</v>
      </c>
    </row>
    <row r="254" spans="1:22">
      <c r="A254">
        <v>1118632377</v>
      </c>
      <c r="B254">
        <v>128636900</v>
      </c>
      <c r="C254" t="s">
        <v>82</v>
      </c>
      <c r="D254" t="s">
        <v>83</v>
      </c>
      <c r="E254">
        <v>20576383</v>
      </c>
      <c r="G254" s="1">
        <v>45459.239178240743</v>
      </c>
      <c r="H254" s="1">
        <v>45459.533622685187</v>
      </c>
      <c r="I254" t="s">
        <v>52</v>
      </c>
      <c r="J254" t="s">
        <v>19</v>
      </c>
      <c r="K254" t="s">
        <v>20</v>
      </c>
      <c r="L254" t="s">
        <v>21</v>
      </c>
      <c r="M254">
        <v>48</v>
      </c>
      <c r="N254">
        <v>424</v>
      </c>
      <c r="O254">
        <v>0</v>
      </c>
      <c r="P254" t="s">
        <v>22</v>
      </c>
      <c r="Q254">
        <v>21</v>
      </c>
      <c r="R254" t="s">
        <v>39</v>
      </c>
      <c r="S254">
        <f>IF(support_tickets[[#This Row],[status_cleaned]]="closed",1,0)</f>
        <v>1</v>
      </c>
      <c r="T254" t="str">
        <f>TEXT(support_tickets[[#This Row],[opened_at]],"mmm yyyy")</f>
        <v>Jun 2024</v>
      </c>
      <c r="U254">
        <f>YEAR(support_tickets[[#This Row],[opened_at]])*100+MONTH(support_tickets[[#This Row],[opened_at]])</f>
        <v>202406</v>
      </c>
      <c r="V254" s="29">
        <f>DATE(YEAR(support_tickets[[#This Row],[opened_at]]),MONTH(support_tickets[[#This Row],[opened_at]]),1)</f>
        <v>45444</v>
      </c>
    </row>
    <row r="255" spans="1:22">
      <c r="A255">
        <v>1127237194</v>
      </c>
      <c r="B255">
        <v>364697908</v>
      </c>
      <c r="C255" t="s">
        <v>88</v>
      </c>
      <c r="D255" t="s">
        <v>89</v>
      </c>
      <c r="E255">
        <v>28566572</v>
      </c>
      <c r="G255" s="1">
        <v>45541.455914351849</v>
      </c>
      <c r="H255" s="1">
        <v>45541.795497685183</v>
      </c>
      <c r="I255" t="s">
        <v>3</v>
      </c>
      <c r="J255" t="s">
        <v>59</v>
      </c>
      <c r="K255" t="s">
        <v>20</v>
      </c>
      <c r="L255" t="s">
        <v>21</v>
      </c>
      <c r="M255">
        <v>61</v>
      </c>
      <c r="N255">
        <v>489</v>
      </c>
      <c r="O255">
        <v>0</v>
      </c>
      <c r="P255" t="s">
        <v>61</v>
      </c>
      <c r="Q255">
        <v>23</v>
      </c>
      <c r="R255" t="s">
        <v>39</v>
      </c>
      <c r="S255">
        <f>IF(support_tickets[[#This Row],[status_cleaned]]="closed",1,0)</f>
        <v>1</v>
      </c>
      <c r="T255" t="str">
        <f>TEXT(support_tickets[[#This Row],[opened_at]],"mmm yyyy")</f>
        <v>Sep 2024</v>
      </c>
      <c r="U255">
        <f>YEAR(support_tickets[[#This Row],[opened_at]])*100+MONTH(support_tickets[[#This Row],[opened_at]])</f>
        <v>202409</v>
      </c>
      <c r="V255" s="29">
        <f>DATE(YEAR(support_tickets[[#This Row],[opened_at]]),MONTH(support_tickets[[#This Row],[opened_at]]),1)</f>
        <v>45536</v>
      </c>
    </row>
    <row r="256" spans="1:22">
      <c r="A256">
        <v>1150959137</v>
      </c>
      <c r="B256">
        <v>447464644</v>
      </c>
      <c r="C256" t="s">
        <v>100</v>
      </c>
      <c r="D256" t="s">
        <v>101</v>
      </c>
      <c r="E256">
        <v>80823176</v>
      </c>
      <c r="F256">
        <v>6100947738</v>
      </c>
      <c r="G256" s="1">
        <v>45421.757974537039</v>
      </c>
      <c r="H256" s="1">
        <v>45422.053807870368</v>
      </c>
      <c r="I256" t="s">
        <v>56</v>
      </c>
      <c r="J256" t="s">
        <v>19</v>
      </c>
      <c r="K256" t="s">
        <v>20</v>
      </c>
      <c r="L256" t="s">
        <v>21</v>
      </c>
      <c r="M256">
        <v>63</v>
      </c>
      <c r="N256">
        <v>426</v>
      </c>
      <c r="O256">
        <v>0</v>
      </c>
      <c r="P256" t="s">
        <v>22</v>
      </c>
      <c r="Q256">
        <v>29</v>
      </c>
      <c r="R256" t="s">
        <v>39</v>
      </c>
      <c r="S256">
        <f>IF(support_tickets[[#This Row],[status_cleaned]]="closed",1,0)</f>
        <v>1</v>
      </c>
      <c r="T256" t="str">
        <f>TEXT(support_tickets[[#This Row],[opened_at]],"mmm yyyy")</f>
        <v>May 2024</v>
      </c>
      <c r="U256">
        <f>YEAR(support_tickets[[#This Row],[opened_at]])*100+MONTH(support_tickets[[#This Row],[opened_at]])</f>
        <v>202405</v>
      </c>
      <c r="V256" s="29">
        <f>DATE(YEAR(support_tickets[[#This Row],[opened_at]]),MONTH(support_tickets[[#This Row],[opened_at]]),1)</f>
        <v>45413</v>
      </c>
    </row>
    <row r="257" spans="1:22">
      <c r="A257">
        <v>1212595084</v>
      </c>
      <c r="B257">
        <v>933428091</v>
      </c>
      <c r="C257" t="s">
        <v>120</v>
      </c>
      <c r="D257" t="s">
        <v>121</v>
      </c>
      <c r="E257">
        <v>60929647</v>
      </c>
      <c r="G257" s="1">
        <v>46027.689606481479</v>
      </c>
      <c r="H257" s="1">
        <v>46027.761828703704</v>
      </c>
      <c r="I257" t="s">
        <v>56</v>
      </c>
      <c r="J257" t="s">
        <v>86</v>
      </c>
      <c r="K257" t="s">
        <v>20</v>
      </c>
      <c r="L257" t="s">
        <v>21</v>
      </c>
      <c r="M257">
        <v>3</v>
      </c>
      <c r="N257">
        <v>104</v>
      </c>
      <c r="O257">
        <v>0</v>
      </c>
      <c r="P257" t="s">
        <v>87</v>
      </c>
      <c r="Q257">
        <v>39</v>
      </c>
      <c r="R257" t="s">
        <v>39</v>
      </c>
      <c r="S257">
        <f>IF(support_tickets[[#This Row],[status_cleaned]]="closed",1,0)</f>
        <v>1</v>
      </c>
      <c r="T257" t="str">
        <f>TEXT(support_tickets[[#This Row],[opened_at]],"mmm yyyy")</f>
        <v>Jan 2026</v>
      </c>
      <c r="U257">
        <f>YEAR(support_tickets[[#This Row],[opened_at]])*100+MONTH(support_tickets[[#This Row],[opened_at]])</f>
        <v>202601</v>
      </c>
      <c r="V257" s="29">
        <f>DATE(YEAR(support_tickets[[#This Row],[opened_at]]),MONTH(support_tickets[[#This Row],[opened_at]]),1)</f>
        <v>46023</v>
      </c>
    </row>
    <row r="258" spans="1:22">
      <c r="A258">
        <v>1217592499</v>
      </c>
      <c r="B258">
        <v>778556450</v>
      </c>
      <c r="C258" t="s">
        <v>124</v>
      </c>
      <c r="D258" t="s">
        <v>125</v>
      </c>
      <c r="E258">
        <v>10435578</v>
      </c>
      <c r="G258" s="1">
        <v>45799.354826388888</v>
      </c>
      <c r="H258" s="1">
        <v>45799.540937500002</v>
      </c>
      <c r="I258" t="s">
        <v>43</v>
      </c>
      <c r="J258" t="s">
        <v>86</v>
      </c>
      <c r="K258" t="s">
        <v>20</v>
      </c>
      <c r="L258" t="s">
        <v>21</v>
      </c>
      <c r="M258">
        <v>3</v>
      </c>
      <c r="N258">
        <v>268</v>
      </c>
      <c r="O258">
        <v>0</v>
      </c>
      <c r="P258" t="s">
        <v>87</v>
      </c>
      <c r="Q258">
        <v>41</v>
      </c>
      <c r="R258" t="s">
        <v>39</v>
      </c>
      <c r="S258">
        <f>IF(support_tickets[[#This Row],[status_cleaned]]="closed",1,0)</f>
        <v>1</v>
      </c>
      <c r="T258" t="str">
        <f>TEXT(support_tickets[[#This Row],[opened_at]],"mmm yyyy")</f>
        <v>May 2025</v>
      </c>
      <c r="U258">
        <f>YEAR(support_tickets[[#This Row],[opened_at]])*100+MONTH(support_tickets[[#This Row],[opened_at]])</f>
        <v>202505</v>
      </c>
      <c r="V258" s="29">
        <f>DATE(YEAR(support_tickets[[#This Row],[opened_at]]),MONTH(support_tickets[[#This Row],[opened_at]]),1)</f>
        <v>45778</v>
      </c>
    </row>
    <row r="259" spans="1:22">
      <c r="A259">
        <v>1243376637</v>
      </c>
      <c r="B259">
        <v>797889971</v>
      </c>
      <c r="C259" t="s">
        <v>136</v>
      </c>
      <c r="D259" t="s">
        <v>137</v>
      </c>
      <c r="E259">
        <v>84252722</v>
      </c>
      <c r="G259" s="1">
        <v>46006.331018518518</v>
      </c>
      <c r="H259" s="1">
        <v>46006.457407407404</v>
      </c>
      <c r="I259" t="s">
        <v>43</v>
      </c>
      <c r="J259" t="s">
        <v>19</v>
      </c>
      <c r="K259" t="s">
        <v>20</v>
      </c>
      <c r="L259" t="s">
        <v>21</v>
      </c>
      <c r="M259">
        <v>6</v>
      </c>
      <c r="N259">
        <v>182</v>
      </c>
      <c r="O259">
        <v>0</v>
      </c>
      <c r="P259" t="s">
        <v>22</v>
      </c>
      <c r="Q259">
        <v>47</v>
      </c>
      <c r="R259" t="s">
        <v>39</v>
      </c>
      <c r="S259">
        <f>IF(support_tickets[[#This Row],[status_cleaned]]="closed",1,0)</f>
        <v>1</v>
      </c>
      <c r="T259" t="str">
        <f>TEXT(support_tickets[[#This Row],[opened_at]],"mmm yyyy")</f>
        <v>Dec 2025</v>
      </c>
      <c r="U259">
        <f>YEAR(support_tickets[[#This Row],[opened_at]])*100+MONTH(support_tickets[[#This Row],[opened_at]])</f>
        <v>202512</v>
      </c>
      <c r="V259" s="29">
        <f>DATE(YEAR(support_tickets[[#This Row],[opened_at]]),MONTH(support_tickets[[#This Row],[opened_at]]),1)</f>
        <v>45992</v>
      </c>
    </row>
    <row r="260" spans="1:22">
      <c r="A260">
        <v>1244869229</v>
      </c>
      <c r="B260">
        <v>511086777</v>
      </c>
      <c r="C260" t="s">
        <v>138</v>
      </c>
      <c r="D260" t="s">
        <v>139</v>
      </c>
      <c r="E260">
        <v>46231783</v>
      </c>
      <c r="G260" s="1">
        <v>45781.726423611108</v>
      </c>
      <c r="H260" s="1">
        <v>45782.068784722222</v>
      </c>
      <c r="I260" t="s">
        <v>56</v>
      </c>
      <c r="J260" t="s">
        <v>19</v>
      </c>
      <c r="K260" t="s">
        <v>20</v>
      </c>
      <c r="L260" t="s">
        <v>21</v>
      </c>
      <c r="M260">
        <v>51</v>
      </c>
      <c r="N260">
        <v>493</v>
      </c>
      <c r="O260">
        <v>0</v>
      </c>
      <c r="P260" t="s">
        <v>22</v>
      </c>
      <c r="Q260">
        <v>48</v>
      </c>
      <c r="R260" t="s">
        <v>39</v>
      </c>
      <c r="S260">
        <f>IF(support_tickets[[#This Row],[status_cleaned]]="closed",1,0)</f>
        <v>1</v>
      </c>
      <c r="T260" t="str">
        <f>TEXT(support_tickets[[#This Row],[opened_at]],"mmm yyyy")</f>
        <v>May 2025</v>
      </c>
      <c r="U260">
        <f>YEAR(support_tickets[[#This Row],[opened_at]])*100+MONTH(support_tickets[[#This Row],[opened_at]])</f>
        <v>202505</v>
      </c>
      <c r="V260" s="29">
        <f>DATE(YEAR(support_tickets[[#This Row],[opened_at]]),MONTH(support_tickets[[#This Row],[opened_at]]),1)</f>
        <v>45778</v>
      </c>
    </row>
    <row r="261" spans="1:22">
      <c r="A261">
        <v>1359553016</v>
      </c>
      <c r="B261">
        <v>202418976</v>
      </c>
      <c r="C261" t="s">
        <v>166</v>
      </c>
      <c r="D261" t="s">
        <v>167</v>
      </c>
      <c r="E261">
        <v>38317637</v>
      </c>
      <c r="G261" s="1">
        <v>45945.222777777781</v>
      </c>
      <c r="H261" s="1">
        <v>45945.701944444445</v>
      </c>
      <c r="I261" t="s">
        <v>43</v>
      </c>
      <c r="J261" t="s">
        <v>30</v>
      </c>
      <c r="K261" t="s">
        <v>20</v>
      </c>
      <c r="L261" t="s">
        <v>21</v>
      </c>
      <c r="M261">
        <v>11</v>
      </c>
      <c r="N261">
        <v>690</v>
      </c>
      <c r="O261">
        <v>0</v>
      </c>
      <c r="P261" t="s">
        <v>31</v>
      </c>
      <c r="Q261">
        <v>65</v>
      </c>
      <c r="R261" t="s">
        <v>39</v>
      </c>
      <c r="S261">
        <f>IF(support_tickets[[#This Row],[status_cleaned]]="closed",1,0)</f>
        <v>1</v>
      </c>
      <c r="T261" t="str">
        <f>TEXT(support_tickets[[#This Row],[opened_at]],"mmm yyyy")</f>
        <v>Oct 2025</v>
      </c>
      <c r="U261">
        <f>YEAR(support_tickets[[#This Row],[opened_at]])*100+MONTH(support_tickets[[#This Row],[opened_at]])</f>
        <v>202510</v>
      </c>
      <c r="V261" s="29">
        <f>DATE(YEAR(support_tickets[[#This Row],[opened_at]]),MONTH(support_tickets[[#This Row],[opened_at]]),1)</f>
        <v>45931</v>
      </c>
    </row>
    <row r="262" spans="1:22">
      <c r="A262">
        <v>1390493265</v>
      </c>
      <c r="B262">
        <v>672817675</v>
      </c>
      <c r="C262" t="s">
        <v>176</v>
      </c>
      <c r="D262" t="s">
        <v>177</v>
      </c>
      <c r="E262">
        <v>58537831</v>
      </c>
      <c r="F262">
        <v>7892193329</v>
      </c>
      <c r="G262" s="1">
        <v>45552.990081018521</v>
      </c>
      <c r="H262" s="1">
        <v>45553.200497685182</v>
      </c>
      <c r="I262" t="s">
        <v>18</v>
      </c>
      <c r="J262" t="s">
        <v>30</v>
      </c>
      <c r="K262" t="s">
        <v>20</v>
      </c>
      <c r="L262" t="s">
        <v>21</v>
      </c>
      <c r="M262">
        <v>44</v>
      </c>
      <c r="N262">
        <v>303</v>
      </c>
      <c r="O262">
        <v>0</v>
      </c>
      <c r="P262" t="s">
        <v>31</v>
      </c>
      <c r="Q262">
        <v>70</v>
      </c>
      <c r="R262" t="s">
        <v>39</v>
      </c>
      <c r="S262">
        <f>IF(support_tickets[[#This Row],[status_cleaned]]="closed",1,0)</f>
        <v>1</v>
      </c>
      <c r="T262" t="str">
        <f>TEXT(support_tickets[[#This Row],[opened_at]],"mmm yyyy")</f>
        <v>Sep 2024</v>
      </c>
      <c r="U262">
        <f>YEAR(support_tickets[[#This Row],[opened_at]])*100+MONTH(support_tickets[[#This Row],[opened_at]])</f>
        <v>202409</v>
      </c>
      <c r="V262" s="29">
        <f>DATE(YEAR(support_tickets[[#This Row],[opened_at]]),MONTH(support_tickets[[#This Row],[opened_at]]),1)</f>
        <v>45536</v>
      </c>
    </row>
    <row r="263" spans="1:22">
      <c r="A263">
        <v>1404589321</v>
      </c>
      <c r="B263">
        <v>368018471</v>
      </c>
      <c r="C263" t="s">
        <v>180</v>
      </c>
      <c r="D263" t="s">
        <v>181</v>
      </c>
      <c r="E263">
        <v>45264581</v>
      </c>
      <c r="G263" s="1">
        <v>45804.082488425927</v>
      </c>
      <c r="H263" s="1">
        <v>45804.391516203701</v>
      </c>
      <c r="I263" t="s">
        <v>46</v>
      </c>
      <c r="J263" t="s">
        <v>59</v>
      </c>
      <c r="K263" t="s">
        <v>20</v>
      </c>
      <c r="L263" t="s">
        <v>21</v>
      </c>
      <c r="M263">
        <v>41</v>
      </c>
      <c r="N263">
        <v>445</v>
      </c>
      <c r="O263">
        <v>0</v>
      </c>
      <c r="P263" t="s">
        <v>61</v>
      </c>
      <c r="Q263">
        <v>72</v>
      </c>
      <c r="R263" t="s">
        <v>39</v>
      </c>
      <c r="S263">
        <f>IF(support_tickets[[#This Row],[status_cleaned]]="closed",1,0)</f>
        <v>1</v>
      </c>
      <c r="T263" t="str">
        <f>TEXT(support_tickets[[#This Row],[opened_at]],"mmm yyyy")</f>
        <v>May 2025</v>
      </c>
      <c r="U263">
        <f>YEAR(support_tickets[[#This Row],[opened_at]])*100+MONTH(support_tickets[[#This Row],[opened_at]])</f>
        <v>202505</v>
      </c>
      <c r="V263" s="29">
        <f>DATE(YEAR(support_tickets[[#This Row],[opened_at]]),MONTH(support_tickets[[#This Row],[opened_at]]),1)</f>
        <v>45778</v>
      </c>
    </row>
    <row r="264" spans="1:22">
      <c r="A264">
        <v>1454273119</v>
      </c>
      <c r="B264">
        <v>470585534</v>
      </c>
      <c r="C264" t="s">
        <v>190</v>
      </c>
      <c r="D264" t="s">
        <v>191</v>
      </c>
      <c r="E264">
        <v>52235350</v>
      </c>
      <c r="G264" s="1">
        <v>45753.441076388888</v>
      </c>
      <c r="H264" s="1">
        <v>45753.670937499999</v>
      </c>
      <c r="I264" t="s">
        <v>37</v>
      </c>
      <c r="J264" t="s">
        <v>86</v>
      </c>
      <c r="K264" t="s">
        <v>20</v>
      </c>
      <c r="L264" t="s">
        <v>21</v>
      </c>
      <c r="M264">
        <v>70</v>
      </c>
      <c r="N264">
        <v>331</v>
      </c>
      <c r="O264">
        <v>0</v>
      </c>
      <c r="P264" t="s">
        <v>87</v>
      </c>
      <c r="Q264">
        <v>78</v>
      </c>
      <c r="R264" t="s">
        <v>39</v>
      </c>
      <c r="S264">
        <f>IF(support_tickets[[#This Row],[status_cleaned]]="closed",1,0)</f>
        <v>1</v>
      </c>
      <c r="T264" t="str">
        <f>TEXT(support_tickets[[#This Row],[opened_at]],"mmm yyyy")</f>
        <v>Apr 2025</v>
      </c>
      <c r="U264">
        <f>YEAR(support_tickets[[#This Row],[opened_at]])*100+MONTH(support_tickets[[#This Row],[opened_at]])</f>
        <v>202504</v>
      </c>
      <c r="V264" s="29">
        <f>DATE(YEAR(support_tickets[[#This Row],[opened_at]]),MONTH(support_tickets[[#This Row],[opened_at]]),1)</f>
        <v>45748</v>
      </c>
    </row>
    <row r="265" spans="1:22">
      <c r="A265">
        <v>1466691861</v>
      </c>
      <c r="B265">
        <v>436824737</v>
      </c>
      <c r="C265" t="s">
        <v>194</v>
      </c>
      <c r="D265" t="s">
        <v>195</v>
      </c>
      <c r="E265">
        <v>82070937</v>
      </c>
      <c r="G265" s="1">
        <v>45599.110590277778</v>
      </c>
      <c r="H265" s="1">
        <v>45599.393923611111</v>
      </c>
      <c r="I265" t="s">
        <v>46</v>
      </c>
      <c r="J265" t="s">
        <v>59</v>
      </c>
      <c r="K265" t="s">
        <v>20</v>
      </c>
      <c r="L265" t="s">
        <v>21</v>
      </c>
      <c r="M265">
        <v>48</v>
      </c>
      <c r="N265">
        <v>408</v>
      </c>
      <c r="O265">
        <v>0</v>
      </c>
      <c r="P265" t="s">
        <v>61</v>
      </c>
      <c r="Q265">
        <v>80</v>
      </c>
      <c r="R265" t="s">
        <v>39</v>
      </c>
      <c r="S265">
        <f>IF(support_tickets[[#This Row],[status_cleaned]]="closed",1,0)</f>
        <v>1</v>
      </c>
      <c r="T265" t="str">
        <f>TEXT(support_tickets[[#This Row],[opened_at]],"mmm yyyy")</f>
        <v>Nov 2024</v>
      </c>
      <c r="U265">
        <f>YEAR(support_tickets[[#This Row],[opened_at]])*100+MONTH(support_tickets[[#This Row],[opened_at]])</f>
        <v>202411</v>
      </c>
      <c r="V265" s="29">
        <f>DATE(YEAR(support_tickets[[#This Row],[opened_at]]),MONTH(support_tickets[[#This Row],[opened_at]]),1)</f>
        <v>45597</v>
      </c>
    </row>
    <row r="266" spans="1:22">
      <c r="A266">
        <v>1481747323</v>
      </c>
      <c r="B266">
        <v>231680929</v>
      </c>
      <c r="C266" t="s">
        <v>202</v>
      </c>
      <c r="D266" t="s">
        <v>203</v>
      </c>
      <c r="E266">
        <v>42857966</v>
      </c>
      <c r="G266" s="1">
        <v>45659.017881944441</v>
      </c>
      <c r="H266" s="1">
        <v>45659.265104166669</v>
      </c>
      <c r="I266" t="s">
        <v>46</v>
      </c>
      <c r="J266" t="s">
        <v>25</v>
      </c>
      <c r="K266" t="s">
        <v>20</v>
      </c>
      <c r="L266" t="s">
        <v>21</v>
      </c>
      <c r="M266">
        <v>39</v>
      </c>
      <c r="N266">
        <v>356</v>
      </c>
      <c r="O266">
        <v>0</v>
      </c>
      <c r="P266" t="s">
        <v>27</v>
      </c>
      <c r="Q266">
        <v>84</v>
      </c>
      <c r="R266" t="s">
        <v>39</v>
      </c>
      <c r="S266">
        <f>IF(support_tickets[[#This Row],[status_cleaned]]="closed",1,0)</f>
        <v>1</v>
      </c>
      <c r="T266" t="str">
        <f>TEXT(support_tickets[[#This Row],[opened_at]],"mmm yyyy")</f>
        <v>Jan 2025</v>
      </c>
      <c r="U266">
        <f>YEAR(support_tickets[[#This Row],[opened_at]])*100+MONTH(support_tickets[[#This Row],[opened_at]])</f>
        <v>202501</v>
      </c>
      <c r="V266" s="29">
        <f>DATE(YEAR(support_tickets[[#This Row],[opened_at]]),MONTH(support_tickets[[#This Row],[opened_at]]),1)</f>
        <v>45658</v>
      </c>
    </row>
    <row r="267" spans="1:22">
      <c r="A267">
        <v>1607078287</v>
      </c>
      <c r="B267">
        <v>690554938</v>
      </c>
      <c r="C267" t="s">
        <v>240</v>
      </c>
      <c r="D267" t="s">
        <v>241</v>
      </c>
      <c r="E267">
        <v>45575298</v>
      </c>
      <c r="F267">
        <v>9949069966</v>
      </c>
      <c r="G267" s="1">
        <v>45673.274664351855</v>
      </c>
      <c r="H267" s="1">
        <v>45673.558692129627</v>
      </c>
      <c r="I267" t="s">
        <v>52</v>
      </c>
      <c r="J267" t="s">
        <v>19</v>
      </c>
      <c r="K267" t="s">
        <v>20</v>
      </c>
      <c r="L267" t="s">
        <v>21</v>
      </c>
      <c r="M267">
        <v>81</v>
      </c>
      <c r="N267">
        <v>409</v>
      </c>
      <c r="O267">
        <v>0</v>
      </c>
      <c r="P267" t="s">
        <v>22</v>
      </c>
      <c r="Q267">
        <v>106</v>
      </c>
      <c r="R267" t="s">
        <v>39</v>
      </c>
      <c r="S267">
        <f>IF(support_tickets[[#This Row],[status_cleaned]]="closed",1,0)</f>
        <v>1</v>
      </c>
      <c r="T267" t="str">
        <f>TEXT(support_tickets[[#This Row],[opened_at]],"mmm yyyy")</f>
        <v>Jan 2025</v>
      </c>
      <c r="U267">
        <f>YEAR(support_tickets[[#This Row],[opened_at]])*100+MONTH(support_tickets[[#This Row],[opened_at]])</f>
        <v>202501</v>
      </c>
      <c r="V267" s="29">
        <f>DATE(YEAR(support_tickets[[#This Row],[opened_at]]),MONTH(support_tickets[[#This Row],[opened_at]]),1)</f>
        <v>45658</v>
      </c>
    </row>
    <row r="268" spans="1:22">
      <c r="A268">
        <v>1677403680</v>
      </c>
      <c r="B268">
        <v>986485022</v>
      </c>
      <c r="C268" t="s">
        <v>264</v>
      </c>
      <c r="D268" t="s">
        <v>265</v>
      </c>
      <c r="E268">
        <v>98550256</v>
      </c>
      <c r="G268" s="1">
        <v>45463.32917824074</v>
      </c>
      <c r="H268" s="1">
        <v>45463.343761574077</v>
      </c>
      <c r="I268" t="s">
        <v>52</v>
      </c>
      <c r="J268" t="s">
        <v>86</v>
      </c>
      <c r="K268" t="s">
        <v>20</v>
      </c>
      <c r="L268" t="s">
        <v>21</v>
      </c>
      <c r="M268">
        <v>10</v>
      </c>
      <c r="N268">
        <v>21</v>
      </c>
      <c r="O268">
        <v>0</v>
      </c>
      <c r="P268" t="s">
        <v>87</v>
      </c>
      <c r="Q268">
        <v>119</v>
      </c>
      <c r="R268" t="s">
        <v>39</v>
      </c>
      <c r="S268">
        <f>IF(support_tickets[[#This Row],[status_cleaned]]="closed",1,0)</f>
        <v>1</v>
      </c>
      <c r="T268" t="str">
        <f>TEXT(support_tickets[[#This Row],[opened_at]],"mmm yyyy")</f>
        <v>Jun 2024</v>
      </c>
      <c r="U268">
        <f>YEAR(support_tickets[[#This Row],[opened_at]])*100+MONTH(support_tickets[[#This Row],[opened_at]])</f>
        <v>202406</v>
      </c>
      <c r="V268" s="29">
        <f>DATE(YEAR(support_tickets[[#This Row],[opened_at]]),MONTH(support_tickets[[#This Row],[opened_at]]),1)</f>
        <v>45444</v>
      </c>
    </row>
    <row r="269" spans="1:22">
      <c r="A269">
        <v>1706013949</v>
      </c>
      <c r="B269">
        <v>720286733</v>
      </c>
      <c r="C269" t="s">
        <v>274</v>
      </c>
      <c r="D269" t="s">
        <v>275</v>
      </c>
      <c r="E269">
        <v>47295260</v>
      </c>
      <c r="F269">
        <v>4883349761</v>
      </c>
      <c r="G269" s="1">
        <v>45340.748969907407</v>
      </c>
      <c r="H269" s="1">
        <v>45340.910081018519</v>
      </c>
      <c r="I269" t="s">
        <v>46</v>
      </c>
      <c r="J269" t="s">
        <v>19</v>
      </c>
      <c r="K269" t="s">
        <v>20</v>
      </c>
      <c r="L269" t="s">
        <v>21</v>
      </c>
      <c r="M269">
        <v>11</v>
      </c>
      <c r="N269">
        <v>232</v>
      </c>
      <c r="O269">
        <v>0</v>
      </c>
      <c r="P269" t="s">
        <v>22</v>
      </c>
      <c r="Q269">
        <v>125</v>
      </c>
      <c r="R269" t="s">
        <v>39</v>
      </c>
      <c r="S269">
        <f>IF(support_tickets[[#This Row],[status_cleaned]]="closed",1,0)</f>
        <v>1</v>
      </c>
      <c r="T269" t="str">
        <f>TEXT(support_tickets[[#This Row],[opened_at]],"mmm yyyy")</f>
        <v>Feb 2024</v>
      </c>
      <c r="U269">
        <f>YEAR(support_tickets[[#This Row],[opened_at]])*100+MONTH(support_tickets[[#This Row],[opened_at]])</f>
        <v>202402</v>
      </c>
      <c r="V269" s="29">
        <f>DATE(YEAR(support_tickets[[#This Row],[opened_at]]),MONTH(support_tickets[[#This Row],[opened_at]]),1)</f>
        <v>45323</v>
      </c>
    </row>
    <row r="270" spans="1:22">
      <c r="A270">
        <v>1726179892</v>
      </c>
      <c r="B270">
        <v>786069196</v>
      </c>
      <c r="C270" t="s">
        <v>284</v>
      </c>
      <c r="D270" t="s">
        <v>285</v>
      </c>
      <c r="E270">
        <v>95225343</v>
      </c>
      <c r="G270" s="1">
        <v>45963.059131944443</v>
      </c>
      <c r="H270" s="1">
        <v>45963.852881944447</v>
      </c>
      <c r="I270" t="s">
        <v>3</v>
      </c>
      <c r="J270" t="s">
        <v>19</v>
      </c>
      <c r="K270" t="s">
        <v>20</v>
      </c>
      <c r="L270" t="s">
        <v>21</v>
      </c>
      <c r="M270">
        <v>70</v>
      </c>
      <c r="N270">
        <v>1143</v>
      </c>
      <c r="O270">
        <v>0</v>
      </c>
      <c r="P270" t="s">
        <v>22</v>
      </c>
      <c r="Q270">
        <v>130</v>
      </c>
      <c r="R270" t="s">
        <v>39</v>
      </c>
      <c r="S270">
        <f>IF(support_tickets[[#This Row],[status_cleaned]]="closed",1,0)</f>
        <v>1</v>
      </c>
      <c r="T270" t="str">
        <f>TEXT(support_tickets[[#This Row],[opened_at]],"mmm yyyy")</f>
        <v>Nov 2025</v>
      </c>
      <c r="U270">
        <f>YEAR(support_tickets[[#This Row],[opened_at]])*100+MONTH(support_tickets[[#This Row],[opened_at]])</f>
        <v>202511</v>
      </c>
      <c r="V270" s="29">
        <f>DATE(YEAR(support_tickets[[#This Row],[opened_at]]),MONTH(support_tickets[[#This Row],[opened_at]]),1)</f>
        <v>45962</v>
      </c>
    </row>
    <row r="271" spans="1:22">
      <c r="A271">
        <v>1748961037</v>
      </c>
      <c r="B271">
        <v>811060614</v>
      </c>
      <c r="C271" t="s">
        <v>300</v>
      </c>
      <c r="D271" t="s">
        <v>301</v>
      </c>
      <c r="E271">
        <v>91756179</v>
      </c>
      <c r="G271" s="1">
        <v>45958.587766203702</v>
      </c>
      <c r="H271" s="1">
        <v>45958.821793981479</v>
      </c>
      <c r="I271" t="s">
        <v>18</v>
      </c>
      <c r="J271" t="s">
        <v>19</v>
      </c>
      <c r="K271" t="s">
        <v>20</v>
      </c>
      <c r="L271" t="s">
        <v>21</v>
      </c>
      <c r="M271">
        <v>58</v>
      </c>
      <c r="N271">
        <v>337</v>
      </c>
      <c r="O271">
        <v>0</v>
      </c>
      <c r="P271" t="s">
        <v>22</v>
      </c>
      <c r="Q271">
        <v>140</v>
      </c>
      <c r="R271" t="s">
        <v>39</v>
      </c>
      <c r="S271">
        <f>IF(support_tickets[[#This Row],[status_cleaned]]="closed",1,0)</f>
        <v>1</v>
      </c>
      <c r="T271" t="str">
        <f>TEXT(support_tickets[[#This Row],[opened_at]],"mmm yyyy")</f>
        <v>Oct 2025</v>
      </c>
      <c r="U271">
        <f>YEAR(support_tickets[[#This Row],[opened_at]])*100+MONTH(support_tickets[[#This Row],[opened_at]])</f>
        <v>202510</v>
      </c>
      <c r="V271" s="29">
        <f>DATE(YEAR(support_tickets[[#This Row],[opened_at]]),MONTH(support_tickets[[#This Row],[opened_at]]),1)</f>
        <v>45931</v>
      </c>
    </row>
    <row r="272" spans="1:22">
      <c r="A272">
        <v>1872627976</v>
      </c>
      <c r="B272">
        <v>861639583</v>
      </c>
      <c r="C272" t="s">
        <v>164</v>
      </c>
      <c r="D272" t="s">
        <v>165</v>
      </c>
      <c r="E272">
        <v>12614124</v>
      </c>
      <c r="F272">
        <v>1756367883</v>
      </c>
      <c r="G272" s="1">
        <v>45710.42765046296</v>
      </c>
      <c r="H272" s="1">
        <v>45710.832511574074</v>
      </c>
      <c r="I272" t="s">
        <v>46</v>
      </c>
      <c r="J272" t="s">
        <v>38</v>
      </c>
      <c r="K272" t="s">
        <v>20</v>
      </c>
      <c r="L272" t="s">
        <v>21</v>
      </c>
      <c r="M272">
        <v>16</v>
      </c>
      <c r="N272">
        <v>583</v>
      </c>
      <c r="O272">
        <v>0</v>
      </c>
      <c r="P272" t="s">
        <v>40</v>
      </c>
      <c r="Q272">
        <v>170</v>
      </c>
      <c r="R272" t="s">
        <v>39</v>
      </c>
      <c r="S272">
        <f>IF(support_tickets[[#This Row],[status_cleaned]]="closed",1,0)</f>
        <v>1</v>
      </c>
      <c r="T272" t="str">
        <f>TEXT(support_tickets[[#This Row],[opened_at]],"mmm yyyy")</f>
        <v>Feb 2025</v>
      </c>
      <c r="U272">
        <f>YEAR(support_tickets[[#This Row],[opened_at]])*100+MONTH(support_tickets[[#This Row],[opened_at]])</f>
        <v>202502</v>
      </c>
      <c r="V272" s="29">
        <f>DATE(YEAR(support_tickets[[#This Row],[opened_at]]),MONTH(support_tickets[[#This Row],[opened_at]]),1)</f>
        <v>45689</v>
      </c>
    </row>
    <row r="273" spans="1:22">
      <c r="A273">
        <v>1879120113</v>
      </c>
      <c r="B273">
        <v>717452511</v>
      </c>
      <c r="C273" t="s">
        <v>352</v>
      </c>
      <c r="D273" t="s">
        <v>353</v>
      </c>
      <c r="E273">
        <v>13561597</v>
      </c>
      <c r="F273">
        <v>1595132228</v>
      </c>
      <c r="G273" s="1">
        <v>45453.404282407406</v>
      </c>
      <c r="H273" s="1">
        <v>45453.591087962966</v>
      </c>
      <c r="I273" t="s">
        <v>43</v>
      </c>
      <c r="J273" t="s">
        <v>38</v>
      </c>
      <c r="K273" t="s">
        <v>20</v>
      </c>
      <c r="L273" t="s">
        <v>21</v>
      </c>
      <c r="M273">
        <v>42</v>
      </c>
      <c r="N273">
        <v>269</v>
      </c>
      <c r="O273">
        <v>0</v>
      </c>
      <c r="P273" t="s">
        <v>40</v>
      </c>
      <c r="Q273">
        <v>174</v>
      </c>
      <c r="R273" t="s">
        <v>39</v>
      </c>
      <c r="S273">
        <f>IF(support_tickets[[#This Row],[status_cleaned]]="closed",1,0)</f>
        <v>1</v>
      </c>
      <c r="T273" t="str">
        <f>TEXT(support_tickets[[#This Row],[opened_at]],"mmm yyyy")</f>
        <v>Jun 2024</v>
      </c>
      <c r="U273">
        <f>YEAR(support_tickets[[#This Row],[opened_at]])*100+MONTH(support_tickets[[#This Row],[opened_at]])</f>
        <v>202406</v>
      </c>
      <c r="V273" s="29">
        <f>DATE(YEAR(support_tickets[[#This Row],[opened_at]]),MONTH(support_tickets[[#This Row],[opened_at]]),1)</f>
        <v>45444</v>
      </c>
    </row>
    <row r="274" spans="1:22">
      <c r="A274">
        <v>1919058248</v>
      </c>
      <c r="B274">
        <v>470838810</v>
      </c>
      <c r="C274" t="s">
        <v>364</v>
      </c>
      <c r="D274" t="s">
        <v>365</v>
      </c>
      <c r="E274">
        <v>41244663</v>
      </c>
      <c r="G274" s="1">
        <v>45411.033564814818</v>
      </c>
      <c r="H274" s="1">
        <v>45411.253703703704</v>
      </c>
      <c r="I274" t="s">
        <v>43</v>
      </c>
      <c r="J274" t="s">
        <v>59</v>
      </c>
      <c r="K274" t="s">
        <v>20</v>
      </c>
      <c r="L274" t="s">
        <v>21</v>
      </c>
      <c r="M274">
        <v>7</v>
      </c>
      <c r="N274">
        <v>317</v>
      </c>
      <c r="O274">
        <v>0</v>
      </c>
      <c r="P274" t="s">
        <v>61</v>
      </c>
      <c r="Q274">
        <v>181</v>
      </c>
      <c r="R274" t="s">
        <v>39</v>
      </c>
      <c r="S274">
        <f>IF(support_tickets[[#This Row],[status_cleaned]]="closed",1,0)</f>
        <v>1</v>
      </c>
      <c r="T274" t="str">
        <f>TEXT(support_tickets[[#This Row],[opened_at]],"mmm yyyy")</f>
        <v>Apr 2024</v>
      </c>
      <c r="U274">
        <f>YEAR(support_tickets[[#This Row],[opened_at]])*100+MONTH(support_tickets[[#This Row],[opened_at]])</f>
        <v>202404</v>
      </c>
      <c r="V274" s="29">
        <f>DATE(YEAR(support_tickets[[#This Row],[opened_at]]),MONTH(support_tickets[[#This Row],[opened_at]]),1)</f>
        <v>45383</v>
      </c>
    </row>
    <row r="275" spans="1:22">
      <c r="A275">
        <v>2072768331</v>
      </c>
      <c r="B275">
        <v>583564328</v>
      </c>
      <c r="C275" t="s">
        <v>406</v>
      </c>
      <c r="D275" t="s">
        <v>407</v>
      </c>
      <c r="E275">
        <v>86149359</v>
      </c>
      <c r="G275" s="1">
        <v>45778.860069444447</v>
      </c>
      <c r="H275" s="1">
        <v>45779.099652777775</v>
      </c>
      <c r="I275" t="s">
        <v>37</v>
      </c>
      <c r="J275" t="s">
        <v>25</v>
      </c>
      <c r="K275" t="s">
        <v>20</v>
      </c>
      <c r="L275" t="s">
        <v>21</v>
      </c>
      <c r="M275">
        <v>51</v>
      </c>
      <c r="N275">
        <v>345</v>
      </c>
      <c r="O275">
        <v>0</v>
      </c>
      <c r="P275" t="s">
        <v>27</v>
      </c>
      <c r="Q275">
        <v>205</v>
      </c>
      <c r="R275" t="s">
        <v>39</v>
      </c>
      <c r="S275">
        <f>IF(support_tickets[[#This Row],[status_cleaned]]="closed",1,0)</f>
        <v>1</v>
      </c>
      <c r="T275" t="str">
        <f>TEXT(support_tickets[[#This Row],[opened_at]],"mmm yyyy")</f>
        <v>May 2025</v>
      </c>
      <c r="U275">
        <f>YEAR(support_tickets[[#This Row],[opened_at]])*100+MONTH(support_tickets[[#This Row],[opened_at]])</f>
        <v>202505</v>
      </c>
      <c r="V275" s="29">
        <f>DATE(YEAR(support_tickets[[#This Row],[opened_at]]),MONTH(support_tickets[[#This Row],[opened_at]]),1)</f>
        <v>45778</v>
      </c>
    </row>
    <row r="276" spans="1:22">
      <c r="A276">
        <v>2243876683</v>
      </c>
      <c r="B276">
        <v>394801573</v>
      </c>
      <c r="C276" t="s">
        <v>442</v>
      </c>
      <c r="D276" t="s">
        <v>443</v>
      </c>
      <c r="E276">
        <v>30513739</v>
      </c>
      <c r="G276" s="1">
        <v>45716.18854166667</v>
      </c>
      <c r="H276" s="1">
        <v>45716.716319444444</v>
      </c>
      <c r="I276" t="s">
        <v>43</v>
      </c>
      <c r="J276" t="s">
        <v>19</v>
      </c>
      <c r="K276" t="s">
        <v>20</v>
      </c>
      <c r="L276" t="s">
        <v>21</v>
      </c>
      <c r="M276">
        <v>6</v>
      </c>
      <c r="N276">
        <v>760</v>
      </c>
      <c r="O276">
        <v>0</v>
      </c>
      <c r="P276" t="s">
        <v>22</v>
      </c>
      <c r="Q276">
        <v>228</v>
      </c>
      <c r="R276" t="s">
        <v>39</v>
      </c>
      <c r="S276">
        <f>IF(support_tickets[[#This Row],[status_cleaned]]="closed",1,0)</f>
        <v>1</v>
      </c>
      <c r="T276" t="str">
        <f>TEXT(support_tickets[[#This Row],[opened_at]],"mmm yyyy")</f>
        <v>Feb 2025</v>
      </c>
      <c r="U276">
        <f>YEAR(support_tickets[[#This Row],[opened_at]])*100+MONTH(support_tickets[[#This Row],[opened_at]])</f>
        <v>202502</v>
      </c>
      <c r="V276" s="29">
        <f>DATE(YEAR(support_tickets[[#This Row],[opened_at]]),MONTH(support_tickets[[#This Row],[opened_at]]),1)</f>
        <v>45689</v>
      </c>
    </row>
    <row r="277" spans="1:22">
      <c r="A277">
        <v>2253858705</v>
      </c>
      <c r="B277">
        <v>540639384</v>
      </c>
      <c r="C277" t="s">
        <v>446</v>
      </c>
      <c r="D277" t="s">
        <v>447</v>
      </c>
      <c r="E277">
        <v>42868828</v>
      </c>
      <c r="G277" s="1">
        <v>46001.957673611112</v>
      </c>
      <c r="H277" s="1">
        <v>46002.192395833335</v>
      </c>
      <c r="I277" t="s">
        <v>46</v>
      </c>
      <c r="J277" t="s">
        <v>38</v>
      </c>
      <c r="K277" t="s">
        <v>20</v>
      </c>
      <c r="L277" t="s">
        <v>21</v>
      </c>
      <c r="M277">
        <v>69</v>
      </c>
      <c r="N277">
        <v>338</v>
      </c>
      <c r="O277">
        <v>0</v>
      </c>
      <c r="P277" t="s">
        <v>40</v>
      </c>
      <c r="Q277">
        <v>230</v>
      </c>
      <c r="R277" t="s">
        <v>39</v>
      </c>
      <c r="S277">
        <f>IF(support_tickets[[#This Row],[status_cleaned]]="closed",1,0)</f>
        <v>1</v>
      </c>
      <c r="T277" t="str">
        <f>TEXT(support_tickets[[#This Row],[opened_at]],"mmm yyyy")</f>
        <v>Dec 2025</v>
      </c>
      <c r="U277">
        <f>YEAR(support_tickets[[#This Row],[opened_at]])*100+MONTH(support_tickets[[#This Row],[opened_at]])</f>
        <v>202512</v>
      </c>
      <c r="V277" s="29">
        <f>DATE(YEAR(support_tickets[[#This Row],[opened_at]]),MONTH(support_tickets[[#This Row],[opened_at]]),1)</f>
        <v>45992</v>
      </c>
    </row>
    <row r="278" spans="1:22">
      <c r="A278">
        <v>2261002469</v>
      </c>
      <c r="B278">
        <v>730104453</v>
      </c>
      <c r="C278" t="s">
        <v>218</v>
      </c>
      <c r="D278" t="s">
        <v>219</v>
      </c>
      <c r="E278">
        <v>82340307</v>
      </c>
      <c r="F278">
        <v>2462222211</v>
      </c>
      <c r="G278" s="1">
        <v>45940.868611111109</v>
      </c>
      <c r="H278" s="1">
        <v>45941.172777777778</v>
      </c>
      <c r="I278" t="s">
        <v>43</v>
      </c>
      <c r="J278" t="s">
        <v>19</v>
      </c>
      <c r="K278" t="s">
        <v>20</v>
      </c>
      <c r="L278" t="s">
        <v>21</v>
      </c>
      <c r="M278">
        <v>45</v>
      </c>
      <c r="N278">
        <v>438</v>
      </c>
      <c r="O278">
        <v>0</v>
      </c>
      <c r="P278" t="s">
        <v>22</v>
      </c>
      <c r="Q278">
        <v>235</v>
      </c>
      <c r="R278" t="s">
        <v>39</v>
      </c>
      <c r="S278">
        <f>IF(support_tickets[[#This Row],[status_cleaned]]="closed",1,0)</f>
        <v>1</v>
      </c>
      <c r="T278" t="str">
        <f>TEXT(support_tickets[[#This Row],[opened_at]],"mmm yyyy")</f>
        <v>Oct 2025</v>
      </c>
      <c r="U278">
        <f>YEAR(support_tickets[[#This Row],[opened_at]])*100+MONTH(support_tickets[[#This Row],[opened_at]])</f>
        <v>202510</v>
      </c>
      <c r="V278" s="29">
        <f>DATE(YEAR(support_tickets[[#This Row],[opened_at]]),MONTH(support_tickets[[#This Row],[opened_at]]),1)</f>
        <v>45931</v>
      </c>
    </row>
    <row r="279" spans="1:22">
      <c r="A279">
        <v>2265551829</v>
      </c>
      <c r="B279">
        <v>786973497</v>
      </c>
      <c r="C279" t="s">
        <v>452</v>
      </c>
      <c r="D279" t="s">
        <v>453</v>
      </c>
      <c r="E279">
        <v>53524491</v>
      </c>
      <c r="F279">
        <v>2062994474</v>
      </c>
      <c r="G279" s="1">
        <v>45507.490057870367</v>
      </c>
      <c r="H279" s="1">
        <v>45507.553252314814</v>
      </c>
      <c r="I279" t="s">
        <v>56</v>
      </c>
      <c r="J279" t="s">
        <v>59</v>
      </c>
      <c r="K279" t="s">
        <v>20</v>
      </c>
      <c r="L279" t="s">
        <v>21</v>
      </c>
      <c r="M279">
        <v>6</v>
      </c>
      <c r="N279">
        <v>91</v>
      </c>
      <c r="O279">
        <v>0</v>
      </c>
      <c r="P279" t="s">
        <v>61</v>
      </c>
      <c r="Q279">
        <v>236</v>
      </c>
      <c r="R279" t="s">
        <v>39</v>
      </c>
      <c r="S279">
        <f>IF(support_tickets[[#This Row],[status_cleaned]]="closed",1,0)</f>
        <v>1</v>
      </c>
      <c r="T279" t="str">
        <f>TEXT(support_tickets[[#This Row],[opened_at]],"mmm yyyy")</f>
        <v>Aug 2024</v>
      </c>
      <c r="U279">
        <f>YEAR(support_tickets[[#This Row],[opened_at]])*100+MONTH(support_tickets[[#This Row],[opened_at]])</f>
        <v>202408</v>
      </c>
      <c r="V279" s="29">
        <f>DATE(YEAR(support_tickets[[#This Row],[opened_at]]),MONTH(support_tickets[[#This Row],[opened_at]]),1)</f>
        <v>45505</v>
      </c>
    </row>
    <row r="280" spans="1:22">
      <c r="A280">
        <v>2285642016</v>
      </c>
      <c r="B280">
        <v>579182105</v>
      </c>
      <c r="C280" t="s">
        <v>456</v>
      </c>
      <c r="D280" t="s">
        <v>457</v>
      </c>
      <c r="E280">
        <v>61642594</v>
      </c>
      <c r="G280" s="1">
        <v>45423.723993055559</v>
      </c>
      <c r="H280" s="1">
        <v>45424.103854166664</v>
      </c>
      <c r="I280" t="s">
        <v>18</v>
      </c>
      <c r="J280" t="s">
        <v>59</v>
      </c>
      <c r="K280" t="s">
        <v>20</v>
      </c>
      <c r="L280" t="s">
        <v>21</v>
      </c>
      <c r="M280">
        <v>8</v>
      </c>
      <c r="N280">
        <v>547</v>
      </c>
      <c r="O280">
        <v>0</v>
      </c>
      <c r="P280" t="s">
        <v>61</v>
      </c>
      <c r="Q280">
        <v>238</v>
      </c>
      <c r="R280" t="s">
        <v>39</v>
      </c>
      <c r="S280">
        <f>IF(support_tickets[[#This Row],[status_cleaned]]="closed",1,0)</f>
        <v>1</v>
      </c>
      <c r="T280" t="str">
        <f>TEXT(support_tickets[[#This Row],[opened_at]],"mmm yyyy")</f>
        <v>May 2024</v>
      </c>
      <c r="U280">
        <f>YEAR(support_tickets[[#This Row],[opened_at]])*100+MONTH(support_tickets[[#This Row],[opened_at]])</f>
        <v>202405</v>
      </c>
      <c r="V280" s="29">
        <f>DATE(YEAR(support_tickets[[#This Row],[opened_at]]),MONTH(support_tickets[[#This Row],[opened_at]]),1)</f>
        <v>45413</v>
      </c>
    </row>
    <row r="281" spans="1:22">
      <c r="A281">
        <v>2401265666</v>
      </c>
      <c r="B281">
        <v>606382505</v>
      </c>
      <c r="C281" t="s">
        <v>482</v>
      </c>
      <c r="D281" t="s">
        <v>483</v>
      </c>
      <c r="E281">
        <v>58966946</v>
      </c>
      <c r="G281" s="1">
        <v>45614.935011574074</v>
      </c>
      <c r="H281" s="1">
        <v>45615.068344907406</v>
      </c>
      <c r="I281" t="s">
        <v>3</v>
      </c>
      <c r="J281" t="s">
        <v>86</v>
      </c>
      <c r="K281" t="s">
        <v>20</v>
      </c>
      <c r="L281" t="s">
        <v>21</v>
      </c>
      <c r="M281">
        <v>24</v>
      </c>
      <c r="N281">
        <v>192</v>
      </c>
      <c r="O281">
        <v>0</v>
      </c>
      <c r="P281" t="s">
        <v>87</v>
      </c>
      <c r="Q281">
        <v>256</v>
      </c>
      <c r="R281" t="s">
        <v>39</v>
      </c>
      <c r="S281">
        <f>IF(support_tickets[[#This Row],[status_cleaned]]="closed",1,0)</f>
        <v>1</v>
      </c>
      <c r="T281" t="str">
        <f>TEXT(support_tickets[[#This Row],[opened_at]],"mmm yyyy")</f>
        <v>Nov 2024</v>
      </c>
      <c r="U281">
        <f>YEAR(support_tickets[[#This Row],[opened_at]])*100+MONTH(support_tickets[[#This Row],[opened_at]])</f>
        <v>202411</v>
      </c>
      <c r="V281" s="29">
        <f>DATE(YEAR(support_tickets[[#This Row],[opened_at]]),MONTH(support_tickets[[#This Row],[opened_at]]),1)</f>
        <v>45597</v>
      </c>
    </row>
    <row r="282" spans="1:22">
      <c r="A282">
        <v>2419888806</v>
      </c>
      <c r="B282">
        <v>179634081</v>
      </c>
      <c r="C282" t="s">
        <v>486</v>
      </c>
      <c r="D282" t="s">
        <v>487</v>
      </c>
      <c r="E282">
        <v>13999315</v>
      </c>
      <c r="G282" s="1">
        <v>45983.265729166669</v>
      </c>
      <c r="H282" s="1">
        <v>45983.590729166666</v>
      </c>
      <c r="I282" t="s">
        <v>52</v>
      </c>
      <c r="J282" t="s">
        <v>86</v>
      </c>
      <c r="K282" t="s">
        <v>20</v>
      </c>
      <c r="L282" t="s">
        <v>21</v>
      </c>
      <c r="M282">
        <v>20</v>
      </c>
      <c r="N282">
        <v>468</v>
      </c>
      <c r="O282">
        <v>0</v>
      </c>
      <c r="P282" t="s">
        <v>87</v>
      </c>
      <c r="Q282">
        <v>258</v>
      </c>
      <c r="R282" t="s">
        <v>39</v>
      </c>
      <c r="S282">
        <f>IF(support_tickets[[#This Row],[status_cleaned]]="closed",1,0)</f>
        <v>1</v>
      </c>
      <c r="T282" t="str">
        <f>TEXT(support_tickets[[#This Row],[opened_at]],"mmm yyyy")</f>
        <v>Nov 2025</v>
      </c>
      <c r="U282">
        <f>YEAR(support_tickets[[#This Row],[opened_at]])*100+MONTH(support_tickets[[#This Row],[opened_at]])</f>
        <v>202511</v>
      </c>
      <c r="V282" s="29">
        <f>DATE(YEAR(support_tickets[[#This Row],[opened_at]]),MONTH(support_tickets[[#This Row],[opened_at]]),1)</f>
        <v>45962</v>
      </c>
    </row>
    <row r="283" spans="1:22">
      <c r="A283">
        <v>2474731513</v>
      </c>
      <c r="B283">
        <v>459748735</v>
      </c>
      <c r="C283" t="s">
        <v>258</v>
      </c>
      <c r="D283" t="s">
        <v>259</v>
      </c>
      <c r="E283">
        <v>63843426</v>
      </c>
      <c r="G283" s="1">
        <v>46069.229768518519</v>
      </c>
      <c r="H283" s="1">
        <v>46069.611018518517</v>
      </c>
      <c r="I283" t="s">
        <v>18</v>
      </c>
      <c r="J283" t="s">
        <v>25</v>
      </c>
      <c r="K283" t="s">
        <v>20</v>
      </c>
      <c r="L283" t="s">
        <v>21</v>
      </c>
      <c r="M283">
        <v>28</v>
      </c>
      <c r="N283">
        <v>549</v>
      </c>
      <c r="O283">
        <v>0</v>
      </c>
      <c r="P283" t="s">
        <v>27</v>
      </c>
      <c r="Q283">
        <v>269</v>
      </c>
      <c r="R283" t="s">
        <v>39</v>
      </c>
      <c r="S283">
        <f>IF(support_tickets[[#This Row],[status_cleaned]]="closed",1,0)</f>
        <v>1</v>
      </c>
      <c r="T283" t="str">
        <f>TEXT(support_tickets[[#This Row],[opened_at]],"mmm yyyy")</f>
        <v>Feb 2026</v>
      </c>
      <c r="U283">
        <f>YEAR(support_tickets[[#This Row],[opened_at]])*100+MONTH(support_tickets[[#This Row],[opened_at]])</f>
        <v>202602</v>
      </c>
      <c r="V283" s="29">
        <f>DATE(YEAR(support_tickets[[#This Row],[opened_at]]),MONTH(support_tickets[[#This Row],[opened_at]]),1)</f>
        <v>46054</v>
      </c>
    </row>
    <row r="284" spans="1:22">
      <c r="A284">
        <v>2531187247</v>
      </c>
      <c r="B284">
        <v>758276886</v>
      </c>
      <c r="C284" t="s">
        <v>516</v>
      </c>
      <c r="D284" t="s">
        <v>517</v>
      </c>
      <c r="E284">
        <v>33978249</v>
      </c>
      <c r="G284" s="1">
        <v>45893.086122685185</v>
      </c>
      <c r="H284" s="1">
        <v>45893.520844907405</v>
      </c>
      <c r="I284" t="s">
        <v>56</v>
      </c>
      <c r="J284" t="s">
        <v>30</v>
      </c>
      <c r="K284" t="s">
        <v>20</v>
      </c>
      <c r="L284" t="s">
        <v>21</v>
      </c>
      <c r="M284">
        <v>59</v>
      </c>
      <c r="N284">
        <v>626</v>
      </c>
      <c r="O284">
        <v>0</v>
      </c>
      <c r="P284" t="s">
        <v>31</v>
      </c>
      <c r="Q284">
        <v>279</v>
      </c>
      <c r="R284" t="s">
        <v>39</v>
      </c>
      <c r="S284">
        <f>IF(support_tickets[[#This Row],[status_cleaned]]="closed",1,0)</f>
        <v>1</v>
      </c>
      <c r="T284" t="str">
        <f>TEXT(support_tickets[[#This Row],[opened_at]],"mmm yyyy")</f>
        <v>Aug 2025</v>
      </c>
      <c r="U284">
        <f>YEAR(support_tickets[[#This Row],[opened_at]])*100+MONTH(support_tickets[[#This Row],[opened_at]])</f>
        <v>202508</v>
      </c>
      <c r="V284" s="29">
        <f>DATE(YEAR(support_tickets[[#This Row],[opened_at]]),MONTH(support_tickets[[#This Row],[opened_at]]),1)</f>
        <v>45870</v>
      </c>
    </row>
    <row r="285" spans="1:22">
      <c r="A285">
        <v>2563276537</v>
      </c>
      <c r="B285">
        <v>717294720</v>
      </c>
      <c r="C285" t="s">
        <v>308</v>
      </c>
      <c r="D285" t="s">
        <v>309</v>
      </c>
      <c r="E285">
        <v>88461803</v>
      </c>
      <c r="G285" s="1">
        <v>46027.100092592591</v>
      </c>
      <c r="H285" s="1">
        <v>46027.197314814817</v>
      </c>
      <c r="I285" t="s">
        <v>52</v>
      </c>
      <c r="J285" t="s">
        <v>38</v>
      </c>
      <c r="K285" t="s">
        <v>20</v>
      </c>
      <c r="L285" t="s">
        <v>21</v>
      </c>
      <c r="M285">
        <v>11</v>
      </c>
      <c r="N285">
        <v>140</v>
      </c>
      <c r="O285">
        <v>0</v>
      </c>
      <c r="P285" t="s">
        <v>40</v>
      </c>
      <c r="Q285">
        <v>284</v>
      </c>
      <c r="R285" t="s">
        <v>39</v>
      </c>
      <c r="S285">
        <f>IF(support_tickets[[#This Row],[status_cleaned]]="closed",1,0)</f>
        <v>1</v>
      </c>
      <c r="T285" t="str">
        <f>TEXT(support_tickets[[#This Row],[opened_at]],"mmm yyyy")</f>
        <v>Jan 2026</v>
      </c>
      <c r="U285">
        <f>YEAR(support_tickets[[#This Row],[opened_at]])*100+MONTH(support_tickets[[#This Row],[opened_at]])</f>
        <v>202601</v>
      </c>
      <c r="V285" s="29">
        <f>DATE(YEAR(support_tickets[[#This Row],[opened_at]]),MONTH(support_tickets[[#This Row],[opened_at]]),1)</f>
        <v>46023</v>
      </c>
    </row>
    <row r="286" spans="1:22">
      <c r="A286">
        <v>2611370734</v>
      </c>
      <c r="B286">
        <v>139019611</v>
      </c>
      <c r="C286" t="s">
        <v>530</v>
      </c>
      <c r="D286" t="s">
        <v>531</v>
      </c>
      <c r="E286">
        <v>36998038</v>
      </c>
      <c r="F286">
        <v>4400156805</v>
      </c>
      <c r="G286" s="1">
        <v>45931.356458333335</v>
      </c>
      <c r="H286" s="1">
        <v>45931.653680555559</v>
      </c>
      <c r="I286" t="s">
        <v>18</v>
      </c>
      <c r="J286" t="s">
        <v>59</v>
      </c>
      <c r="K286" t="s">
        <v>20</v>
      </c>
      <c r="L286" t="s">
        <v>21</v>
      </c>
      <c r="M286">
        <v>22</v>
      </c>
      <c r="N286">
        <v>428</v>
      </c>
      <c r="O286">
        <v>0</v>
      </c>
      <c r="P286" t="s">
        <v>61</v>
      </c>
      <c r="Q286">
        <v>289</v>
      </c>
      <c r="R286" t="s">
        <v>39</v>
      </c>
      <c r="S286">
        <f>IF(support_tickets[[#This Row],[status_cleaned]]="closed",1,0)</f>
        <v>1</v>
      </c>
      <c r="T286" t="str">
        <f>TEXT(support_tickets[[#This Row],[opened_at]],"mmm yyyy")</f>
        <v>Oct 2025</v>
      </c>
      <c r="U286">
        <f>YEAR(support_tickets[[#This Row],[opened_at]])*100+MONTH(support_tickets[[#This Row],[opened_at]])</f>
        <v>202510</v>
      </c>
      <c r="V286" s="29">
        <f>DATE(YEAR(support_tickets[[#This Row],[opened_at]]),MONTH(support_tickets[[#This Row],[opened_at]]),1)</f>
        <v>45931</v>
      </c>
    </row>
    <row r="287" spans="1:22">
      <c r="A287">
        <v>2694016689</v>
      </c>
      <c r="B287">
        <v>539625898</v>
      </c>
      <c r="C287" t="s">
        <v>546</v>
      </c>
      <c r="D287" t="s">
        <v>547</v>
      </c>
      <c r="E287">
        <v>68353204</v>
      </c>
      <c r="F287">
        <v>3374969448</v>
      </c>
      <c r="G287" s="1">
        <v>45588.049398148149</v>
      </c>
      <c r="H287" s="1">
        <v>45588.325787037036</v>
      </c>
      <c r="I287" t="s">
        <v>52</v>
      </c>
      <c r="J287" t="s">
        <v>19</v>
      </c>
      <c r="K287" t="s">
        <v>20</v>
      </c>
      <c r="L287" t="s">
        <v>21</v>
      </c>
      <c r="M287">
        <v>54</v>
      </c>
      <c r="N287">
        <v>398</v>
      </c>
      <c r="O287">
        <v>0</v>
      </c>
      <c r="P287" t="s">
        <v>22</v>
      </c>
      <c r="Q287">
        <v>302</v>
      </c>
      <c r="R287" t="s">
        <v>39</v>
      </c>
      <c r="S287">
        <f>IF(support_tickets[[#This Row],[status_cleaned]]="closed",1,0)</f>
        <v>1</v>
      </c>
      <c r="T287" t="str">
        <f>TEXT(support_tickets[[#This Row],[opened_at]],"mmm yyyy")</f>
        <v>Oct 2024</v>
      </c>
      <c r="U287">
        <f>YEAR(support_tickets[[#This Row],[opened_at]])*100+MONTH(support_tickets[[#This Row],[opened_at]])</f>
        <v>202410</v>
      </c>
      <c r="V287" s="29">
        <f>DATE(YEAR(support_tickets[[#This Row],[opened_at]]),MONTH(support_tickets[[#This Row],[opened_at]]),1)</f>
        <v>45566</v>
      </c>
    </row>
    <row r="288" spans="1:22">
      <c r="A288">
        <v>2717149150</v>
      </c>
      <c r="B288">
        <v>152246275</v>
      </c>
      <c r="C288" t="s">
        <v>552</v>
      </c>
      <c r="D288" t="s">
        <v>553</v>
      </c>
      <c r="E288">
        <v>40742311</v>
      </c>
      <c r="G288" s="1">
        <v>45531.911631944444</v>
      </c>
      <c r="H288" s="1">
        <v>45532.366493055553</v>
      </c>
      <c r="I288" t="s">
        <v>43</v>
      </c>
      <c r="J288" t="s">
        <v>38</v>
      </c>
      <c r="K288" t="s">
        <v>20</v>
      </c>
      <c r="L288" t="s">
        <v>21</v>
      </c>
      <c r="M288">
        <v>17</v>
      </c>
      <c r="N288">
        <v>655</v>
      </c>
      <c r="O288">
        <v>0</v>
      </c>
      <c r="P288" t="s">
        <v>40</v>
      </c>
      <c r="Q288">
        <v>306</v>
      </c>
      <c r="R288" t="s">
        <v>39</v>
      </c>
      <c r="S288">
        <f>IF(support_tickets[[#This Row],[status_cleaned]]="closed",1,0)</f>
        <v>1</v>
      </c>
      <c r="T288" t="str">
        <f>TEXT(support_tickets[[#This Row],[opened_at]],"mmm yyyy")</f>
        <v>Aug 2024</v>
      </c>
      <c r="U288">
        <f>YEAR(support_tickets[[#This Row],[opened_at]])*100+MONTH(support_tickets[[#This Row],[opened_at]])</f>
        <v>202408</v>
      </c>
      <c r="V288" s="29">
        <f>DATE(YEAR(support_tickets[[#This Row],[opened_at]]),MONTH(support_tickets[[#This Row],[opened_at]]),1)</f>
        <v>45505</v>
      </c>
    </row>
    <row r="289" spans="1:22">
      <c r="A289">
        <v>2724208527</v>
      </c>
      <c r="B289">
        <v>115122787</v>
      </c>
      <c r="C289" t="s">
        <v>558</v>
      </c>
      <c r="D289" t="s">
        <v>559</v>
      </c>
      <c r="E289">
        <v>55667651</v>
      </c>
      <c r="F289">
        <v>1021537349</v>
      </c>
      <c r="G289" s="1">
        <v>45853.070949074077</v>
      </c>
      <c r="H289" s="1">
        <v>45853.520254629628</v>
      </c>
      <c r="I289" t="s">
        <v>46</v>
      </c>
      <c r="J289" t="s">
        <v>19</v>
      </c>
      <c r="K289" t="s">
        <v>20</v>
      </c>
      <c r="L289" t="s">
        <v>21</v>
      </c>
      <c r="M289">
        <v>10</v>
      </c>
      <c r="N289">
        <v>647</v>
      </c>
      <c r="O289">
        <v>0</v>
      </c>
      <c r="P289" t="s">
        <v>22</v>
      </c>
      <c r="Q289">
        <v>309</v>
      </c>
      <c r="R289" t="s">
        <v>39</v>
      </c>
      <c r="S289">
        <f>IF(support_tickets[[#This Row],[status_cleaned]]="closed",1,0)</f>
        <v>1</v>
      </c>
      <c r="T289" t="str">
        <f>TEXT(support_tickets[[#This Row],[opened_at]],"mmm yyyy")</f>
        <v>Jul 2025</v>
      </c>
      <c r="U289">
        <f>YEAR(support_tickets[[#This Row],[opened_at]])*100+MONTH(support_tickets[[#This Row],[opened_at]])</f>
        <v>202507</v>
      </c>
      <c r="V289" s="29">
        <f>DATE(YEAR(support_tickets[[#This Row],[opened_at]]),MONTH(support_tickets[[#This Row],[opened_at]]),1)</f>
        <v>45839</v>
      </c>
    </row>
    <row r="290" spans="1:22">
      <c r="A290">
        <v>2782157530</v>
      </c>
      <c r="B290">
        <v>358480413</v>
      </c>
      <c r="C290" t="s">
        <v>572</v>
      </c>
      <c r="D290" t="s">
        <v>573</v>
      </c>
      <c r="E290">
        <v>10872248</v>
      </c>
      <c r="G290" s="1">
        <v>45414.808229166665</v>
      </c>
      <c r="H290" s="1">
        <v>45415.520729166667</v>
      </c>
      <c r="I290" t="s">
        <v>46</v>
      </c>
      <c r="J290" t="s">
        <v>25</v>
      </c>
      <c r="K290" t="s">
        <v>20</v>
      </c>
      <c r="L290" t="s">
        <v>21</v>
      </c>
      <c r="M290">
        <v>44</v>
      </c>
      <c r="N290">
        <v>1026</v>
      </c>
      <c r="O290">
        <v>0</v>
      </c>
      <c r="P290" t="s">
        <v>27</v>
      </c>
      <c r="Q290">
        <v>320</v>
      </c>
      <c r="R290" t="s">
        <v>39</v>
      </c>
      <c r="S290">
        <f>IF(support_tickets[[#This Row],[status_cleaned]]="closed",1,0)</f>
        <v>1</v>
      </c>
      <c r="T290" t="str">
        <f>TEXT(support_tickets[[#This Row],[opened_at]],"mmm yyyy")</f>
        <v>May 2024</v>
      </c>
      <c r="U290">
        <f>YEAR(support_tickets[[#This Row],[opened_at]])*100+MONTH(support_tickets[[#This Row],[opened_at]])</f>
        <v>202405</v>
      </c>
      <c r="V290" s="29">
        <f>DATE(YEAR(support_tickets[[#This Row],[opened_at]]),MONTH(support_tickets[[#This Row],[opened_at]]),1)</f>
        <v>45413</v>
      </c>
    </row>
    <row r="291" spans="1:22">
      <c r="A291">
        <v>2856265751</v>
      </c>
      <c r="B291">
        <v>683246764</v>
      </c>
      <c r="C291" t="s">
        <v>588</v>
      </c>
      <c r="D291" t="s">
        <v>589</v>
      </c>
      <c r="E291">
        <v>17774584</v>
      </c>
      <c r="G291" s="1">
        <v>45421.739131944443</v>
      </c>
      <c r="H291" s="1">
        <v>45422.041215277779</v>
      </c>
      <c r="I291" t="s">
        <v>18</v>
      </c>
      <c r="J291" t="s">
        <v>25</v>
      </c>
      <c r="K291" t="s">
        <v>20</v>
      </c>
      <c r="L291" t="s">
        <v>21</v>
      </c>
      <c r="M291">
        <v>32</v>
      </c>
      <c r="N291">
        <v>435</v>
      </c>
      <c r="O291">
        <v>0</v>
      </c>
      <c r="P291" t="s">
        <v>27</v>
      </c>
      <c r="Q291">
        <v>334</v>
      </c>
      <c r="R291" t="s">
        <v>39</v>
      </c>
      <c r="S291">
        <f>IF(support_tickets[[#This Row],[status_cleaned]]="closed",1,0)</f>
        <v>1</v>
      </c>
      <c r="T291" t="str">
        <f>TEXT(support_tickets[[#This Row],[opened_at]],"mmm yyyy")</f>
        <v>May 2024</v>
      </c>
      <c r="U291">
        <f>YEAR(support_tickets[[#This Row],[opened_at]])*100+MONTH(support_tickets[[#This Row],[opened_at]])</f>
        <v>202405</v>
      </c>
      <c r="V291" s="29">
        <f>DATE(YEAR(support_tickets[[#This Row],[opened_at]]),MONTH(support_tickets[[#This Row],[opened_at]]),1)</f>
        <v>45413</v>
      </c>
    </row>
    <row r="292" spans="1:22">
      <c r="A292">
        <v>2933731041</v>
      </c>
      <c r="B292">
        <v>855438611</v>
      </c>
      <c r="C292" t="s">
        <v>608</v>
      </c>
      <c r="D292" t="s">
        <v>609</v>
      </c>
      <c r="E292">
        <v>12614124</v>
      </c>
      <c r="G292" s="1">
        <v>45552.915844907409</v>
      </c>
      <c r="H292" s="1">
        <v>45553.477650462963</v>
      </c>
      <c r="I292" t="s">
        <v>3</v>
      </c>
      <c r="J292" t="s">
        <v>86</v>
      </c>
      <c r="K292" t="s">
        <v>20</v>
      </c>
      <c r="L292" t="s">
        <v>21</v>
      </c>
      <c r="M292">
        <v>48</v>
      </c>
      <c r="N292">
        <v>809</v>
      </c>
      <c r="O292">
        <v>0</v>
      </c>
      <c r="P292" t="s">
        <v>87</v>
      </c>
      <c r="Q292">
        <v>345</v>
      </c>
      <c r="R292" t="s">
        <v>39</v>
      </c>
      <c r="S292">
        <f>IF(support_tickets[[#This Row],[status_cleaned]]="closed",1,0)</f>
        <v>1</v>
      </c>
      <c r="T292" t="str">
        <f>TEXT(support_tickets[[#This Row],[opened_at]],"mmm yyyy")</f>
        <v>Sep 2024</v>
      </c>
      <c r="U292">
        <f>YEAR(support_tickets[[#This Row],[opened_at]])*100+MONTH(support_tickets[[#This Row],[opened_at]])</f>
        <v>202409</v>
      </c>
      <c r="V292" s="29">
        <f>DATE(YEAR(support_tickets[[#This Row],[opened_at]]),MONTH(support_tickets[[#This Row],[opened_at]]),1)</f>
        <v>45536</v>
      </c>
    </row>
    <row r="293" spans="1:22">
      <c r="A293">
        <v>2946855597</v>
      </c>
      <c r="B293">
        <v>494966219</v>
      </c>
      <c r="C293" t="s">
        <v>612</v>
      </c>
      <c r="D293" t="s">
        <v>613</v>
      </c>
      <c r="E293">
        <v>24716857</v>
      </c>
      <c r="G293" s="1">
        <v>45699.565150462964</v>
      </c>
      <c r="H293" s="1">
        <v>45699.660983796297</v>
      </c>
      <c r="I293" t="s">
        <v>37</v>
      </c>
      <c r="J293" t="s">
        <v>19</v>
      </c>
      <c r="K293" t="s">
        <v>20</v>
      </c>
      <c r="L293" t="s">
        <v>21</v>
      </c>
      <c r="M293">
        <v>45</v>
      </c>
      <c r="N293">
        <v>138</v>
      </c>
      <c r="O293">
        <v>0</v>
      </c>
      <c r="P293" t="s">
        <v>22</v>
      </c>
      <c r="Q293">
        <v>347</v>
      </c>
      <c r="R293" t="s">
        <v>39</v>
      </c>
      <c r="S293">
        <f>IF(support_tickets[[#This Row],[status_cleaned]]="closed",1,0)</f>
        <v>1</v>
      </c>
      <c r="T293" t="str">
        <f>TEXT(support_tickets[[#This Row],[opened_at]],"mmm yyyy")</f>
        <v>Feb 2025</v>
      </c>
      <c r="U293">
        <f>YEAR(support_tickets[[#This Row],[opened_at]])*100+MONTH(support_tickets[[#This Row],[opened_at]])</f>
        <v>202502</v>
      </c>
      <c r="V293" s="29">
        <f>DATE(YEAR(support_tickets[[#This Row],[opened_at]]),MONTH(support_tickets[[#This Row],[opened_at]]),1)</f>
        <v>45689</v>
      </c>
    </row>
    <row r="294" spans="1:22">
      <c r="A294">
        <v>3027671630</v>
      </c>
      <c r="B294">
        <v>582032731</v>
      </c>
      <c r="C294" t="s">
        <v>638</v>
      </c>
      <c r="D294" t="s">
        <v>639</v>
      </c>
      <c r="E294">
        <v>95758349</v>
      </c>
      <c r="G294" s="1">
        <v>45368.122175925928</v>
      </c>
      <c r="H294" s="1">
        <v>45368.19023148148</v>
      </c>
      <c r="I294" t="s">
        <v>18</v>
      </c>
      <c r="J294" t="s">
        <v>25</v>
      </c>
      <c r="K294" t="s">
        <v>20</v>
      </c>
      <c r="L294" t="s">
        <v>21</v>
      </c>
      <c r="M294">
        <v>13</v>
      </c>
      <c r="N294">
        <v>98</v>
      </c>
      <c r="O294">
        <v>0</v>
      </c>
      <c r="P294" t="s">
        <v>27</v>
      </c>
      <c r="Q294">
        <v>367</v>
      </c>
      <c r="R294" t="s">
        <v>39</v>
      </c>
      <c r="S294">
        <f>IF(support_tickets[[#This Row],[status_cleaned]]="closed",1,0)</f>
        <v>1</v>
      </c>
      <c r="T294" t="str">
        <f>TEXT(support_tickets[[#This Row],[opened_at]],"mmm yyyy")</f>
        <v>Mar 2024</v>
      </c>
      <c r="U294">
        <f>YEAR(support_tickets[[#This Row],[opened_at]])*100+MONTH(support_tickets[[#This Row],[opened_at]])</f>
        <v>202403</v>
      </c>
      <c r="V294" s="29">
        <f>DATE(YEAR(support_tickets[[#This Row],[opened_at]]),MONTH(support_tickets[[#This Row],[opened_at]]),1)</f>
        <v>45352</v>
      </c>
    </row>
    <row r="295" spans="1:22">
      <c r="A295">
        <v>3128647054</v>
      </c>
      <c r="B295">
        <v>786111573</v>
      </c>
      <c r="C295" t="s">
        <v>666</v>
      </c>
      <c r="D295" t="s">
        <v>667</v>
      </c>
      <c r="E295">
        <v>70897765</v>
      </c>
      <c r="G295" s="1">
        <v>45966.331967592596</v>
      </c>
      <c r="H295" s="1">
        <v>45966.413217592592</v>
      </c>
      <c r="I295" t="s">
        <v>52</v>
      </c>
      <c r="J295" t="s">
        <v>25</v>
      </c>
      <c r="K295" t="s">
        <v>20</v>
      </c>
      <c r="L295" t="s">
        <v>21</v>
      </c>
      <c r="M295">
        <v>90</v>
      </c>
      <c r="N295">
        <v>117</v>
      </c>
      <c r="O295">
        <v>0</v>
      </c>
      <c r="P295" t="s">
        <v>27</v>
      </c>
      <c r="Q295">
        <v>386</v>
      </c>
      <c r="R295" t="s">
        <v>39</v>
      </c>
      <c r="S295">
        <f>IF(support_tickets[[#This Row],[status_cleaned]]="closed",1,0)</f>
        <v>1</v>
      </c>
      <c r="T295" t="str">
        <f>TEXT(support_tickets[[#This Row],[opened_at]],"mmm yyyy")</f>
        <v>Nov 2025</v>
      </c>
      <c r="U295">
        <f>YEAR(support_tickets[[#This Row],[opened_at]])*100+MONTH(support_tickets[[#This Row],[opened_at]])</f>
        <v>202511</v>
      </c>
      <c r="V295" s="29">
        <f>DATE(YEAR(support_tickets[[#This Row],[opened_at]]),MONTH(support_tickets[[#This Row],[opened_at]]),1)</f>
        <v>45962</v>
      </c>
    </row>
    <row r="296" spans="1:22">
      <c r="A296">
        <v>3131117034</v>
      </c>
      <c r="B296">
        <v>636687537</v>
      </c>
      <c r="C296" t="s">
        <v>668</v>
      </c>
      <c r="D296" t="s">
        <v>669</v>
      </c>
      <c r="E296">
        <v>56164955</v>
      </c>
      <c r="G296" s="1">
        <v>45948.605243055557</v>
      </c>
      <c r="H296" s="1">
        <v>45948.795520833337</v>
      </c>
      <c r="I296" t="s">
        <v>46</v>
      </c>
      <c r="J296" t="s">
        <v>19</v>
      </c>
      <c r="K296" t="s">
        <v>20</v>
      </c>
      <c r="L296" t="s">
        <v>21</v>
      </c>
      <c r="M296">
        <v>25</v>
      </c>
      <c r="N296">
        <v>274</v>
      </c>
      <c r="O296">
        <v>0</v>
      </c>
      <c r="P296" t="s">
        <v>22</v>
      </c>
      <c r="Q296">
        <v>387</v>
      </c>
      <c r="R296" t="s">
        <v>39</v>
      </c>
      <c r="S296">
        <f>IF(support_tickets[[#This Row],[status_cleaned]]="closed",1,0)</f>
        <v>1</v>
      </c>
      <c r="T296" t="str">
        <f>TEXT(support_tickets[[#This Row],[opened_at]],"mmm yyyy")</f>
        <v>Oct 2025</v>
      </c>
      <c r="U296">
        <f>YEAR(support_tickets[[#This Row],[opened_at]])*100+MONTH(support_tickets[[#This Row],[opened_at]])</f>
        <v>202510</v>
      </c>
      <c r="V296" s="29">
        <f>DATE(YEAR(support_tickets[[#This Row],[opened_at]]),MONTH(support_tickets[[#This Row],[opened_at]]),1)</f>
        <v>45931</v>
      </c>
    </row>
    <row r="297" spans="1:22">
      <c r="A297">
        <v>3198412860</v>
      </c>
      <c r="B297">
        <v>960226208</v>
      </c>
      <c r="C297" t="s">
        <v>512</v>
      </c>
      <c r="D297" t="s">
        <v>513</v>
      </c>
      <c r="E297">
        <v>38538251</v>
      </c>
      <c r="G297" s="1">
        <v>45689.008391203701</v>
      </c>
      <c r="H297" s="1">
        <v>45689.379224537035</v>
      </c>
      <c r="I297" t="s">
        <v>18</v>
      </c>
      <c r="J297" t="s">
        <v>19</v>
      </c>
      <c r="K297" t="s">
        <v>20</v>
      </c>
      <c r="L297" t="s">
        <v>21</v>
      </c>
      <c r="M297">
        <v>26</v>
      </c>
      <c r="N297">
        <v>534</v>
      </c>
      <c r="O297">
        <v>0</v>
      </c>
      <c r="P297" t="s">
        <v>22</v>
      </c>
      <c r="Q297">
        <v>397</v>
      </c>
      <c r="R297" t="s">
        <v>39</v>
      </c>
      <c r="S297">
        <f>IF(support_tickets[[#This Row],[status_cleaned]]="closed",1,0)</f>
        <v>1</v>
      </c>
      <c r="T297" t="str">
        <f>TEXT(support_tickets[[#This Row],[opened_at]],"mmm yyyy")</f>
        <v>Feb 2025</v>
      </c>
      <c r="U297">
        <f>YEAR(support_tickets[[#This Row],[opened_at]])*100+MONTH(support_tickets[[#This Row],[opened_at]])</f>
        <v>202502</v>
      </c>
      <c r="V297" s="29">
        <f>DATE(YEAR(support_tickets[[#This Row],[opened_at]]),MONTH(support_tickets[[#This Row],[opened_at]]),1)</f>
        <v>45689</v>
      </c>
    </row>
    <row r="298" spans="1:22">
      <c r="A298">
        <v>3287663925</v>
      </c>
      <c r="B298">
        <v>286928799</v>
      </c>
      <c r="C298" t="s">
        <v>690</v>
      </c>
      <c r="D298" t="s">
        <v>691</v>
      </c>
      <c r="E298">
        <v>42138745</v>
      </c>
      <c r="F298">
        <v>2887022675</v>
      </c>
      <c r="G298" s="1">
        <v>45305.159722222219</v>
      </c>
      <c r="H298" s="1">
        <v>45305.315972222219</v>
      </c>
      <c r="I298" t="s">
        <v>46</v>
      </c>
      <c r="J298" t="s">
        <v>86</v>
      </c>
      <c r="K298" t="s">
        <v>20</v>
      </c>
      <c r="L298" t="s">
        <v>21</v>
      </c>
      <c r="M298">
        <v>55</v>
      </c>
      <c r="N298">
        <v>225</v>
      </c>
      <c r="O298">
        <v>0</v>
      </c>
      <c r="P298" t="s">
        <v>87</v>
      </c>
      <c r="Q298">
        <v>408</v>
      </c>
      <c r="R298" t="s">
        <v>39</v>
      </c>
      <c r="S298">
        <f>IF(support_tickets[[#This Row],[status_cleaned]]="closed",1,0)</f>
        <v>1</v>
      </c>
      <c r="T298" t="str">
        <f>TEXT(support_tickets[[#This Row],[opened_at]],"mmm yyyy")</f>
        <v>Jan 2024</v>
      </c>
      <c r="U298">
        <f>YEAR(support_tickets[[#This Row],[opened_at]])*100+MONTH(support_tickets[[#This Row],[opened_at]])</f>
        <v>202401</v>
      </c>
      <c r="V298" s="29">
        <f>DATE(YEAR(support_tickets[[#This Row],[opened_at]]),MONTH(support_tickets[[#This Row],[opened_at]]),1)</f>
        <v>45292</v>
      </c>
    </row>
    <row r="299" spans="1:22">
      <c r="A299">
        <v>3290435802</v>
      </c>
      <c r="B299">
        <v>634764290</v>
      </c>
      <c r="C299" t="s">
        <v>692</v>
      </c>
      <c r="D299" t="s">
        <v>693</v>
      </c>
      <c r="E299">
        <v>52235350</v>
      </c>
      <c r="G299" s="1">
        <v>45959.094826388886</v>
      </c>
      <c r="H299" s="1">
        <v>45959.180937500001</v>
      </c>
      <c r="I299" t="s">
        <v>18</v>
      </c>
      <c r="J299" t="s">
        <v>59</v>
      </c>
      <c r="K299" t="s">
        <v>20</v>
      </c>
      <c r="L299" t="s">
        <v>21</v>
      </c>
      <c r="M299">
        <v>44</v>
      </c>
      <c r="N299">
        <v>124</v>
      </c>
      <c r="O299">
        <v>0</v>
      </c>
      <c r="P299" t="s">
        <v>61</v>
      </c>
      <c r="Q299">
        <v>409</v>
      </c>
      <c r="R299" t="s">
        <v>39</v>
      </c>
      <c r="S299">
        <f>IF(support_tickets[[#This Row],[status_cleaned]]="closed",1,0)</f>
        <v>1</v>
      </c>
      <c r="T299" t="str">
        <f>TEXT(support_tickets[[#This Row],[opened_at]],"mmm yyyy")</f>
        <v>Oct 2025</v>
      </c>
      <c r="U299">
        <f>YEAR(support_tickets[[#This Row],[opened_at]])*100+MONTH(support_tickets[[#This Row],[opened_at]])</f>
        <v>202510</v>
      </c>
      <c r="V299" s="29">
        <f>DATE(YEAR(support_tickets[[#This Row],[opened_at]]),MONTH(support_tickets[[#This Row],[opened_at]]),1)</f>
        <v>45931</v>
      </c>
    </row>
    <row r="300" spans="1:22">
      <c r="A300">
        <v>3291925657</v>
      </c>
      <c r="B300">
        <v>202418976</v>
      </c>
      <c r="C300" t="s">
        <v>166</v>
      </c>
      <c r="D300" t="s">
        <v>167</v>
      </c>
      <c r="E300">
        <v>39476249</v>
      </c>
      <c r="G300" s="1">
        <v>45649.718194444446</v>
      </c>
      <c r="H300" s="1">
        <v>45649.88486111111</v>
      </c>
      <c r="I300" t="s">
        <v>56</v>
      </c>
      <c r="J300" t="s">
        <v>19</v>
      </c>
      <c r="K300" t="s">
        <v>20</v>
      </c>
      <c r="L300" t="s">
        <v>21</v>
      </c>
      <c r="M300">
        <v>9</v>
      </c>
      <c r="N300">
        <v>240</v>
      </c>
      <c r="O300">
        <v>0</v>
      </c>
      <c r="P300" t="s">
        <v>22</v>
      </c>
      <c r="Q300">
        <v>410</v>
      </c>
      <c r="R300" t="s">
        <v>39</v>
      </c>
      <c r="S300">
        <f>IF(support_tickets[[#This Row],[status_cleaned]]="closed",1,0)</f>
        <v>1</v>
      </c>
      <c r="T300" t="str">
        <f>TEXT(support_tickets[[#This Row],[opened_at]],"mmm yyyy")</f>
        <v>Dec 2024</v>
      </c>
      <c r="U300">
        <f>YEAR(support_tickets[[#This Row],[opened_at]])*100+MONTH(support_tickets[[#This Row],[opened_at]])</f>
        <v>202412</v>
      </c>
      <c r="V300" s="29">
        <f>DATE(YEAR(support_tickets[[#This Row],[opened_at]]),MONTH(support_tickets[[#This Row],[opened_at]]),1)</f>
        <v>45627</v>
      </c>
    </row>
    <row r="301" spans="1:22">
      <c r="A301">
        <v>3499676025</v>
      </c>
      <c r="B301">
        <v>918040539</v>
      </c>
      <c r="C301" t="s">
        <v>704</v>
      </c>
      <c r="D301" t="s">
        <v>705</v>
      </c>
      <c r="E301">
        <v>70855700</v>
      </c>
      <c r="F301">
        <v>9345116088</v>
      </c>
      <c r="G301" s="1">
        <v>45916.648379629631</v>
      </c>
      <c r="H301" s="1">
        <v>45916.708796296298</v>
      </c>
      <c r="I301" t="s">
        <v>52</v>
      </c>
      <c r="J301" t="s">
        <v>19</v>
      </c>
      <c r="K301" t="s">
        <v>20</v>
      </c>
      <c r="L301" t="s">
        <v>21</v>
      </c>
      <c r="M301">
        <v>73</v>
      </c>
      <c r="N301">
        <v>87</v>
      </c>
      <c r="O301">
        <v>0</v>
      </c>
      <c r="P301" t="s">
        <v>22</v>
      </c>
      <c r="Q301">
        <v>451</v>
      </c>
      <c r="R301" t="s">
        <v>39</v>
      </c>
      <c r="S301">
        <f>IF(support_tickets[[#This Row],[status_cleaned]]="closed",1,0)</f>
        <v>1</v>
      </c>
      <c r="T301" t="str">
        <f>TEXT(support_tickets[[#This Row],[opened_at]],"mmm yyyy")</f>
        <v>Sep 2025</v>
      </c>
      <c r="U301">
        <f>YEAR(support_tickets[[#This Row],[opened_at]])*100+MONTH(support_tickets[[#This Row],[opened_at]])</f>
        <v>202509</v>
      </c>
      <c r="V301" s="29">
        <f>DATE(YEAR(support_tickets[[#This Row],[opened_at]]),MONTH(support_tickets[[#This Row],[opened_at]]),1)</f>
        <v>45901</v>
      </c>
    </row>
    <row r="302" spans="1:22">
      <c r="A302">
        <v>3510378462</v>
      </c>
      <c r="B302">
        <v>968253265</v>
      </c>
      <c r="C302" t="s">
        <v>760</v>
      </c>
      <c r="D302" t="s">
        <v>761</v>
      </c>
      <c r="E302">
        <v>28740864</v>
      </c>
      <c r="G302" s="1">
        <v>45991.021724537037</v>
      </c>
      <c r="H302" s="1">
        <v>45991.16547453704</v>
      </c>
      <c r="I302" t="s">
        <v>56</v>
      </c>
      <c r="J302" t="s">
        <v>19</v>
      </c>
      <c r="K302" t="s">
        <v>20</v>
      </c>
      <c r="L302" t="s">
        <v>21</v>
      </c>
      <c r="M302">
        <v>27</v>
      </c>
      <c r="N302">
        <v>207</v>
      </c>
      <c r="O302">
        <v>0</v>
      </c>
      <c r="P302" t="s">
        <v>22</v>
      </c>
      <c r="Q302">
        <v>453</v>
      </c>
      <c r="R302" t="s">
        <v>39</v>
      </c>
      <c r="S302">
        <f>IF(support_tickets[[#This Row],[status_cleaned]]="closed",1,0)</f>
        <v>1</v>
      </c>
      <c r="T302" t="str">
        <f>TEXT(support_tickets[[#This Row],[opened_at]],"mmm yyyy")</f>
        <v>Nov 2025</v>
      </c>
      <c r="U302">
        <f>YEAR(support_tickets[[#This Row],[opened_at]])*100+MONTH(support_tickets[[#This Row],[opened_at]])</f>
        <v>202511</v>
      </c>
      <c r="V302" s="29">
        <f>DATE(YEAR(support_tickets[[#This Row],[opened_at]]),MONTH(support_tickets[[#This Row],[opened_at]]),1)</f>
        <v>45962</v>
      </c>
    </row>
    <row r="303" spans="1:22">
      <c r="A303">
        <v>3615585321</v>
      </c>
      <c r="B303">
        <v>546510829</v>
      </c>
      <c r="C303" t="s">
        <v>776</v>
      </c>
      <c r="D303" t="s">
        <v>777</v>
      </c>
      <c r="E303">
        <v>81971316</v>
      </c>
      <c r="G303" s="1">
        <v>46029.811203703706</v>
      </c>
      <c r="H303" s="1">
        <v>46030.250092592592</v>
      </c>
      <c r="I303" t="s">
        <v>52</v>
      </c>
      <c r="J303" t="s">
        <v>19</v>
      </c>
      <c r="K303" t="s">
        <v>20</v>
      </c>
      <c r="L303" t="s">
        <v>21</v>
      </c>
      <c r="M303">
        <v>23</v>
      </c>
      <c r="N303">
        <v>632</v>
      </c>
      <c r="O303">
        <v>0</v>
      </c>
      <c r="P303" t="s">
        <v>22</v>
      </c>
      <c r="Q303">
        <v>468</v>
      </c>
      <c r="R303" t="s">
        <v>39</v>
      </c>
      <c r="S303">
        <f>IF(support_tickets[[#This Row],[status_cleaned]]="closed",1,0)</f>
        <v>1</v>
      </c>
      <c r="T303" t="str">
        <f>TEXT(support_tickets[[#This Row],[opened_at]],"mmm yyyy")</f>
        <v>Jan 2026</v>
      </c>
      <c r="U303">
        <f>YEAR(support_tickets[[#This Row],[opened_at]])*100+MONTH(support_tickets[[#This Row],[opened_at]])</f>
        <v>202601</v>
      </c>
      <c r="V303" s="29">
        <f>DATE(YEAR(support_tickets[[#This Row],[opened_at]]),MONTH(support_tickets[[#This Row],[opened_at]]),1)</f>
        <v>46023</v>
      </c>
    </row>
    <row r="304" spans="1:22">
      <c r="A304">
        <v>3744964912</v>
      </c>
      <c r="B304">
        <v>539625898</v>
      </c>
      <c r="C304" t="s">
        <v>546</v>
      </c>
      <c r="D304" t="s">
        <v>547</v>
      </c>
      <c r="E304">
        <v>90801586</v>
      </c>
      <c r="G304" s="1">
        <v>45653.136030092595</v>
      </c>
      <c r="H304" s="1">
        <v>45653.56658564815</v>
      </c>
      <c r="I304" t="s">
        <v>37</v>
      </c>
      <c r="J304" t="s">
        <v>86</v>
      </c>
      <c r="K304" t="s">
        <v>20</v>
      </c>
      <c r="L304" t="s">
        <v>21</v>
      </c>
      <c r="M304">
        <v>25</v>
      </c>
      <c r="N304">
        <v>620</v>
      </c>
      <c r="O304">
        <v>0</v>
      </c>
      <c r="P304" t="s">
        <v>87</v>
      </c>
      <c r="Q304">
        <v>489</v>
      </c>
      <c r="R304" t="s">
        <v>39</v>
      </c>
      <c r="S304">
        <f>IF(support_tickets[[#This Row],[status_cleaned]]="closed",1,0)</f>
        <v>1</v>
      </c>
      <c r="T304" t="str">
        <f>TEXT(support_tickets[[#This Row],[opened_at]],"mmm yyyy")</f>
        <v>Dec 2024</v>
      </c>
      <c r="U304">
        <f>YEAR(support_tickets[[#This Row],[opened_at]])*100+MONTH(support_tickets[[#This Row],[opened_at]])</f>
        <v>202412</v>
      </c>
      <c r="V304" s="29">
        <f>DATE(YEAR(support_tickets[[#This Row],[opened_at]]),MONTH(support_tickets[[#This Row],[opened_at]]),1)</f>
        <v>45627</v>
      </c>
    </row>
    <row r="305" spans="1:22">
      <c r="A305">
        <v>3775060322</v>
      </c>
      <c r="B305">
        <v>585377142</v>
      </c>
      <c r="C305" t="s">
        <v>812</v>
      </c>
      <c r="D305" t="s">
        <v>813</v>
      </c>
      <c r="E305">
        <v>46913810</v>
      </c>
      <c r="F305">
        <v>2183089470</v>
      </c>
      <c r="G305" s="1">
        <v>45668.196226851855</v>
      </c>
      <c r="H305" s="1">
        <v>45668.337199074071</v>
      </c>
      <c r="I305" t="s">
        <v>37</v>
      </c>
      <c r="J305" t="s">
        <v>86</v>
      </c>
      <c r="K305" t="s">
        <v>20</v>
      </c>
      <c r="L305" t="s">
        <v>21</v>
      </c>
      <c r="M305">
        <v>41</v>
      </c>
      <c r="N305">
        <v>203</v>
      </c>
      <c r="O305">
        <v>0</v>
      </c>
      <c r="P305" t="s">
        <v>87</v>
      </c>
      <c r="Q305">
        <v>497</v>
      </c>
      <c r="R305" t="s">
        <v>39</v>
      </c>
      <c r="S305">
        <f>IF(support_tickets[[#This Row],[status_cleaned]]="closed",1,0)</f>
        <v>1</v>
      </c>
      <c r="T305" t="str">
        <f>TEXT(support_tickets[[#This Row],[opened_at]],"mmm yyyy")</f>
        <v>Jan 2025</v>
      </c>
      <c r="U305">
        <f>YEAR(support_tickets[[#This Row],[opened_at]])*100+MONTH(support_tickets[[#This Row],[opened_at]])</f>
        <v>202501</v>
      </c>
      <c r="V305" s="29">
        <f>DATE(YEAR(support_tickets[[#This Row],[opened_at]]),MONTH(support_tickets[[#This Row],[opened_at]]),1)</f>
        <v>45658</v>
      </c>
    </row>
    <row r="306" spans="1:22">
      <c r="A306">
        <v>3778912172</v>
      </c>
      <c r="B306">
        <v>778321204</v>
      </c>
      <c r="C306" t="s">
        <v>230</v>
      </c>
      <c r="D306" t="s">
        <v>231</v>
      </c>
      <c r="E306">
        <v>47338124</v>
      </c>
      <c r="F306">
        <v>7770680211</v>
      </c>
      <c r="G306" s="1">
        <v>45359.380636574075</v>
      </c>
      <c r="H306" s="1">
        <v>45359.510497685187</v>
      </c>
      <c r="I306" t="s">
        <v>37</v>
      </c>
      <c r="J306" t="s">
        <v>30</v>
      </c>
      <c r="K306" t="s">
        <v>20</v>
      </c>
      <c r="L306" t="s">
        <v>21</v>
      </c>
      <c r="M306">
        <v>37</v>
      </c>
      <c r="N306">
        <v>187</v>
      </c>
      <c r="O306">
        <v>0</v>
      </c>
      <c r="P306" t="s">
        <v>31</v>
      </c>
      <c r="Q306">
        <v>498</v>
      </c>
      <c r="R306" t="s">
        <v>39</v>
      </c>
      <c r="S306">
        <f>IF(support_tickets[[#This Row],[status_cleaned]]="closed",1,0)</f>
        <v>1</v>
      </c>
      <c r="T306" t="str">
        <f>TEXT(support_tickets[[#This Row],[opened_at]],"mmm yyyy")</f>
        <v>Mar 2024</v>
      </c>
      <c r="U306">
        <f>YEAR(support_tickets[[#This Row],[opened_at]])*100+MONTH(support_tickets[[#This Row],[opened_at]])</f>
        <v>202403</v>
      </c>
      <c r="V306" s="29">
        <f>DATE(YEAR(support_tickets[[#This Row],[opened_at]]),MONTH(support_tickets[[#This Row],[opened_at]]),1)</f>
        <v>45352</v>
      </c>
    </row>
    <row r="307" spans="1:22">
      <c r="A307">
        <v>3855588461</v>
      </c>
      <c r="B307">
        <v>301126777</v>
      </c>
      <c r="C307" t="s">
        <v>182</v>
      </c>
      <c r="D307" t="s">
        <v>183</v>
      </c>
      <c r="E307">
        <v>43744231</v>
      </c>
      <c r="G307" s="1">
        <v>45692.283020833333</v>
      </c>
      <c r="H307" s="1">
        <v>45692.438576388886</v>
      </c>
      <c r="I307" t="s">
        <v>56</v>
      </c>
      <c r="J307" t="s">
        <v>30</v>
      </c>
      <c r="K307" t="s">
        <v>20</v>
      </c>
      <c r="L307" t="s">
        <v>21</v>
      </c>
      <c r="M307">
        <v>38</v>
      </c>
      <c r="N307">
        <v>224</v>
      </c>
      <c r="O307">
        <v>0</v>
      </c>
      <c r="P307" t="s">
        <v>31</v>
      </c>
      <c r="Q307">
        <v>507</v>
      </c>
      <c r="R307" t="s">
        <v>39</v>
      </c>
      <c r="S307">
        <f>IF(support_tickets[[#This Row],[status_cleaned]]="closed",1,0)</f>
        <v>1</v>
      </c>
      <c r="T307" t="str">
        <f>TEXT(support_tickets[[#This Row],[opened_at]],"mmm yyyy")</f>
        <v>Feb 2025</v>
      </c>
      <c r="U307">
        <f>YEAR(support_tickets[[#This Row],[opened_at]])*100+MONTH(support_tickets[[#This Row],[opened_at]])</f>
        <v>202502</v>
      </c>
      <c r="V307" s="29">
        <f>DATE(YEAR(support_tickets[[#This Row],[opened_at]]),MONTH(support_tickets[[#This Row],[opened_at]]),1)</f>
        <v>45689</v>
      </c>
    </row>
    <row r="308" spans="1:22">
      <c r="A308">
        <v>3978929005</v>
      </c>
      <c r="B308">
        <v>867407868</v>
      </c>
      <c r="C308" t="s">
        <v>842</v>
      </c>
      <c r="D308" t="s">
        <v>843</v>
      </c>
      <c r="E308">
        <v>58537831</v>
      </c>
      <c r="G308" s="1">
        <v>45668.10491898148</v>
      </c>
      <c r="H308" s="1">
        <v>45668.356307870374</v>
      </c>
      <c r="I308" t="s">
        <v>37</v>
      </c>
      <c r="J308" t="s">
        <v>38</v>
      </c>
      <c r="K308" t="s">
        <v>20</v>
      </c>
      <c r="L308" t="s">
        <v>21</v>
      </c>
      <c r="M308">
        <v>13</v>
      </c>
      <c r="N308">
        <v>362</v>
      </c>
      <c r="O308">
        <v>0</v>
      </c>
      <c r="P308" t="s">
        <v>40</v>
      </c>
      <c r="Q308">
        <v>519</v>
      </c>
      <c r="R308" t="s">
        <v>39</v>
      </c>
      <c r="S308">
        <f>IF(support_tickets[[#This Row],[status_cleaned]]="closed",1,0)</f>
        <v>1</v>
      </c>
      <c r="T308" t="str">
        <f>TEXT(support_tickets[[#This Row],[opened_at]],"mmm yyyy")</f>
        <v>Jan 2025</v>
      </c>
      <c r="U308">
        <f>YEAR(support_tickets[[#This Row],[opened_at]])*100+MONTH(support_tickets[[#This Row],[opened_at]])</f>
        <v>202501</v>
      </c>
      <c r="V308" s="29">
        <f>DATE(YEAR(support_tickets[[#This Row],[opened_at]]),MONTH(support_tickets[[#This Row],[opened_at]]),1)</f>
        <v>45658</v>
      </c>
    </row>
    <row r="309" spans="1:22">
      <c r="A309">
        <v>4025007797</v>
      </c>
      <c r="B309">
        <v>365713980</v>
      </c>
      <c r="C309" t="s">
        <v>228</v>
      </c>
      <c r="D309" t="s">
        <v>229</v>
      </c>
      <c r="E309">
        <v>31429110</v>
      </c>
      <c r="F309">
        <v>8309328395</v>
      </c>
      <c r="G309" s="1">
        <v>45755.334131944444</v>
      </c>
      <c r="H309" s="1">
        <v>45755.927187499998</v>
      </c>
      <c r="I309" t="s">
        <v>56</v>
      </c>
      <c r="J309" t="s">
        <v>19</v>
      </c>
      <c r="K309" t="s">
        <v>20</v>
      </c>
      <c r="L309" t="s">
        <v>21</v>
      </c>
      <c r="M309">
        <v>48</v>
      </c>
      <c r="N309">
        <v>854</v>
      </c>
      <c r="O309">
        <v>0</v>
      </c>
      <c r="P309" t="s">
        <v>22</v>
      </c>
      <c r="Q309">
        <v>527</v>
      </c>
      <c r="R309" t="s">
        <v>39</v>
      </c>
      <c r="S309">
        <f>IF(support_tickets[[#This Row],[status_cleaned]]="closed",1,0)</f>
        <v>1</v>
      </c>
      <c r="T309" t="str">
        <f>TEXT(support_tickets[[#This Row],[opened_at]],"mmm yyyy")</f>
        <v>Apr 2025</v>
      </c>
      <c r="U309">
        <f>YEAR(support_tickets[[#This Row],[opened_at]])*100+MONTH(support_tickets[[#This Row],[opened_at]])</f>
        <v>202504</v>
      </c>
      <c r="V309" s="29">
        <f>DATE(YEAR(support_tickets[[#This Row],[opened_at]]),MONTH(support_tickets[[#This Row],[opened_at]]),1)</f>
        <v>45748</v>
      </c>
    </row>
    <row r="310" spans="1:22">
      <c r="A310">
        <v>4032971926</v>
      </c>
      <c r="B310">
        <v>731130400</v>
      </c>
      <c r="C310" t="s">
        <v>390</v>
      </c>
      <c r="D310" t="s">
        <v>391</v>
      </c>
      <c r="E310">
        <v>45551614</v>
      </c>
      <c r="G310" s="1">
        <v>45713.97556712963</v>
      </c>
      <c r="H310" s="1">
        <v>45714.349178240744</v>
      </c>
      <c r="I310" t="s">
        <v>52</v>
      </c>
      <c r="J310" t="s">
        <v>38</v>
      </c>
      <c r="K310" t="s">
        <v>20</v>
      </c>
      <c r="L310" t="s">
        <v>21</v>
      </c>
      <c r="M310">
        <v>45</v>
      </c>
      <c r="N310">
        <v>538</v>
      </c>
      <c r="O310">
        <v>0</v>
      </c>
      <c r="P310" t="s">
        <v>40</v>
      </c>
      <c r="Q310">
        <v>529</v>
      </c>
      <c r="R310" t="s">
        <v>39</v>
      </c>
      <c r="S310">
        <f>IF(support_tickets[[#This Row],[status_cleaned]]="closed",1,0)</f>
        <v>1</v>
      </c>
      <c r="T310" t="str">
        <f>TEXT(support_tickets[[#This Row],[opened_at]],"mmm yyyy")</f>
        <v>Feb 2025</v>
      </c>
      <c r="U310">
        <f>YEAR(support_tickets[[#This Row],[opened_at]])*100+MONTH(support_tickets[[#This Row],[opened_at]])</f>
        <v>202502</v>
      </c>
      <c r="V310" s="29">
        <f>DATE(YEAR(support_tickets[[#This Row],[opened_at]]),MONTH(support_tickets[[#This Row],[opened_at]]),1)</f>
        <v>45689</v>
      </c>
    </row>
    <row r="311" spans="1:22">
      <c r="A311">
        <v>4096747609</v>
      </c>
      <c r="B311">
        <v>120405269</v>
      </c>
      <c r="C311" t="s">
        <v>862</v>
      </c>
      <c r="D311" t="s">
        <v>863</v>
      </c>
      <c r="E311">
        <v>13561597</v>
      </c>
      <c r="G311" s="1">
        <v>45645.6640162037</v>
      </c>
      <c r="H311" s="1">
        <v>45645.804293981484</v>
      </c>
      <c r="I311" t="s">
        <v>43</v>
      </c>
      <c r="J311" t="s">
        <v>30</v>
      </c>
      <c r="K311" t="s">
        <v>20</v>
      </c>
      <c r="L311" t="s">
        <v>21</v>
      </c>
      <c r="M311">
        <v>47</v>
      </c>
      <c r="N311">
        <v>202</v>
      </c>
      <c r="O311">
        <v>0</v>
      </c>
      <c r="P311" t="s">
        <v>31</v>
      </c>
      <c r="Q311">
        <v>535</v>
      </c>
      <c r="R311" t="s">
        <v>39</v>
      </c>
      <c r="S311">
        <f>IF(support_tickets[[#This Row],[status_cleaned]]="closed",1,0)</f>
        <v>1</v>
      </c>
      <c r="T311" t="str">
        <f>TEXT(support_tickets[[#This Row],[opened_at]],"mmm yyyy")</f>
        <v>Dec 2024</v>
      </c>
      <c r="U311">
        <f>YEAR(support_tickets[[#This Row],[opened_at]])*100+MONTH(support_tickets[[#This Row],[opened_at]])</f>
        <v>202412</v>
      </c>
      <c r="V311" s="29">
        <f>DATE(YEAR(support_tickets[[#This Row],[opened_at]]),MONTH(support_tickets[[#This Row],[opened_at]]),1)</f>
        <v>45627</v>
      </c>
    </row>
    <row r="312" spans="1:22">
      <c r="A312">
        <v>4250698831</v>
      </c>
      <c r="B312">
        <v>500718660</v>
      </c>
      <c r="C312" t="s">
        <v>694</v>
      </c>
      <c r="D312" t="s">
        <v>695</v>
      </c>
      <c r="E312">
        <v>85345555</v>
      </c>
      <c r="G312" s="1">
        <v>45980.439456018517</v>
      </c>
      <c r="H312" s="1">
        <v>45980.962372685186</v>
      </c>
      <c r="I312" t="s">
        <v>46</v>
      </c>
      <c r="J312" t="s">
        <v>86</v>
      </c>
      <c r="K312" t="s">
        <v>20</v>
      </c>
      <c r="L312" t="s">
        <v>21</v>
      </c>
      <c r="M312">
        <v>29</v>
      </c>
      <c r="N312">
        <v>753</v>
      </c>
      <c r="O312">
        <v>0</v>
      </c>
      <c r="P312" t="s">
        <v>87</v>
      </c>
      <c r="Q312">
        <v>560</v>
      </c>
      <c r="R312" t="s">
        <v>39</v>
      </c>
      <c r="S312">
        <f>IF(support_tickets[[#This Row],[status_cleaned]]="closed",1,0)</f>
        <v>1</v>
      </c>
      <c r="T312" t="str">
        <f>TEXT(support_tickets[[#This Row],[opened_at]],"mmm yyyy")</f>
        <v>Nov 2025</v>
      </c>
      <c r="U312">
        <f>YEAR(support_tickets[[#This Row],[opened_at]])*100+MONTH(support_tickets[[#This Row],[opened_at]])</f>
        <v>202511</v>
      </c>
      <c r="V312" s="29">
        <f>DATE(YEAR(support_tickets[[#This Row],[opened_at]]),MONTH(support_tickets[[#This Row],[opened_at]]),1)</f>
        <v>45962</v>
      </c>
    </row>
    <row r="313" spans="1:22">
      <c r="A313">
        <v>4388025609</v>
      </c>
      <c r="B313">
        <v>830261466</v>
      </c>
      <c r="C313" t="s">
        <v>918</v>
      </c>
      <c r="D313" t="s">
        <v>919</v>
      </c>
      <c r="E313">
        <v>95320121</v>
      </c>
      <c r="F313">
        <v>4898595925</v>
      </c>
      <c r="G313" s="1">
        <v>45981.694837962961</v>
      </c>
      <c r="H313" s="1">
        <v>45982.154560185183</v>
      </c>
      <c r="I313" t="s">
        <v>43</v>
      </c>
      <c r="J313" t="s">
        <v>59</v>
      </c>
      <c r="K313" t="s">
        <v>20</v>
      </c>
      <c r="L313" t="s">
        <v>21</v>
      </c>
      <c r="M313">
        <v>62</v>
      </c>
      <c r="N313">
        <v>662</v>
      </c>
      <c r="O313">
        <v>0</v>
      </c>
      <c r="P313" t="s">
        <v>61</v>
      </c>
      <c r="Q313">
        <v>587</v>
      </c>
      <c r="R313" t="s">
        <v>39</v>
      </c>
      <c r="S313">
        <f>IF(support_tickets[[#This Row],[status_cleaned]]="closed",1,0)</f>
        <v>1</v>
      </c>
      <c r="T313" t="str">
        <f>TEXT(support_tickets[[#This Row],[opened_at]],"mmm yyyy")</f>
        <v>Nov 2025</v>
      </c>
      <c r="U313">
        <f>YEAR(support_tickets[[#This Row],[opened_at]])*100+MONTH(support_tickets[[#This Row],[opened_at]])</f>
        <v>202511</v>
      </c>
      <c r="V313" s="29">
        <f>DATE(YEAR(support_tickets[[#This Row],[opened_at]]),MONTH(support_tickets[[#This Row],[opened_at]]),1)</f>
        <v>45962</v>
      </c>
    </row>
    <row r="314" spans="1:22">
      <c r="A314">
        <v>4394298135</v>
      </c>
      <c r="B314">
        <v>941599226</v>
      </c>
      <c r="C314" t="s">
        <v>396</v>
      </c>
      <c r="D314" t="s">
        <v>397</v>
      </c>
      <c r="E314">
        <v>91756179</v>
      </c>
      <c r="F314">
        <v>9804130816</v>
      </c>
      <c r="G314" s="1">
        <v>45441.865347222221</v>
      </c>
      <c r="H314" s="1">
        <v>45442.231319444443</v>
      </c>
      <c r="I314" t="s">
        <v>18</v>
      </c>
      <c r="J314" t="s">
        <v>38</v>
      </c>
      <c r="K314" t="s">
        <v>20</v>
      </c>
      <c r="L314" t="s">
        <v>21</v>
      </c>
      <c r="M314">
        <v>24</v>
      </c>
      <c r="N314">
        <v>527</v>
      </c>
      <c r="O314">
        <v>0</v>
      </c>
      <c r="P314" t="s">
        <v>40</v>
      </c>
      <c r="Q314">
        <v>588</v>
      </c>
      <c r="R314" t="s">
        <v>39</v>
      </c>
      <c r="S314">
        <f>IF(support_tickets[[#This Row],[status_cleaned]]="closed",1,0)</f>
        <v>1</v>
      </c>
      <c r="T314" t="str">
        <f>TEXT(support_tickets[[#This Row],[opened_at]],"mmm yyyy")</f>
        <v>May 2024</v>
      </c>
      <c r="U314">
        <f>YEAR(support_tickets[[#This Row],[opened_at]])*100+MONTH(support_tickets[[#This Row],[opened_at]])</f>
        <v>202405</v>
      </c>
      <c r="V314" s="29">
        <f>DATE(YEAR(support_tickets[[#This Row],[opened_at]]),MONTH(support_tickets[[#This Row],[opened_at]]),1)</f>
        <v>45413</v>
      </c>
    </row>
    <row r="315" spans="1:22">
      <c r="A315">
        <v>4397756972</v>
      </c>
      <c r="B315">
        <v>442019016</v>
      </c>
      <c r="C315" t="s">
        <v>920</v>
      </c>
      <c r="D315" t="s">
        <v>921</v>
      </c>
      <c r="E315">
        <v>45935572</v>
      </c>
      <c r="G315" s="1">
        <v>45502.605844907404</v>
      </c>
      <c r="H315" s="1">
        <v>45503.253761574073</v>
      </c>
      <c r="I315" t="s">
        <v>46</v>
      </c>
      <c r="J315" t="s">
        <v>86</v>
      </c>
      <c r="K315" t="s">
        <v>20</v>
      </c>
      <c r="L315" t="s">
        <v>21</v>
      </c>
      <c r="M315">
        <v>67</v>
      </c>
      <c r="N315">
        <v>933</v>
      </c>
      <c r="O315">
        <v>0</v>
      </c>
      <c r="P315" t="s">
        <v>87</v>
      </c>
      <c r="Q315">
        <v>589</v>
      </c>
      <c r="R315" t="s">
        <v>39</v>
      </c>
      <c r="S315">
        <f>IF(support_tickets[[#This Row],[status_cleaned]]="closed",1,0)</f>
        <v>1</v>
      </c>
      <c r="T315" t="str">
        <f>TEXT(support_tickets[[#This Row],[opened_at]],"mmm yyyy")</f>
        <v>Jul 2024</v>
      </c>
      <c r="U315">
        <f>YEAR(support_tickets[[#This Row],[opened_at]])*100+MONTH(support_tickets[[#This Row],[opened_at]])</f>
        <v>202407</v>
      </c>
      <c r="V315" s="29">
        <f>DATE(YEAR(support_tickets[[#This Row],[opened_at]]),MONTH(support_tickets[[#This Row],[opened_at]]),1)</f>
        <v>45474</v>
      </c>
    </row>
    <row r="316" spans="1:22">
      <c r="A316">
        <v>4496307098</v>
      </c>
      <c r="B316">
        <v>514838889</v>
      </c>
      <c r="C316" t="s">
        <v>948</v>
      </c>
      <c r="D316" t="s">
        <v>949</v>
      </c>
      <c r="E316">
        <v>21668732</v>
      </c>
      <c r="G316" s="1">
        <v>46009.491898148146</v>
      </c>
      <c r="H316" s="1">
        <v>46009.58425925926</v>
      </c>
      <c r="I316" t="s">
        <v>52</v>
      </c>
      <c r="J316" t="s">
        <v>19</v>
      </c>
      <c r="K316" t="s">
        <v>20</v>
      </c>
      <c r="L316" t="s">
        <v>21</v>
      </c>
      <c r="M316">
        <v>12</v>
      </c>
      <c r="N316">
        <v>133</v>
      </c>
      <c r="O316">
        <v>0</v>
      </c>
      <c r="P316" t="s">
        <v>22</v>
      </c>
      <c r="Q316">
        <v>611</v>
      </c>
      <c r="R316" t="s">
        <v>39</v>
      </c>
      <c r="S316">
        <f>IF(support_tickets[[#This Row],[status_cleaned]]="closed",1,0)</f>
        <v>1</v>
      </c>
      <c r="T316" t="str">
        <f>TEXT(support_tickets[[#This Row],[opened_at]],"mmm yyyy")</f>
        <v>Dec 2025</v>
      </c>
      <c r="U316">
        <f>YEAR(support_tickets[[#This Row],[opened_at]])*100+MONTH(support_tickets[[#This Row],[opened_at]])</f>
        <v>202512</v>
      </c>
      <c r="V316" s="29">
        <f>DATE(YEAR(support_tickets[[#This Row],[opened_at]]),MONTH(support_tickets[[#This Row],[opened_at]]),1)</f>
        <v>45992</v>
      </c>
    </row>
    <row r="317" spans="1:22">
      <c r="A317">
        <v>4523591080</v>
      </c>
      <c r="B317">
        <v>968253265</v>
      </c>
      <c r="C317" t="s">
        <v>760</v>
      </c>
      <c r="D317" t="s">
        <v>761</v>
      </c>
      <c r="E317">
        <v>13561597</v>
      </c>
      <c r="F317">
        <v>1060931756</v>
      </c>
      <c r="G317" s="1">
        <v>45742.945057870369</v>
      </c>
      <c r="H317" s="1">
        <v>45743.076307870368</v>
      </c>
      <c r="I317" t="s">
        <v>37</v>
      </c>
      <c r="J317" t="s">
        <v>59</v>
      </c>
      <c r="K317" t="s">
        <v>20</v>
      </c>
      <c r="L317" t="s">
        <v>21</v>
      </c>
      <c r="M317">
        <v>39</v>
      </c>
      <c r="N317">
        <v>189</v>
      </c>
      <c r="O317">
        <v>0</v>
      </c>
      <c r="P317" t="s">
        <v>61</v>
      </c>
      <c r="Q317">
        <v>616</v>
      </c>
      <c r="R317" t="s">
        <v>39</v>
      </c>
      <c r="S317">
        <f>IF(support_tickets[[#This Row],[status_cleaned]]="closed",1,0)</f>
        <v>1</v>
      </c>
      <c r="T317" t="str">
        <f>TEXT(support_tickets[[#This Row],[opened_at]],"mmm yyyy")</f>
        <v>Mar 2025</v>
      </c>
      <c r="U317">
        <f>YEAR(support_tickets[[#This Row],[opened_at]])*100+MONTH(support_tickets[[#This Row],[opened_at]])</f>
        <v>202503</v>
      </c>
      <c r="V317" s="29">
        <f>DATE(YEAR(support_tickets[[#This Row],[opened_at]]),MONTH(support_tickets[[#This Row],[opened_at]]),1)</f>
        <v>45717</v>
      </c>
    </row>
    <row r="318" spans="1:22">
      <c r="A318">
        <v>4687571157</v>
      </c>
      <c r="B318">
        <v>353164777</v>
      </c>
      <c r="C318" t="s">
        <v>986</v>
      </c>
      <c r="D318" t="s">
        <v>987</v>
      </c>
      <c r="E318">
        <v>66792612</v>
      </c>
      <c r="G318" s="1">
        <v>45857.409814814811</v>
      </c>
      <c r="H318" s="1">
        <v>45857.604259259257</v>
      </c>
      <c r="I318" t="s">
        <v>46</v>
      </c>
      <c r="J318" t="s">
        <v>25</v>
      </c>
      <c r="K318" t="s">
        <v>20</v>
      </c>
      <c r="L318" t="s">
        <v>21</v>
      </c>
      <c r="M318">
        <v>27</v>
      </c>
      <c r="N318">
        <v>280</v>
      </c>
      <c r="O318">
        <v>0</v>
      </c>
      <c r="P318" t="s">
        <v>27</v>
      </c>
      <c r="Q318">
        <v>645</v>
      </c>
      <c r="R318" t="s">
        <v>39</v>
      </c>
      <c r="S318">
        <f>IF(support_tickets[[#This Row],[status_cleaned]]="closed",1,0)</f>
        <v>1</v>
      </c>
      <c r="T318" t="str">
        <f>TEXT(support_tickets[[#This Row],[opened_at]],"mmm yyyy")</f>
        <v>Jul 2025</v>
      </c>
      <c r="U318">
        <f>YEAR(support_tickets[[#This Row],[opened_at]])*100+MONTH(support_tickets[[#This Row],[opened_at]])</f>
        <v>202507</v>
      </c>
      <c r="V318" s="29">
        <f>DATE(YEAR(support_tickets[[#This Row],[opened_at]]),MONTH(support_tickets[[#This Row],[opened_at]]),1)</f>
        <v>45839</v>
      </c>
    </row>
    <row r="319" spans="1:22">
      <c r="A319">
        <v>4693541056</v>
      </c>
      <c r="B319">
        <v>607239833</v>
      </c>
      <c r="C319" t="s">
        <v>988</v>
      </c>
      <c r="D319" t="s">
        <v>989</v>
      </c>
      <c r="E319">
        <v>38119557</v>
      </c>
      <c r="G319" s="1">
        <v>45304.416805555556</v>
      </c>
      <c r="H319" s="1">
        <v>45304.702916666669</v>
      </c>
      <c r="I319" t="s">
        <v>18</v>
      </c>
      <c r="J319" t="s">
        <v>30</v>
      </c>
      <c r="K319" t="s">
        <v>20</v>
      </c>
      <c r="L319" t="s">
        <v>21</v>
      </c>
      <c r="M319">
        <v>2</v>
      </c>
      <c r="N319">
        <v>412</v>
      </c>
      <c r="O319">
        <v>0</v>
      </c>
      <c r="P319" t="s">
        <v>31</v>
      </c>
      <c r="Q319">
        <v>646</v>
      </c>
      <c r="R319" t="s">
        <v>39</v>
      </c>
      <c r="S319">
        <f>IF(support_tickets[[#This Row],[status_cleaned]]="closed",1,0)</f>
        <v>1</v>
      </c>
      <c r="T319" t="str">
        <f>TEXT(support_tickets[[#This Row],[opened_at]],"mmm yyyy")</f>
        <v>Jan 2024</v>
      </c>
      <c r="U319">
        <f>YEAR(support_tickets[[#This Row],[opened_at]])*100+MONTH(support_tickets[[#This Row],[opened_at]])</f>
        <v>202401</v>
      </c>
      <c r="V319" s="29">
        <f>DATE(YEAR(support_tickets[[#This Row],[opened_at]]),MONTH(support_tickets[[#This Row],[opened_at]]),1)</f>
        <v>45292</v>
      </c>
    </row>
    <row r="320" spans="1:22">
      <c r="A320">
        <v>4753151327</v>
      </c>
      <c r="B320">
        <v>510032406</v>
      </c>
      <c r="C320" t="s">
        <v>1002</v>
      </c>
      <c r="D320" t="s">
        <v>1003</v>
      </c>
      <c r="E320">
        <v>45503389</v>
      </c>
      <c r="G320" s="1">
        <v>45833.024189814816</v>
      </c>
      <c r="H320" s="1">
        <v>45833.066550925927</v>
      </c>
      <c r="I320" t="s">
        <v>52</v>
      </c>
      <c r="J320" t="s">
        <v>30</v>
      </c>
      <c r="K320" t="s">
        <v>20</v>
      </c>
      <c r="L320" t="s">
        <v>21</v>
      </c>
      <c r="M320">
        <v>3</v>
      </c>
      <c r="N320">
        <v>61</v>
      </c>
      <c r="O320">
        <v>0</v>
      </c>
      <c r="P320" t="s">
        <v>31</v>
      </c>
      <c r="Q320">
        <v>657</v>
      </c>
      <c r="R320" t="s">
        <v>39</v>
      </c>
      <c r="S320">
        <f>IF(support_tickets[[#This Row],[status_cleaned]]="closed",1,0)</f>
        <v>1</v>
      </c>
      <c r="T320" t="str">
        <f>TEXT(support_tickets[[#This Row],[opened_at]],"mmm yyyy")</f>
        <v>Jun 2025</v>
      </c>
      <c r="U320">
        <f>YEAR(support_tickets[[#This Row],[opened_at]])*100+MONTH(support_tickets[[#This Row],[opened_at]])</f>
        <v>202506</v>
      </c>
      <c r="V320" s="29">
        <f>DATE(YEAR(support_tickets[[#This Row],[opened_at]]),MONTH(support_tickets[[#This Row],[opened_at]]),1)</f>
        <v>45809</v>
      </c>
    </row>
    <row r="321" spans="1:22">
      <c r="A321">
        <v>4756206293</v>
      </c>
      <c r="B321">
        <v>903734960</v>
      </c>
      <c r="C321" t="s">
        <v>1004</v>
      </c>
      <c r="D321" t="s">
        <v>1005</v>
      </c>
      <c r="E321">
        <v>96282117</v>
      </c>
      <c r="G321" s="1">
        <v>45415.468460648146</v>
      </c>
      <c r="H321" s="1">
        <v>45415.831655092596</v>
      </c>
      <c r="I321" t="s">
        <v>46</v>
      </c>
      <c r="J321" t="s">
        <v>19</v>
      </c>
      <c r="K321" t="s">
        <v>20</v>
      </c>
      <c r="L321" t="s">
        <v>21</v>
      </c>
      <c r="M321">
        <v>65</v>
      </c>
      <c r="N321">
        <v>523</v>
      </c>
      <c r="O321">
        <v>0</v>
      </c>
      <c r="P321" t="s">
        <v>22</v>
      </c>
      <c r="Q321">
        <v>658</v>
      </c>
      <c r="R321" t="s">
        <v>39</v>
      </c>
      <c r="S321">
        <f>IF(support_tickets[[#This Row],[status_cleaned]]="closed",1,0)</f>
        <v>1</v>
      </c>
      <c r="T321" t="str">
        <f>TEXT(support_tickets[[#This Row],[opened_at]],"mmm yyyy")</f>
        <v>May 2024</v>
      </c>
      <c r="U321">
        <f>YEAR(support_tickets[[#This Row],[opened_at]])*100+MONTH(support_tickets[[#This Row],[opened_at]])</f>
        <v>202405</v>
      </c>
      <c r="V321" s="29">
        <f>DATE(YEAR(support_tickets[[#This Row],[opened_at]]),MONTH(support_tickets[[#This Row],[opened_at]]),1)</f>
        <v>45413</v>
      </c>
    </row>
    <row r="322" spans="1:22">
      <c r="A322">
        <v>4767634417</v>
      </c>
      <c r="B322">
        <v>206389694</v>
      </c>
      <c r="C322" t="s">
        <v>1006</v>
      </c>
      <c r="D322" t="s">
        <v>1007</v>
      </c>
      <c r="E322">
        <v>40742311</v>
      </c>
      <c r="G322" s="1">
        <v>45874.76253472222</v>
      </c>
      <c r="H322" s="1">
        <v>45874.998645833337</v>
      </c>
      <c r="I322" t="s">
        <v>18</v>
      </c>
      <c r="J322" t="s">
        <v>30</v>
      </c>
      <c r="K322" t="s">
        <v>20</v>
      </c>
      <c r="L322" t="s">
        <v>21</v>
      </c>
      <c r="M322">
        <v>1</v>
      </c>
      <c r="N322">
        <v>340</v>
      </c>
      <c r="O322">
        <v>0</v>
      </c>
      <c r="P322" t="s">
        <v>31</v>
      </c>
      <c r="Q322">
        <v>660</v>
      </c>
      <c r="R322" t="s">
        <v>39</v>
      </c>
      <c r="S322">
        <f>IF(support_tickets[[#This Row],[status_cleaned]]="closed",1,0)</f>
        <v>1</v>
      </c>
      <c r="T322" t="str">
        <f>TEXT(support_tickets[[#This Row],[opened_at]],"mmm yyyy")</f>
        <v>Aug 2025</v>
      </c>
      <c r="U322">
        <f>YEAR(support_tickets[[#This Row],[opened_at]])*100+MONTH(support_tickets[[#This Row],[opened_at]])</f>
        <v>202508</v>
      </c>
      <c r="V322" s="29">
        <f>DATE(YEAR(support_tickets[[#This Row],[opened_at]]),MONTH(support_tickets[[#This Row],[opened_at]]),1)</f>
        <v>45870</v>
      </c>
    </row>
    <row r="323" spans="1:22">
      <c r="A323">
        <v>4820525427</v>
      </c>
      <c r="B323">
        <v>603703167</v>
      </c>
      <c r="C323" t="s">
        <v>600</v>
      </c>
      <c r="D323" t="s">
        <v>601</v>
      </c>
      <c r="E323">
        <v>81691040</v>
      </c>
      <c r="G323" s="1">
        <v>45922.192719907405</v>
      </c>
      <c r="H323" s="1">
        <v>45922.803136574075</v>
      </c>
      <c r="I323" t="s">
        <v>56</v>
      </c>
      <c r="J323" t="s">
        <v>38</v>
      </c>
      <c r="K323" t="s">
        <v>20</v>
      </c>
      <c r="L323" t="s">
        <v>21</v>
      </c>
      <c r="M323">
        <v>73</v>
      </c>
      <c r="N323">
        <v>879</v>
      </c>
      <c r="O323">
        <v>0</v>
      </c>
      <c r="P323" t="s">
        <v>40</v>
      </c>
      <c r="Q323">
        <v>670</v>
      </c>
      <c r="R323" t="s">
        <v>39</v>
      </c>
      <c r="S323">
        <f>IF(support_tickets[[#This Row],[status_cleaned]]="closed",1,0)</f>
        <v>1</v>
      </c>
      <c r="T323" t="str">
        <f>TEXT(support_tickets[[#This Row],[opened_at]],"mmm yyyy")</f>
        <v>Sep 2025</v>
      </c>
      <c r="U323">
        <f>YEAR(support_tickets[[#This Row],[opened_at]])*100+MONTH(support_tickets[[#This Row],[opened_at]])</f>
        <v>202509</v>
      </c>
      <c r="V323" s="29">
        <f>DATE(YEAR(support_tickets[[#This Row],[opened_at]]),MONTH(support_tickets[[#This Row],[opened_at]]),1)</f>
        <v>45901</v>
      </c>
    </row>
    <row r="324" spans="1:22">
      <c r="A324">
        <v>4841584895</v>
      </c>
      <c r="B324">
        <v>306442077</v>
      </c>
      <c r="C324" t="s">
        <v>140</v>
      </c>
      <c r="D324" t="s">
        <v>141</v>
      </c>
      <c r="E324">
        <v>81016525</v>
      </c>
      <c r="F324">
        <v>9516613938</v>
      </c>
      <c r="G324" s="1">
        <v>45467.178796296299</v>
      </c>
      <c r="H324" s="1">
        <v>45467.511435185188</v>
      </c>
      <c r="I324" t="s">
        <v>43</v>
      </c>
      <c r="J324" t="s">
        <v>19</v>
      </c>
      <c r="K324" t="s">
        <v>20</v>
      </c>
      <c r="L324" t="s">
        <v>21</v>
      </c>
      <c r="M324">
        <v>21</v>
      </c>
      <c r="N324">
        <v>479</v>
      </c>
      <c r="O324">
        <v>0</v>
      </c>
      <c r="P324" t="s">
        <v>22</v>
      </c>
      <c r="Q324">
        <v>672</v>
      </c>
      <c r="R324" t="s">
        <v>39</v>
      </c>
      <c r="S324">
        <f>IF(support_tickets[[#This Row],[status_cleaned]]="closed",1,0)</f>
        <v>1</v>
      </c>
      <c r="T324" t="str">
        <f>TEXT(support_tickets[[#This Row],[opened_at]],"mmm yyyy")</f>
        <v>Jun 2024</v>
      </c>
      <c r="U324">
        <f>YEAR(support_tickets[[#This Row],[opened_at]])*100+MONTH(support_tickets[[#This Row],[opened_at]])</f>
        <v>202406</v>
      </c>
      <c r="V324" s="29">
        <f>DATE(YEAR(support_tickets[[#This Row],[opened_at]]),MONTH(support_tickets[[#This Row],[opened_at]]),1)</f>
        <v>45444</v>
      </c>
    </row>
    <row r="325" spans="1:22">
      <c r="A325">
        <v>4926083695</v>
      </c>
      <c r="B325">
        <v>247395716</v>
      </c>
      <c r="C325" t="s">
        <v>1030</v>
      </c>
      <c r="D325" t="s">
        <v>1031</v>
      </c>
      <c r="E325">
        <v>81971316</v>
      </c>
      <c r="G325" s="1">
        <v>45801.659085648149</v>
      </c>
      <c r="H325" s="1">
        <v>45801.745891203704</v>
      </c>
      <c r="I325" t="s">
        <v>37</v>
      </c>
      <c r="J325" t="s">
        <v>25</v>
      </c>
      <c r="K325" t="s">
        <v>20</v>
      </c>
      <c r="L325" t="s">
        <v>21</v>
      </c>
      <c r="M325">
        <v>48</v>
      </c>
      <c r="N325">
        <v>125</v>
      </c>
      <c r="O325">
        <v>0</v>
      </c>
      <c r="P325" t="s">
        <v>27</v>
      </c>
      <c r="Q325">
        <v>683</v>
      </c>
      <c r="R325" t="s">
        <v>39</v>
      </c>
      <c r="S325">
        <f>IF(support_tickets[[#This Row],[status_cleaned]]="closed",1,0)</f>
        <v>1</v>
      </c>
      <c r="T325" t="str">
        <f>TEXT(support_tickets[[#This Row],[opened_at]],"mmm yyyy")</f>
        <v>May 2025</v>
      </c>
      <c r="U325">
        <f>YEAR(support_tickets[[#This Row],[opened_at]])*100+MONTH(support_tickets[[#This Row],[opened_at]])</f>
        <v>202505</v>
      </c>
      <c r="V325" s="29">
        <f>DATE(YEAR(support_tickets[[#This Row],[opened_at]]),MONTH(support_tickets[[#This Row],[opened_at]]),1)</f>
        <v>45778</v>
      </c>
    </row>
    <row r="326" spans="1:22">
      <c r="A326">
        <v>4979566431</v>
      </c>
      <c r="B326">
        <v>798510601</v>
      </c>
      <c r="C326" t="s">
        <v>204</v>
      </c>
      <c r="D326" t="s">
        <v>205</v>
      </c>
      <c r="E326">
        <v>45351479</v>
      </c>
      <c r="G326" s="1">
        <v>45661.517511574071</v>
      </c>
      <c r="H326" s="1">
        <v>45661.727233796293</v>
      </c>
      <c r="I326" t="s">
        <v>56</v>
      </c>
      <c r="J326" t="s">
        <v>86</v>
      </c>
      <c r="K326" t="s">
        <v>20</v>
      </c>
      <c r="L326" t="s">
        <v>21</v>
      </c>
      <c r="M326">
        <v>26</v>
      </c>
      <c r="N326">
        <v>302</v>
      </c>
      <c r="O326">
        <v>0</v>
      </c>
      <c r="P326" t="s">
        <v>87</v>
      </c>
      <c r="Q326">
        <v>692</v>
      </c>
      <c r="R326" t="s">
        <v>39</v>
      </c>
      <c r="S326">
        <f>IF(support_tickets[[#This Row],[status_cleaned]]="closed",1,0)</f>
        <v>1</v>
      </c>
      <c r="T326" t="str">
        <f>TEXT(support_tickets[[#This Row],[opened_at]],"mmm yyyy")</f>
        <v>Jan 2025</v>
      </c>
      <c r="U326">
        <f>YEAR(support_tickets[[#This Row],[opened_at]])*100+MONTH(support_tickets[[#This Row],[opened_at]])</f>
        <v>202501</v>
      </c>
      <c r="V326" s="29">
        <f>DATE(YEAR(support_tickets[[#This Row],[opened_at]]),MONTH(support_tickets[[#This Row],[opened_at]]),1)</f>
        <v>45658</v>
      </c>
    </row>
    <row r="327" spans="1:22">
      <c r="A327">
        <v>4982778388</v>
      </c>
      <c r="B327">
        <v>143223380</v>
      </c>
      <c r="C327" t="s">
        <v>1040</v>
      </c>
      <c r="D327" t="s">
        <v>1041</v>
      </c>
      <c r="E327">
        <v>82383095</v>
      </c>
      <c r="G327" s="1">
        <v>45557.841215277775</v>
      </c>
      <c r="H327" s="1">
        <v>45558.126631944448</v>
      </c>
      <c r="I327" t="s">
        <v>46</v>
      </c>
      <c r="J327" t="s">
        <v>59</v>
      </c>
      <c r="K327" t="s">
        <v>20</v>
      </c>
      <c r="L327" t="s">
        <v>21</v>
      </c>
      <c r="M327">
        <v>59</v>
      </c>
      <c r="N327">
        <v>411</v>
      </c>
      <c r="O327">
        <v>0</v>
      </c>
      <c r="P327" t="s">
        <v>61</v>
      </c>
      <c r="Q327">
        <v>693</v>
      </c>
      <c r="R327" t="s">
        <v>39</v>
      </c>
      <c r="S327">
        <f>IF(support_tickets[[#This Row],[status_cleaned]]="closed",1,0)</f>
        <v>1</v>
      </c>
      <c r="T327" t="str">
        <f>TEXT(support_tickets[[#This Row],[opened_at]],"mmm yyyy")</f>
        <v>Sep 2024</v>
      </c>
      <c r="U327">
        <f>YEAR(support_tickets[[#This Row],[opened_at]])*100+MONTH(support_tickets[[#This Row],[opened_at]])</f>
        <v>202409</v>
      </c>
      <c r="V327" s="29">
        <f>DATE(YEAR(support_tickets[[#This Row],[opened_at]]),MONTH(support_tickets[[#This Row],[opened_at]]),1)</f>
        <v>45536</v>
      </c>
    </row>
    <row r="328" spans="1:22">
      <c r="A328">
        <v>5091875722</v>
      </c>
      <c r="B328">
        <v>709844411</v>
      </c>
      <c r="C328" t="s">
        <v>770</v>
      </c>
      <c r="D328" t="s">
        <v>771</v>
      </c>
      <c r="E328">
        <v>31472420</v>
      </c>
      <c r="G328" s="1">
        <v>45639.527997685182</v>
      </c>
      <c r="H328" s="1">
        <v>45639.734247685185</v>
      </c>
      <c r="I328" t="s">
        <v>43</v>
      </c>
      <c r="J328" t="s">
        <v>19</v>
      </c>
      <c r="K328" t="s">
        <v>20</v>
      </c>
      <c r="L328" t="s">
        <v>21</v>
      </c>
      <c r="M328">
        <v>57</v>
      </c>
      <c r="N328">
        <v>297</v>
      </c>
      <c r="O328">
        <v>0</v>
      </c>
      <c r="P328" t="s">
        <v>22</v>
      </c>
      <c r="Q328">
        <v>712</v>
      </c>
      <c r="R328" t="s">
        <v>39</v>
      </c>
      <c r="S328">
        <f>IF(support_tickets[[#This Row],[status_cleaned]]="closed",1,0)</f>
        <v>1</v>
      </c>
      <c r="T328" t="str">
        <f>TEXT(support_tickets[[#This Row],[opened_at]],"mmm yyyy")</f>
        <v>Dec 2024</v>
      </c>
      <c r="U328">
        <f>YEAR(support_tickets[[#This Row],[opened_at]])*100+MONTH(support_tickets[[#This Row],[opened_at]])</f>
        <v>202412</v>
      </c>
      <c r="V328" s="29">
        <f>DATE(YEAR(support_tickets[[#This Row],[opened_at]]),MONTH(support_tickets[[#This Row],[opened_at]]),1)</f>
        <v>45627</v>
      </c>
    </row>
    <row r="329" spans="1:22">
      <c r="A329">
        <v>5137490437</v>
      </c>
      <c r="B329">
        <v>868847524</v>
      </c>
      <c r="C329" t="s">
        <v>222</v>
      </c>
      <c r="D329" t="s">
        <v>223</v>
      </c>
      <c r="E329">
        <v>60185867</v>
      </c>
      <c r="G329" s="1">
        <v>45763.921967592592</v>
      </c>
      <c r="H329" s="1">
        <v>45764.165717592594</v>
      </c>
      <c r="I329" t="s">
        <v>52</v>
      </c>
      <c r="J329" t="s">
        <v>25</v>
      </c>
      <c r="K329" t="s">
        <v>20</v>
      </c>
      <c r="L329" t="s">
        <v>21</v>
      </c>
      <c r="M329">
        <v>29</v>
      </c>
      <c r="N329">
        <v>351</v>
      </c>
      <c r="O329">
        <v>0</v>
      </c>
      <c r="P329" t="s">
        <v>27</v>
      </c>
      <c r="Q329">
        <v>716</v>
      </c>
      <c r="R329" t="s">
        <v>39</v>
      </c>
      <c r="S329">
        <f>IF(support_tickets[[#This Row],[status_cleaned]]="closed",1,0)</f>
        <v>1</v>
      </c>
      <c r="T329" t="str">
        <f>TEXT(support_tickets[[#This Row],[opened_at]],"mmm yyyy")</f>
        <v>Apr 2025</v>
      </c>
      <c r="U329">
        <f>YEAR(support_tickets[[#This Row],[opened_at]])*100+MONTH(support_tickets[[#This Row],[opened_at]])</f>
        <v>202504</v>
      </c>
      <c r="V329" s="29">
        <f>DATE(YEAR(support_tickets[[#This Row],[opened_at]]),MONTH(support_tickets[[#This Row],[opened_at]]),1)</f>
        <v>45748</v>
      </c>
    </row>
    <row r="330" spans="1:22">
      <c r="A330">
        <v>5145032329</v>
      </c>
      <c r="B330">
        <v>423358638</v>
      </c>
      <c r="C330" t="s">
        <v>658</v>
      </c>
      <c r="D330" t="s">
        <v>659</v>
      </c>
      <c r="E330">
        <v>24972279</v>
      </c>
      <c r="G330" s="1">
        <v>45864.614918981482</v>
      </c>
      <c r="H330" s="1">
        <v>45864.630891203706</v>
      </c>
      <c r="I330" t="s">
        <v>37</v>
      </c>
      <c r="J330" t="s">
        <v>30</v>
      </c>
      <c r="K330" t="s">
        <v>20</v>
      </c>
      <c r="L330" t="s">
        <v>21</v>
      </c>
      <c r="M330">
        <v>15</v>
      </c>
      <c r="N330">
        <v>23</v>
      </c>
      <c r="O330">
        <v>0</v>
      </c>
      <c r="P330" t="s">
        <v>31</v>
      </c>
      <c r="Q330">
        <v>719</v>
      </c>
      <c r="R330" t="s">
        <v>39</v>
      </c>
      <c r="S330">
        <f>IF(support_tickets[[#This Row],[status_cleaned]]="closed",1,0)</f>
        <v>1</v>
      </c>
      <c r="T330" t="str">
        <f>TEXT(support_tickets[[#This Row],[opened_at]],"mmm yyyy")</f>
        <v>Jul 2025</v>
      </c>
      <c r="U330">
        <f>YEAR(support_tickets[[#This Row],[opened_at]])*100+MONTH(support_tickets[[#This Row],[opened_at]])</f>
        <v>202507</v>
      </c>
      <c r="V330" s="29">
        <f>DATE(YEAR(support_tickets[[#This Row],[opened_at]]),MONTH(support_tickets[[#This Row],[opened_at]]),1)</f>
        <v>45839</v>
      </c>
    </row>
    <row r="331" spans="1:22">
      <c r="A331">
        <v>5197173007</v>
      </c>
      <c r="B331">
        <v>590822013</v>
      </c>
      <c r="C331" t="s">
        <v>634</v>
      </c>
      <c r="D331" t="s">
        <v>635</v>
      </c>
      <c r="E331">
        <v>91734598</v>
      </c>
      <c r="F331">
        <v>4393042281</v>
      </c>
      <c r="G331" s="1">
        <v>45992.818773148145</v>
      </c>
      <c r="H331" s="1">
        <v>45993.117384259262</v>
      </c>
      <c r="I331" t="s">
        <v>56</v>
      </c>
      <c r="J331" t="s">
        <v>86</v>
      </c>
      <c r="K331" t="s">
        <v>20</v>
      </c>
      <c r="L331" t="s">
        <v>21</v>
      </c>
      <c r="M331">
        <v>43</v>
      </c>
      <c r="N331">
        <v>430</v>
      </c>
      <c r="O331">
        <v>0</v>
      </c>
      <c r="P331" t="s">
        <v>87</v>
      </c>
      <c r="Q331">
        <v>731</v>
      </c>
      <c r="R331" t="s">
        <v>39</v>
      </c>
      <c r="S331">
        <f>IF(support_tickets[[#This Row],[status_cleaned]]="closed",1,0)</f>
        <v>1</v>
      </c>
      <c r="T331" t="str">
        <f>TEXT(support_tickets[[#This Row],[opened_at]],"mmm yyyy")</f>
        <v>Dec 2025</v>
      </c>
      <c r="U331">
        <f>YEAR(support_tickets[[#This Row],[opened_at]])*100+MONTH(support_tickets[[#This Row],[opened_at]])</f>
        <v>202512</v>
      </c>
      <c r="V331" s="29">
        <f>DATE(YEAR(support_tickets[[#This Row],[opened_at]]),MONTH(support_tickets[[#This Row],[opened_at]]),1)</f>
        <v>45992</v>
      </c>
    </row>
    <row r="332" spans="1:22">
      <c r="A332">
        <v>5258488042</v>
      </c>
      <c r="B332">
        <v>384172112</v>
      </c>
      <c r="C332" t="s">
        <v>1080</v>
      </c>
      <c r="D332" t="s">
        <v>1081</v>
      </c>
      <c r="E332">
        <v>89978790</v>
      </c>
      <c r="F332">
        <v>4242668018</v>
      </c>
      <c r="G332" s="1">
        <v>45676.064525462964</v>
      </c>
      <c r="H332" s="1">
        <v>45676.469386574077</v>
      </c>
      <c r="I332" t="s">
        <v>52</v>
      </c>
      <c r="J332" t="s">
        <v>38</v>
      </c>
      <c r="K332" t="s">
        <v>20</v>
      </c>
      <c r="L332" t="s">
        <v>21</v>
      </c>
      <c r="M332">
        <v>55</v>
      </c>
      <c r="N332">
        <v>583</v>
      </c>
      <c r="O332">
        <v>0</v>
      </c>
      <c r="P332" t="s">
        <v>40</v>
      </c>
      <c r="Q332">
        <v>743</v>
      </c>
      <c r="R332" t="s">
        <v>39</v>
      </c>
      <c r="S332">
        <f>IF(support_tickets[[#This Row],[status_cleaned]]="closed",1,0)</f>
        <v>1</v>
      </c>
      <c r="T332" t="str">
        <f>TEXT(support_tickets[[#This Row],[opened_at]],"mmm yyyy")</f>
        <v>Jan 2025</v>
      </c>
      <c r="U332">
        <f>YEAR(support_tickets[[#This Row],[opened_at]])*100+MONTH(support_tickets[[#This Row],[opened_at]])</f>
        <v>202501</v>
      </c>
      <c r="V332" s="29">
        <f>DATE(YEAR(support_tickets[[#This Row],[opened_at]]),MONTH(support_tickets[[#This Row],[opened_at]]),1)</f>
        <v>45658</v>
      </c>
    </row>
    <row r="333" spans="1:22">
      <c r="A333">
        <v>5291841958</v>
      </c>
      <c r="B333">
        <v>304853117</v>
      </c>
      <c r="C333" t="s">
        <v>888</v>
      </c>
      <c r="D333" t="s">
        <v>889</v>
      </c>
      <c r="E333">
        <v>45551614</v>
      </c>
      <c r="F333">
        <v>1267698902</v>
      </c>
      <c r="G333" s="1">
        <v>45688.933113425926</v>
      </c>
      <c r="H333" s="1">
        <v>45689.424780092595</v>
      </c>
      <c r="I333" t="s">
        <v>43</v>
      </c>
      <c r="J333" t="s">
        <v>19</v>
      </c>
      <c r="K333" t="s">
        <v>20</v>
      </c>
      <c r="L333" t="s">
        <v>21</v>
      </c>
      <c r="M333">
        <v>5</v>
      </c>
      <c r="N333">
        <v>708</v>
      </c>
      <c r="O333">
        <v>0</v>
      </c>
      <c r="P333" t="s">
        <v>22</v>
      </c>
      <c r="Q333">
        <v>750</v>
      </c>
      <c r="R333" t="s">
        <v>39</v>
      </c>
      <c r="S333">
        <f>IF(support_tickets[[#This Row],[status_cleaned]]="closed",1,0)</f>
        <v>1</v>
      </c>
      <c r="T333" t="str">
        <f>TEXT(support_tickets[[#This Row],[opened_at]],"mmm yyyy")</f>
        <v>Jan 2025</v>
      </c>
      <c r="U333">
        <f>YEAR(support_tickets[[#This Row],[opened_at]])*100+MONTH(support_tickets[[#This Row],[opened_at]])</f>
        <v>202501</v>
      </c>
      <c r="V333" s="29">
        <f>DATE(YEAR(support_tickets[[#This Row],[opened_at]]),MONTH(support_tickets[[#This Row],[opened_at]]),1)</f>
        <v>45658</v>
      </c>
    </row>
    <row r="334" spans="1:22">
      <c r="A334">
        <v>5311497955</v>
      </c>
      <c r="B334">
        <v>502559419</v>
      </c>
      <c r="C334" t="s">
        <v>1090</v>
      </c>
      <c r="D334" t="s">
        <v>1091</v>
      </c>
      <c r="E334">
        <v>19583482</v>
      </c>
      <c r="F334">
        <v>6211814586</v>
      </c>
      <c r="G334" s="1">
        <v>45866.291076388887</v>
      </c>
      <c r="H334" s="1">
        <v>45866.47996527778</v>
      </c>
      <c r="I334" t="s">
        <v>56</v>
      </c>
      <c r="J334" t="s">
        <v>86</v>
      </c>
      <c r="K334" t="s">
        <v>20</v>
      </c>
      <c r="L334" t="s">
        <v>21</v>
      </c>
      <c r="M334">
        <v>31</v>
      </c>
      <c r="N334">
        <v>272</v>
      </c>
      <c r="O334">
        <v>0</v>
      </c>
      <c r="P334" t="s">
        <v>87</v>
      </c>
      <c r="Q334">
        <v>754</v>
      </c>
      <c r="R334" t="s">
        <v>39</v>
      </c>
      <c r="S334">
        <f>IF(support_tickets[[#This Row],[status_cleaned]]="closed",1,0)</f>
        <v>1</v>
      </c>
      <c r="T334" t="str">
        <f>TEXT(support_tickets[[#This Row],[opened_at]],"mmm yyyy")</f>
        <v>Jul 2025</v>
      </c>
      <c r="U334">
        <f>YEAR(support_tickets[[#This Row],[opened_at]])*100+MONTH(support_tickets[[#This Row],[opened_at]])</f>
        <v>202507</v>
      </c>
      <c r="V334" s="29">
        <f>DATE(YEAR(support_tickets[[#This Row],[opened_at]]),MONTH(support_tickets[[#This Row],[opened_at]]),1)</f>
        <v>45839</v>
      </c>
    </row>
    <row r="335" spans="1:22">
      <c r="A335">
        <v>5318085572</v>
      </c>
      <c r="B335">
        <v>723464439</v>
      </c>
      <c r="C335" t="s">
        <v>48</v>
      </c>
      <c r="D335" t="s">
        <v>49</v>
      </c>
      <c r="E335">
        <v>38898923</v>
      </c>
      <c r="F335">
        <v>9483870638</v>
      </c>
      <c r="G335" s="1">
        <v>45687.161770833336</v>
      </c>
      <c r="H335" s="1">
        <v>45687.562465277777</v>
      </c>
      <c r="I335" t="s">
        <v>56</v>
      </c>
      <c r="J335" t="s">
        <v>86</v>
      </c>
      <c r="K335" t="s">
        <v>20</v>
      </c>
      <c r="L335" t="s">
        <v>21</v>
      </c>
      <c r="M335">
        <v>52</v>
      </c>
      <c r="N335">
        <v>577</v>
      </c>
      <c r="O335">
        <v>0</v>
      </c>
      <c r="P335" t="s">
        <v>87</v>
      </c>
      <c r="Q335">
        <v>757</v>
      </c>
      <c r="R335" t="s">
        <v>39</v>
      </c>
      <c r="S335">
        <f>IF(support_tickets[[#This Row],[status_cleaned]]="closed",1,0)</f>
        <v>1</v>
      </c>
      <c r="T335" t="str">
        <f>TEXT(support_tickets[[#This Row],[opened_at]],"mmm yyyy")</f>
        <v>Jan 2025</v>
      </c>
      <c r="U335">
        <f>YEAR(support_tickets[[#This Row],[opened_at]])*100+MONTH(support_tickets[[#This Row],[opened_at]])</f>
        <v>202501</v>
      </c>
      <c r="V335" s="29">
        <f>DATE(YEAR(support_tickets[[#This Row],[opened_at]]),MONTH(support_tickets[[#This Row],[opened_at]]),1)</f>
        <v>45658</v>
      </c>
    </row>
    <row r="336" spans="1:22">
      <c r="A336">
        <v>5321976913</v>
      </c>
      <c r="B336">
        <v>288436227</v>
      </c>
      <c r="C336" t="s">
        <v>938</v>
      </c>
      <c r="D336" t="s">
        <v>939</v>
      </c>
      <c r="E336">
        <v>80823176</v>
      </c>
      <c r="F336">
        <v>2393982645</v>
      </c>
      <c r="G336" s="1">
        <v>45295.915752314817</v>
      </c>
      <c r="H336" s="1">
        <v>45296.0858912037</v>
      </c>
      <c r="I336" t="s">
        <v>46</v>
      </c>
      <c r="J336" t="s">
        <v>19</v>
      </c>
      <c r="K336" t="s">
        <v>20</v>
      </c>
      <c r="L336" t="s">
        <v>21</v>
      </c>
      <c r="M336">
        <v>11</v>
      </c>
      <c r="N336">
        <v>245</v>
      </c>
      <c r="O336">
        <v>0</v>
      </c>
      <c r="P336" t="s">
        <v>22</v>
      </c>
      <c r="Q336">
        <v>760</v>
      </c>
      <c r="R336" t="s">
        <v>39</v>
      </c>
      <c r="S336">
        <f>IF(support_tickets[[#This Row],[status_cleaned]]="closed",1,0)</f>
        <v>1</v>
      </c>
      <c r="T336" t="str">
        <f>TEXT(support_tickets[[#This Row],[opened_at]],"mmm yyyy")</f>
        <v>Jan 2024</v>
      </c>
      <c r="U336">
        <f>YEAR(support_tickets[[#This Row],[opened_at]])*100+MONTH(support_tickets[[#This Row],[opened_at]])</f>
        <v>202401</v>
      </c>
      <c r="V336" s="29">
        <f>DATE(YEAR(support_tickets[[#This Row],[opened_at]]),MONTH(support_tickets[[#This Row],[opened_at]]),1)</f>
        <v>45292</v>
      </c>
    </row>
    <row r="337" spans="1:22">
      <c r="A337">
        <v>5358661821</v>
      </c>
      <c r="B337">
        <v>148814238</v>
      </c>
      <c r="C337" t="s">
        <v>952</v>
      </c>
      <c r="D337" t="s">
        <v>953</v>
      </c>
      <c r="E337">
        <v>61220073</v>
      </c>
      <c r="G337" s="1">
        <v>46033.209143518521</v>
      </c>
      <c r="H337" s="1">
        <v>46033.534143518518</v>
      </c>
      <c r="I337" t="s">
        <v>18</v>
      </c>
      <c r="J337" t="s">
        <v>59</v>
      </c>
      <c r="K337" t="s">
        <v>20</v>
      </c>
      <c r="L337" t="s">
        <v>21</v>
      </c>
      <c r="M337">
        <v>49</v>
      </c>
      <c r="N337">
        <v>468</v>
      </c>
      <c r="O337">
        <v>0</v>
      </c>
      <c r="P337" t="s">
        <v>61</v>
      </c>
      <c r="Q337">
        <v>771</v>
      </c>
      <c r="R337" t="s">
        <v>39</v>
      </c>
      <c r="S337">
        <f>IF(support_tickets[[#This Row],[status_cleaned]]="closed",1,0)</f>
        <v>1</v>
      </c>
      <c r="T337" t="str">
        <f>TEXT(support_tickets[[#This Row],[opened_at]],"mmm yyyy")</f>
        <v>Jan 2026</v>
      </c>
      <c r="U337">
        <f>YEAR(support_tickets[[#This Row],[opened_at]])*100+MONTH(support_tickets[[#This Row],[opened_at]])</f>
        <v>202601</v>
      </c>
      <c r="V337" s="29">
        <f>DATE(YEAR(support_tickets[[#This Row],[opened_at]]),MONTH(support_tickets[[#This Row],[opened_at]]),1)</f>
        <v>46023</v>
      </c>
    </row>
    <row r="338" spans="1:22">
      <c r="A338">
        <v>5374517318</v>
      </c>
      <c r="B338">
        <v>288000513</v>
      </c>
      <c r="C338" t="s">
        <v>1112</v>
      </c>
      <c r="D338" t="s">
        <v>1113</v>
      </c>
      <c r="E338">
        <v>58537831</v>
      </c>
      <c r="G338" s="1">
        <v>45867.229305555556</v>
      </c>
      <c r="H338" s="1">
        <v>45867.33</v>
      </c>
      <c r="I338" t="s">
        <v>52</v>
      </c>
      <c r="J338" t="s">
        <v>86</v>
      </c>
      <c r="K338" t="s">
        <v>20</v>
      </c>
      <c r="L338" t="s">
        <v>21</v>
      </c>
      <c r="M338">
        <v>56</v>
      </c>
      <c r="N338">
        <v>145</v>
      </c>
      <c r="O338">
        <v>0</v>
      </c>
      <c r="P338" t="s">
        <v>87</v>
      </c>
      <c r="Q338">
        <v>774</v>
      </c>
      <c r="R338" t="s">
        <v>39</v>
      </c>
      <c r="S338">
        <f>IF(support_tickets[[#This Row],[status_cleaned]]="closed",1,0)</f>
        <v>1</v>
      </c>
      <c r="T338" t="str">
        <f>TEXT(support_tickets[[#This Row],[opened_at]],"mmm yyyy")</f>
        <v>Jul 2025</v>
      </c>
      <c r="U338">
        <f>YEAR(support_tickets[[#This Row],[opened_at]])*100+MONTH(support_tickets[[#This Row],[opened_at]])</f>
        <v>202507</v>
      </c>
      <c r="V338" s="29">
        <f>DATE(YEAR(support_tickets[[#This Row],[opened_at]]),MONTH(support_tickets[[#This Row],[opened_at]]),1)</f>
        <v>45839</v>
      </c>
    </row>
    <row r="339" spans="1:22">
      <c r="A339">
        <v>5460836206</v>
      </c>
      <c r="B339">
        <v>871588919</v>
      </c>
      <c r="C339" t="s">
        <v>1126</v>
      </c>
      <c r="D339" t="s">
        <v>1127</v>
      </c>
      <c r="E339">
        <v>98753260</v>
      </c>
      <c r="F339">
        <v>9506361521</v>
      </c>
      <c r="G339" s="1">
        <v>45637.165034722224</v>
      </c>
      <c r="H339" s="1">
        <v>45637.392118055555</v>
      </c>
      <c r="I339" t="s">
        <v>43</v>
      </c>
      <c r="J339" t="s">
        <v>59</v>
      </c>
      <c r="K339" t="s">
        <v>20</v>
      </c>
      <c r="L339" t="s">
        <v>21</v>
      </c>
      <c r="M339">
        <v>37</v>
      </c>
      <c r="N339">
        <v>327</v>
      </c>
      <c r="O339">
        <v>0</v>
      </c>
      <c r="P339" t="s">
        <v>61</v>
      </c>
      <c r="Q339">
        <v>793</v>
      </c>
      <c r="R339" t="s">
        <v>39</v>
      </c>
      <c r="S339">
        <f>IF(support_tickets[[#This Row],[status_cleaned]]="closed",1,0)</f>
        <v>1</v>
      </c>
      <c r="T339" t="str">
        <f>TEXT(support_tickets[[#This Row],[opened_at]],"mmm yyyy")</f>
        <v>Dec 2024</v>
      </c>
      <c r="U339">
        <f>YEAR(support_tickets[[#This Row],[opened_at]])*100+MONTH(support_tickets[[#This Row],[opened_at]])</f>
        <v>202412</v>
      </c>
      <c r="V339" s="29">
        <f>DATE(YEAR(support_tickets[[#This Row],[opened_at]]),MONTH(support_tickets[[#This Row],[opened_at]]),1)</f>
        <v>45627</v>
      </c>
    </row>
    <row r="340" spans="1:22">
      <c r="A340">
        <v>5478433261</v>
      </c>
      <c r="B340">
        <v>599714064</v>
      </c>
      <c r="C340" t="s">
        <v>791</v>
      </c>
      <c r="D340" t="s">
        <v>792</v>
      </c>
      <c r="E340">
        <v>10872248</v>
      </c>
      <c r="F340">
        <v>9766195466</v>
      </c>
      <c r="G340" s="1">
        <v>45805.65152777778</v>
      </c>
      <c r="H340" s="1">
        <v>45805.816805555558</v>
      </c>
      <c r="I340" t="s">
        <v>56</v>
      </c>
      <c r="J340" t="s">
        <v>30</v>
      </c>
      <c r="K340" t="s">
        <v>20</v>
      </c>
      <c r="L340" t="s">
        <v>21</v>
      </c>
      <c r="M340">
        <v>12</v>
      </c>
      <c r="N340">
        <v>238</v>
      </c>
      <c r="O340">
        <v>0</v>
      </c>
      <c r="P340" t="s">
        <v>31</v>
      </c>
      <c r="Q340">
        <v>797</v>
      </c>
      <c r="R340" t="s">
        <v>39</v>
      </c>
      <c r="S340">
        <f>IF(support_tickets[[#This Row],[status_cleaned]]="closed",1,0)</f>
        <v>1</v>
      </c>
      <c r="T340" t="str">
        <f>TEXT(support_tickets[[#This Row],[opened_at]],"mmm yyyy")</f>
        <v>May 2025</v>
      </c>
      <c r="U340">
        <f>YEAR(support_tickets[[#This Row],[opened_at]])*100+MONTH(support_tickets[[#This Row],[opened_at]])</f>
        <v>202505</v>
      </c>
      <c r="V340" s="29">
        <f>DATE(YEAR(support_tickets[[#This Row],[opened_at]]),MONTH(support_tickets[[#This Row],[opened_at]]),1)</f>
        <v>45778</v>
      </c>
    </row>
    <row r="341" spans="1:22">
      <c r="A341">
        <v>5478557378</v>
      </c>
      <c r="B341">
        <v>644738967</v>
      </c>
      <c r="C341" t="s">
        <v>594</v>
      </c>
      <c r="D341" t="s">
        <v>595</v>
      </c>
      <c r="E341">
        <v>40587988</v>
      </c>
      <c r="G341" s="1">
        <v>45447.317962962959</v>
      </c>
      <c r="H341" s="1">
        <v>45447.583240740743</v>
      </c>
      <c r="I341" t="s">
        <v>56</v>
      </c>
      <c r="J341" t="s">
        <v>25</v>
      </c>
      <c r="K341" t="s">
        <v>20</v>
      </c>
      <c r="L341" t="s">
        <v>21</v>
      </c>
      <c r="M341">
        <v>14</v>
      </c>
      <c r="N341">
        <v>382</v>
      </c>
      <c r="O341">
        <v>0</v>
      </c>
      <c r="P341" t="s">
        <v>27</v>
      </c>
      <c r="Q341">
        <v>798</v>
      </c>
      <c r="R341" t="s">
        <v>39</v>
      </c>
      <c r="S341">
        <f>IF(support_tickets[[#This Row],[status_cleaned]]="closed",1,0)</f>
        <v>1</v>
      </c>
      <c r="T341" t="str">
        <f>TEXT(support_tickets[[#This Row],[opened_at]],"mmm yyyy")</f>
        <v>Jun 2024</v>
      </c>
      <c r="U341">
        <f>YEAR(support_tickets[[#This Row],[opened_at]])*100+MONTH(support_tickets[[#This Row],[opened_at]])</f>
        <v>202406</v>
      </c>
      <c r="V341" s="29">
        <f>DATE(YEAR(support_tickets[[#This Row],[opened_at]]),MONTH(support_tickets[[#This Row],[opened_at]]),1)</f>
        <v>45444</v>
      </c>
    </row>
    <row r="342" spans="1:22">
      <c r="A342">
        <v>5491218283</v>
      </c>
      <c r="B342">
        <v>478918222</v>
      </c>
      <c r="C342" t="s">
        <v>1132</v>
      </c>
      <c r="D342" t="s">
        <v>1133</v>
      </c>
      <c r="E342">
        <v>51273847</v>
      </c>
      <c r="G342" s="1">
        <v>45667.524837962963</v>
      </c>
      <c r="H342" s="1">
        <v>45667.567199074074</v>
      </c>
      <c r="I342" t="s">
        <v>18</v>
      </c>
      <c r="J342" t="s">
        <v>30</v>
      </c>
      <c r="K342" t="s">
        <v>20</v>
      </c>
      <c r="L342" t="s">
        <v>21</v>
      </c>
      <c r="M342">
        <v>38</v>
      </c>
      <c r="N342">
        <v>61</v>
      </c>
      <c r="O342">
        <v>0</v>
      </c>
      <c r="P342" t="s">
        <v>31</v>
      </c>
      <c r="Q342">
        <v>801</v>
      </c>
      <c r="R342" t="s">
        <v>39</v>
      </c>
      <c r="S342">
        <f>IF(support_tickets[[#This Row],[status_cleaned]]="closed",1,0)</f>
        <v>1</v>
      </c>
      <c r="T342" t="str">
        <f>TEXT(support_tickets[[#This Row],[opened_at]],"mmm yyyy")</f>
        <v>Jan 2025</v>
      </c>
      <c r="U342">
        <f>YEAR(support_tickets[[#This Row],[opened_at]])*100+MONTH(support_tickets[[#This Row],[opened_at]])</f>
        <v>202501</v>
      </c>
      <c r="V342" s="29">
        <f>DATE(YEAR(support_tickets[[#This Row],[opened_at]]),MONTH(support_tickets[[#This Row],[opened_at]]),1)</f>
        <v>45658</v>
      </c>
    </row>
    <row r="343" spans="1:22">
      <c r="A343">
        <v>5555027660</v>
      </c>
      <c r="B343">
        <v>527385805</v>
      </c>
      <c r="C343" t="s">
        <v>1148</v>
      </c>
      <c r="D343" t="s">
        <v>1149</v>
      </c>
      <c r="E343">
        <v>47338124</v>
      </c>
      <c r="G343" s="1">
        <v>45526.349733796298</v>
      </c>
      <c r="H343" s="1">
        <v>45526.455289351848</v>
      </c>
      <c r="I343" t="s">
        <v>37</v>
      </c>
      <c r="J343" t="s">
        <v>19</v>
      </c>
      <c r="K343" t="s">
        <v>20</v>
      </c>
      <c r="L343" t="s">
        <v>21</v>
      </c>
      <c r="M343">
        <v>17</v>
      </c>
      <c r="N343">
        <v>152</v>
      </c>
      <c r="O343">
        <v>0</v>
      </c>
      <c r="P343" t="s">
        <v>22</v>
      </c>
      <c r="Q343">
        <v>813</v>
      </c>
      <c r="R343" t="s">
        <v>39</v>
      </c>
      <c r="S343">
        <f>IF(support_tickets[[#This Row],[status_cleaned]]="closed",1,0)</f>
        <v>1</v>
      </c>
      <c r="T343" t="str">
        <f>TEXT(support_tickets[[#This Row],[opened_at]],"mmm yyyy")</f>
        <v>Aug 2024</v>
      </c>
      <c r="U343">
        <f>YEAR(support_tickets[[#This Row],[opened_at]])*100+MONTH(support_tickets[[#This Row],[opened_at]])</f>
        <v>202408</v>
      </c>
      <c r="V343" s="29">
        <f>DATE(YEAR(support_tickets[[#This Row],[opened_at]]),MONTH(support_tickets[[#This Row],[opened_at]]),1)</f>
        <v>45505</v>
      </c>
    </row>
    <row r="344" spans="1:22">
      <c r="A344">
        <v>5564668052</v>
      </c>
      <c r="B344">
        <v>470838810</v>
      </c>
      <c r="C344" t="s">
        <v>364</v>
      </c>
      <c r="D344" t="s">
        <v>365</v>
      </c>
      <c r="E344">
        <v>38538251</v>
      </c>
      <c r="G344" s="1">
        <v>45853.301099537035</v>
      </c>
      <c r="H344" s="1">
        <v>45853.610821759263</v>
      </c>
      <c r="I344" t="s">
        <v>46</v>
      </c>
      <c r="J344" t="s">
        <v>19</v>
      </c>
      <c r="K344" t="s">
        <v>20</v>
      </c>
      <c r="L344" t="s">
        <v>21</v>
      </c>
      <c r="M344">
        <v>35</v>
      </c>
      <c r="N344">
        <v>446</v>
      </c>
      <c r="O344">
        <v>0</v>
      </c>
      <c r="P344" t="s">
        <v>22</v>
      </c>
      <c r="Q344">
        <v>815</v>
      </c>
      <c r="R344" t="s">
        <v>39</v>
      </c>
      <c r="S344">
        <f>IF(support_tickets[[#This Row],[status_cleaned]]="closed",1,0)</f>
        <v>1</v>
      </c>
      <c r="T344" t="str">
        <f>TEXT(support_tickets[[#This Row],[opened_at]],"mmm yyyy")</f>
        <v>Jul 2025</v>
      </c>
      <c r="U344">
        <f>YEAR(support_tickets[[#This Row],[opened_at]])*100+MONTH(support_tickets[[#This Row],[opened_at]])</f>
        <v>202507</v>
      </c>
      <c r="V344" s="29">
        <f>DATE(YEAR(support_tickets[[#This Row],[opened_at]]),MONTH(support_tickets[[#This Row],[opened_at]]),1)</f>
        <v>45839</v>
      </c>
    </row>
    <row r="345" spans="1:22">
      <c r="A345">
        <v>5593301898</v>
      </c>
      <c r="B345">
        <v>830261466</v>
      </c>
      <c r="C345" t="s">
        <v>918</v>
      </c>
      <c r="D345" t="s">
        <v>919</v>
      </c>
      <c r="E345">
        <v>53524491</v>
      </c>
      <c r="G345" s="1">
        <v>45396.937777777777</v>
      </c>
      <c r="H345" s="1">
        <v>45397.191250000003</v>
      </c>
      <c r="I345" t="s">
        <v>18</v>
      </c>
      <c r="J345" t="s">
        <v>86</v>
      </c>
      <c r="K345" t="s">
        <v>20</v>
      </c>
      <c r="L345" t="s">
        <v>21</v>
      </c>
      <c r="M345">
        <v>54</v>
      </c>
      <c r="N345">
        <v>365</v>
      </c>
      <c r="O345">
        <v>0</v>
      </c>
      <c r="P345" t="s">
        <v>87</v>
      </c>
      <c r="Q345">
        <v>820</v>
      </c>
      <c r="R345" t="s">
        <v>39</v>
      </c>
      <c r="S345">
        <f>IF(support_tickets[[#This Row],[status_cleaned]]="closed",1,0)</f>
        <v>1</v>
      </c>
      <c r="T345" t="str">
        <f>TEXT(support_tickets[[#This Row],[opened_at]],"mmm yyyy")</f>
        <v>Apr 2024</v>
      </c>
      <c r="U345">
        <f>YEAR(support_tickets[[#This Row],[opened_at]])*100+MONTH(support_tickets[[#This Row],[opened_at]])</f>
        <v>202404</v>
      </c>
      <c r="V345" s="29">
        <f>DATE(YEAR(support_tickets[[#This Row],[opened_at]]),MONTH(support_tickets[[#This Row],[opened_at]]),1)</f>
        <v>45383</v>
      </c>
    </row>
    <row r="346" spans="1:22">
      <c r="A346">
        <v>5594447367</v>
      </c>
      <c r="B346">
        <v>975903641</v>
      </c>
      <c r="C346" t="s">
        <v>1026</v>
      </c>
      <c r="D346" t="s">
        <v>1027</v>
      </c>
      <c r="E346">
        <v>43101783</v>
      </c>
      <c r="F346">
        <v>1477886699</v>
      </c>
      <c r="G346" s="1">
        <v>45852.290694444448</v>
      </c>
      <c r="H346" s="1">
        <v>45852.613611111112</v>
      </c>
      <c r="I346" t="s">
        <v>3</v>
      </c>
      <c r="J346" t="s">
        <v>19</v>
      </c>
      <c r="K346" t="s">
        <v>20</v>
      </c>
      <c r="L346" t="s">
        <v>21</v>
      </c>
      <c r="M346">
        <v>28</v>
      </c>
      <c r="N346">
        <v>465</v>
      </c>
      <c r="O346">
        <v>0</v>
      </c>
      <c r="P346" t="s">
        <v>22</v>
      </c>
      <c r="Q346">
        <v>821</v>
      </c>
      <c r="R346" t="s">
        <v>39</v>
      </c>
      <c r="S346">
        <f>IF(support_tickets[[#This Row],[status_cleaned]]="closed",1,0)</f>
        <v>1</v>
      </c>
      <c r="T346" t="str">
        <f>TEXT(support_tickets[[#This Row],[opened_at]],"mmm yyyy")</f>
        <v>Jul 2025</v>
      </c>
      <c r="U346">
        <f>YEAR(support_tickets[[#This Row],[opened_at]])*100+MONTH(support_tickets[[#This Row],[opened_at]])</f>
        <v>202507</v>
      </c>
      <c r="V346" s="29">
        <f>DATE(YEAR(support_tickets[[#This Row],[opened_at]]),MONTH(support_tickets[[#This Row],[opened_at]]),1)</f>
        <v>45839</v>
      </c>
    </row>
    <row r="347" spans="1:22">
      <c r="A347">
        <v>5646936821</v>
      </c>
      <c r="B347">
        <v>893112954</v>
      </c>
      <c r="C347" t="s">
        <v>968</v>
      </c>
      <c r="D347" t="s">
        <v>969</v>
      </c>
      <c r="E347">
        <v>52235350</v>
      </c>
      <c r="F347">
        <v>8591506799</v>
      </c>
      <c r="G347" s="1">
        <v>45485.331620370373</v>
      </c>
      <c r="H347" s="1">
        <v>45485.526759259257</v>
      </c>
      <c r="I347" t="s">
        <v>46</v>
      </c>
      <c r="J347" t="s">
        <v>25</v>
      </c>
      <c r="K347" t="s">
        <v>20</v>
      </c>
      <c r="L347" t="s">
        <v>21</v>
      </c>
      <c r="M347">
        <v>25</v>
      </c>
      <c r="N347">
        <v>281</v>
      </c>
      <c r="O347">
        <v>0</v>
      </c>
      <c r="P347" t="s">
        <v>27</v>
      </c>
      <c r="Q347">
        <v>829</v>
      </c>
      <c r="R347" t="s">
        <v>39</v>
      </c>
      <c r="S347">
        <f>IF(support_tickets[[#This Row],[status_cleaned]]="closed",1,0)</f>
        <v>1</v>
      </c>
      <c r="T347" t="str">
        <f>TEXT(support_tickets[[#This Row],[opened_at]],"mmm yyyy")</f>
        <v>Jul 2024</v>
      </c>
      <c r="U347">
        <f>YEAR(support_tickets[[#This Row],[opened_at]])*100+MONTH(support_tickets[[#This Row],[opened_at]])</f>
        <v>202407</v>
      </c>
      <c r="V347" s="29">
        <f>DATE(YEAR(support_tickets[[#This Row],[opened_at]]),MONTH(support_tickets[[#This Row],[opened_at]]),1)</f>
        <v>45474</v>
      </c>
    </row>
    <row r="348" spans="1:22">
      <c r="A348">
        <v>5655887998</v>
      </c>
      <c r="B348">
        <v>756569565</v>
      </c>
      <c r="C348" t="s">
        <v>316</v>
      </c>
      <c r="D348" t="s">
        <v>317</v>
      </c>
      <c r="E348">
        <v>39345092</v>
      </c>
      <c r="G348" s="1">
        <v>45597.083611111113</v>
      </c>
      <c r="H348" s="1">
        <v>45597.359305555554</v>
      </c>
      <c r="I348" t="s">
        <v>52</v>
      </c>
      <c r="J348" t="s">
        <v>59</v>
      </c>
      <c r="K348" t="s">
        <v>20</v>
      </c>
      <c r="L348" t="s">
        <v>21</v>
      </c>
      <c r="M348">
        <v>42</v>
      </c>
      <c r="N348">
        <v>397</v>
      </c>
      <c r="O348">
        <v>0</v>
      </c>
      <c r="P348" t="s">
        <v>61</v>
      </c>
      <c r="Q348">
        <v>830</v>
      </c>
      <c r="R348" t="s">
        <v>39</v>
      </c>
      <c r="S348">
        <f>IF(support_tickets[[#This Row],[status_cleaned]]="closed",1,0)</f>
        <v>1</v>
      </c>
      <c r="T348" t="str">
        <f>TEXT(support_tickets[[#This Row],[opened_at]],"mmm yyyy")</f>
        <v>Nov 2024</v>
      </c>
      <c r="U348">
        <f>YEAR(support_tickets[[#This Row],[opened_at]])*100+MONTH(support_tickets[[#This Row],[opened_at]])</f>
        <v>202411</v>
      </c>
      <c r="V348" s="29">
        <f>DATE(YEAR(support_tickets[[#This Row],[opened_at]]),MONTH(support_tickets[[#This Row],[opened_at]]),1)</f>
        <v>45597</v>
      </c>
    </row>
    <row r="349" spans="1:22">
      <c r="A349">
        <v>5668116847</v>
      </c>
      <c r="B349">
        <v>527589822</v>
      </c>
      <c r="C349" t="s">
        <v>226</v>
      </c>
      <c r="D349" t="s">
        <v>227</v>
      </c>
      <c r="E349">
        <v>75228535</v>
      </c>
      <c r="F349">
        <v>3390012828</v>
      </c>
      <c r="G349" s="1">
        <v>45992.145671296297</v>
      </c>
      <c r="H349" s="1">
        <v>45992.509560185186</v>
      </c>
      <c r="I349" t="s">
        <v>18</v>
      </c>
      <c r="J349" t="s">
        <v>25</v>
      </c>
      <c r="K349" t="s">
        <v>20</v>
      </c>
      <c r="L349" t="s">
        <v>21</v>
      </c>
      <c r="M349">
        <v>46</v>
      </c>
      <c r="N349">
        <v>524</v>
      </c>
      <c r="O349">
        <v>0</v>
      </c>
      <c r="P349" t="s">
        <v>27</v>
      </c>
      <c r="Q349">
        <v>831</v>
      </c>
      <c r="R349" t="s">
        <v>39</v>
      </c>
      <c r="S349">
        <f>IF(support_tickets[[#This Row],[status_cleaned]]="closed",1,0)</f>
        <v>1</v>
      </c>
      <c r="T349" t="str">
        <f>TEXT(support_tickets[[#This Row],[opened_at]],"mmm yyyy")</f>
        <v>Dec 2025</v>
      </c>
      <c r="U349">
        <f>YEAR(support_tickets[[#This Row],[opened_at]])*100+MONTH(support_tickets[[#This Row],[opened_at]])</f>
        <v>202512</v>
      </c>
      <c r="V349" s="29">
        <f>DATE(YEAR(support_tickets[[#This Row],[opened_at]]),MONTH(support_tickets[[#This Row],[opened_at]]),1)</f>
        <v>45992</v>
      </c>
    </row>
    <row r="350" spans="1:22">
      <c r="A350">
        <v>5681718803</v>
      </c>
      <c r="B350">
        <v>586989309</v>
      </c>
      <c r="C350" t="s">
        <v>1158</v>
      </c>
      <c r="D350" t="s">
        <v>1159</v>
      </c>
      <c r="E350">
        <v>81016525</v>
      </c>
      <c r="G350" s="1">
        <v>45492.531990740739</v>
      </c>
      <c r="H350" s="1">
        <v>45492.618796296294</v>
      </c>
      <c r="I350" t="s">
        <v>18</v>
      </c>
      <c r="J350" t="s">
        <v>86</v>
      </c>
      <c r="K350" t="s">
        <v>20</v>
      </c>
      <c r="L350" t="s">
        <v>21</v>
      </c>
      <c r="M350">
        <v>16</v>
      </c>
      <c r="N350">
        <v>125</v>
      </c>
      <c r="O350">
        <v>0</v>
      </c>
      <c r="P350" t="s">
        <v>87</v>
      </c>
      <c r="Q350">
        <v>832</v>
      </c>
      <c r="R350" t="s">
        <v>39</v>
      </c>
      <c r="S350">
        <f>IF(support_tickets[[#This Row],[status_cleaned]]="closed",1,0)</f>
        <v>1</v>
      </c>
      <c r="T350" t="str">
        <f>TEXT(support_tickets[[#This Row],[opened_at]],"mmm yyyy")</f>
        <v>Jul 2024</v>
      </c>
      <c r="U350">
        <f>YEAR(support_tickets[[#This Row],[opened_at]])*100+MONTH(support_tickets[[#This Row],[opened_at]])</f>
        <v>202407</v>
      </c>
      <c r="V350" s="29">
        <f>DATE(YEAR(support_tickets[[#This Row],[opened_at]]),MONTH(support_tickets[[#This Row],[opened_at]]),1)</f>
        <v>45474</v>
      </c>
    </row>
    <row r="351" spans="1:22">
      <c r="A351">
        <v>5695059044</v>
      </c>
      <c r="B351">
        <v>855438611</v>
      </c>
      <c r="C351" t="s">
        <v>608</v>
      </c>
      <c r="D351" t="s">
        <v>609</v>
      </c>
      <c r="E351">
        <v>97971488</v>
      </c>
      <c r="G351" s="1">
        <v>45296.594363425924</v>
      </c>
      <c r="H351" s="1">
        <v>45296.929085648146</v>
      </c>
      <c r="I351" t="s">
        <v>46</v>
      </c>
      <c r="J351" t="s">
        <v>86</v>
      </c>
      <c r="K351" t="s">
        <v>20</v>
      </c>
      <c r="L351" t="s">
        <v>21</v>
      </c>
      <c r="M351">
        <v>31</v>
      </c>
      <c r="N351">
        <v>482</v>
      </c>
      <c r="O351">
        <v>0</v>
      </c>
      <c r="P351" t="s">
        <v>87</v>
      </c>
      <c r="Q351">
        <v>836</v>
      </c>
      <c r="R351" t="s">
        <v>39</v>
      </c>
      <c r="S351">
        <f>IF(support_tickets[[#This Row],[status_cleaned]]="closed",1,0)</f>
        <v>1</v>
      </c>
      <c r="T351" t="str">
        <f>TEXT(support_tickets[[#This Row],[opened_at]],"mmm yyyy")</f>
        <v>Jan 2024</v>
      </c>
      <c r="U351">
        <f>YEAR(support_tickets[[#This Row],[opened_at]])*100+MONTH(support_tickets[[#This Row],[opened_at]])</f>
        <v>202401</v>
      </c>
      <c r="V351" s="29">
        <f>DATE(YEAR(support_tickets[[#This Row],[opened_at]]),MONTH(support_tickets[[#This Row],[opened_at]]),1)</f>
        <v>45292</v>
      </c>
    </row>
    <row r="352" spans="1:22">
      <c r="A352">
        <v>5717859996</v>
      </c>
      <c r="B352">
        <v>644738967</v>
      </c>
      <c r="C352" t="s">
        <v>594</v>
      </c>
      <c r="D352" t="s">
        <v>595</v>
      </c>
      <c r="E352">
        <v>52339391</v>
      </c>
      <c r="F352">
        <v>6717968085</v>
      </c>
      <c r="G352" s="1">
        <v>45593.202708333331</v>
      </c>
      <c r="H352" s="1">
        <v>45593.718680555554</v>
      </c>
      <c r="I352" t="s">
        <v>18</v>
      </c>
      <c r="J352" t="s">
        <v>30</v>
      </c>
      <c r="K352" t="s">
        <v>20</v>
      </c>
      <c r="L352" t="s">
        <v>21</v>
      </c>
      <c r="M352">
        <v>6</v>
      </c>
      <c r="N352">
        <v>743</v>
      </c>
      <c r="O352">
        <v>0</v>
      </c>
      <c r="P352" t="s">
        <v>31</v>
      </c>
      <c r="Q352">
        <v>838</v>
      </c>
      <c r="R352" t="s">
        <v>39</v>
      </c>
      <c r="S352">
        <f>IF(support_tickets[[#This Row],[status_cleaned]]="closed",1,0)</f>
        <v>1</v>
      </c>
      <c r="T352" t="str">
        <f>TEXT(support_tickets[[#This Row],[opened_at]],"mmm yyyy")</f>
        <v>Oct 2024</v>
      </c>
      <c r="U352">
        <f>YEAR(support_tickets[[#This Row],[opened_at]])*100+MONTH(support_tickets[[#This Row],[opened_at]])</f>
        <v>202410</v>
      </c>
      <c r="V352" s="29">
        <f>DATE(YEAR(support_tickets[[#This Row],[opened_at]]),MONTH(support_tickets[[#This Row],[opened_at]]),1)</f>
        <v>45566</v>
      </c>
    </row>
    <row r="353" spans="1:22">
      <c r="A353">
        <v>5749304490</v>
      </c>
      <c r="B353">
        <v>419367188</v>
      </c>
      <c r="C353" t="s">
        <v>528</v>
      </c>
      <c r="D353" t="s">
        <v>529</v>
      </c>
      <c r="E353">
        <v>59684848</v>
      </c>
      <c r="G353" s="1">
        <v>46056.718784722223</v>
      </c>
      <c r="H353" s="1">
        <v>46057.204895833333</v>
      </c>
      <c r="I353" t="s">
        <v>52</v>
      </c>
      <c r="J353" t="s">
        <v>86</v>
      </c>
      <c r="K353" t="s">
        <v>20</v>
      </c>
      <c r="L353" t="s">
        <v>21</v>
      </c>
      <c r="M353">
        <v>32</v>
      </c>
      <c r="N353">
        <v>700</v>
      </c>
      <c r="O353">
        <v>0</v>
      </c>
      <c r="P353" t="s">
        <v>87</v>
      </c>
      <c r="Q353">
        <v>844</v>
      </c>
      <c r="R353" t="s">
        <v>39</v>
      </c>
      <c r="S353">
        <f>IF(support_tickets[[#This Row],[status_cleaned]]="closed",1,0)</f>
        <v>1</v>
      </c>
      <c r="T353" t="str">
        <f>TEXT(support_tickets[[#This Row],[opened_at]],"mmm yyyy")</f>
        <v>Feb 2026</v>
      </c>
      <c r="U353">
        <f>YEAR(support_tickets[[#This Row],[opened_at]])*100+MONTH(support_tickets[[#This Row],[opened_at]])</f>
        <v>202602</v>
      </c>
      <c r="V353" s="29">
        <f>DATE(YEAR(support_tickets[[#This Row],[opened_at]]),MONTH(support_tickets[[#This Row],[opened_at]]),1)</f>
        <v>46054</v>
      </c>
    </row>
    <row r="354" spans="1:22">
      <c r="A354">
        <v>5756160606</v>
      </c>
      <c r="B354">
        <v>415429295</v>
      </c>
      <c r="C354" t="s">
        <v>722</v>
      </c>
      <c r="D354" t="s">
        <v>723</v>
      </c>
      <c r="E354">
        <v>40742311</v>
      </c>
      <c r="F354">
        <v>6780272082</v>
      </c>
      <c r="G354" s="1">
        <v>45806.889641203707</v>
      </c>
      <c r="H354" s="1">
        <v>45807.563946759263</v>
      </c>
      <c r="I354" t="s">
        <v>37</v>
      </c>
      <c r="J354" t="s">
        <v>59</v>
      </c>
      <c r="K354" t="s">
        <v>20</v>
      </c>
      <c r="L354" t="s">
        <v>21</v>
      </c>
      <c r="M354">
        <v>35</v>
      </c>
      <c r="N354">
        <v>971</v>
      </c>
      <c r="O354">
        <v>0</v>
      </c>
      <c r="P354" t="s">
        <v>61</v>
      </c>
      <c r="Q354">
        <v>846</v>
      </c>
      <c r="R354" t="s">
        <v>39</v>
      </c>
      <c r="S354">
        <f>IF(support_tickets[[#This Row],[status_cleaned]]="closed",1,0)</f>
        <v>1</v>
      </c>
      <c r="T354" t="str">
        <f>TEXT(support_tickets[[#This Row],[opened_at]],"mmm yyyy")</f>
        <v>May 2025</v>
      </c>
      <c r="U354">
        <f>YEAR(support_tickets[[#This Row],[opened_at]])*100+MONTH(support_tickets[[#This Row],[opened_at]])</f>
        <v>202505</v>
      </c>
      <c r="V354" s="29">
        <f>DATE(YEAR(support_tickets[[#This Row],[opened_at]]),MONTH(support_tickets[[#This Row],[opened_at]]),1)</f>
        <v>45778</v>
      </c>
    </row>
    <row r="355" spans="1:22">
      <c r="A355">
        <v>5796744687</v>
      </c>
      <c r="B355">
        <v>739750911</v>
      </c>
      <c r="C355" t="s">
        <v>1178</v>
      </c>
      <c r="D355" t="s">
        <v>1179</v>
      </c>
      <c r="E355">
        <v>28728463</v>
      </c>
      <c r="G355" s="1">
        <v>46025.406585648147</v>
      </c>
      <c r="H355" s="1">
        <v>46025.789224537039</v>
      </c>
      <c r="I355" t="s">
        <v>37</v>
      </c>
      <c r="J355" t="s">
        <v>30</v>
      </c>
      <c r="K355" t="s">
        <v>20</v>
      </c>
      <c r="L355" t="s">
        <v>21</v>
      </c>
      <c r="M355">
        <v>5</v>
      </c>
      <c r="N355">
        <v>551</v>
      </c>
      <c r="O355">
        <v>0</v>
      </c>
      <c r="P355" t="s">
        <v>31</v>
      </c>
      <c r="Q355">
        <v>857</v>
      </c>
      <c r="R355" t="s">
        <v>39</v>
      </c>
      <c r="S355">
        <f>IF(support_tickets[[#This Row],[status_cleaned]]="closed",1,0)</f>
        <v>1</v>
      </c>
      <c r="T355" t="str">
        <f>TEXT(support_tickets[[#This Row],[opened_at]],"mmm yyyy")</f>
        <v>Jan 2026</v>
      </c>
      <c r="U355">
        <f>YEAR(support_tickets[[#This Row],[opened_at]])*100+MONTH(support_tickets[[#This Row],[opened_at]])</f>
        <v>202601</v>
      </c>
      <c r="V355" s="29">
        <f>DATE(YEAR(support_tickets[[#This Row],[opened_at]]),MONTH(support_tickets[[#This Row],[opened_at]]),1)</f>
        <v>46023</v>
      </c>
    </row>
    <row r="356" spans="1:22">
      <c r="A356">
        <v>5934491213</v>
      </c>
      <c r="B356">
        <v>869801588</v>
      </c>
      <c r="C356" t="s">
        <v>554</v>
      </c>
      <c r="D356" t="s">
        <v>555</v>
      </c>
      <c r="E356">
        <v>16150444</v>
      </c>
      <c r="F356">
        <v>6252965310</v>
      </c>
      <c r="G356" s="1">
        <v>45457.786087962966</v>
      </c>
      <c r="H356" s="1">
        <v>45457.980532407404</v>
      </c>
      <c r="I356" t="s">
        <v>52</v>
      </c>
      <c r="J356" t="s">
        <v>19</v>
      </c>
      <c r="K356" t="s">
        <v>20</v>
      </c>
      <c r="L356" t="s">
        <v>21</v>
      </c>
      <c r="M356">
        <v>1</v>
      </c>
      <c r="N356">
        <v>280</v>
      </c>
      <c r="O356">
        <v>0</v>
      </c>
      <c r="P356" t="s">
        <v>22</v>
      </c>
      <c r="Q356">
        <v>878</v>
      </c>
      <c r="R356" t="s">
        <v>39</v>
      </c>
      <c r="S356">
        <f>IF(support_tickets[[#This Row],[status_cleaned]]="closed",1,0)</f>
        <v>1</v>
      </c>
      <c r="T356" t="str">
        <f>TEXT(support_tickets[[#This Row],[opened_at]],"mmm yyyy")</f>
        <v>Jun 2024</v>
      </c>
      <c r="U356">
        <f>YEAR(support_tickets[[#This Row],[opened_at]])*100+MONTH(support_tickets[[#This Row],[opened_at]])</f>
        <v>202406</v>
      </c>
      <c r="V356" s="29">
        <f>DATE(YEAR(support_tickets[[#This Row],[opened_at]]),MONTH(support_tickets[[#This Row],[opened_at]]),1)</f>
        <v>45444</v>
      </c>
    </row>
    <row r="357" spans="1:22">
      <c r="A357">
        <v>5963057354</v>
      </c>
      <c r="B357">
        <v>488149273</v>
      </c>
      <c r="C357" t="s">
        <v>1196</v>
      </c>
      <c r="D357" t="s">
        <v>1197</v>
      </c>
      <c r="E357">
        <v>83793389</v>
      </c>
      <c r="G357" s="1">
        <v>45958.660358796296</v>
      </c>
      <c r="H357" s="1">
        <v>45959.197858796295</v>
      </c>
      <c r="I357" t="s">
        <v>46</v>
      </c>
      <c r="J357" t="s">
        <v>59</v>
      </c>
      <c r="K357" t="s">
        <v>20</v>
      </c>
      <c r="L357" t="s">
        <v>21</v>
      </c>
      <c r="M357">
        <v>72</v>
      </c>
      <c r="N357">
        <v>774</v>
      </c>
      <c r="O357">
        <v>0</v>
      </c>
      <c r="P357" t="s">
        <v>61</v>
      </c>
      <c r="Q357">
        <v>882</v>
      </c>
      <c r="R357" t="s">
        <v>39</v>
      </c>
      <c r="S357">
        <f>IF(support_tickets[[#This Row],[status_cleaned]]="closed",1,0)</f>
        <v>1</v>
      </c>
      <c r="T357" t="str">
        <f>TEXT(support_tickets[[#This Row],[opened_at]],"mmm yyyy")</f>
        <v>Oct 2025</v>
      </c>
      <c r="U357">
        <f>YEAR(support_tickets[[#This Row],[opened_at]])*100+MONTH(support_tickets[[#This Row],[opened_at]])</f>
        <v>202510</v>
      </c>
      <c r="V357" s="29">
        <f>DATE(YEAR(support_tickets[[#This Row],[opened_at]]),MONTH(support_tickets[[#This Row],[opened_at]]),1)</f>
        <v>45931</v>
      </c>
    </row>
    <row r="358" spans="1:22">
      <c r="A358">
        <v>5979301743</v>
      </c>
      <c r="B358">
        <v>841419015</v>
      </c>
      <c r="C358" t="s">
        <v>1200</v>
      </c>
      <c r="D358" t="s">
        <v>1201</v>
      </c>
      <c r="E358">
        <v>88461803</v>
      </c>
      <c r="G358" s="1">
        <v>45972.2500462963</v>
      </c>
      <c r="H358" s="1">
        <v>45972.650740740741</v>
      </c>
      <c r="I358" t="s">
        <v>52</v>
      </c>
      <c r="J358" t="s">
        <v>30</v>
      </c>
      <c r="K358" t="s">
        <v>20</v>
      </c>
      <c r="L358" t="s">
        <v>21</v>
      </c>
      <c r="M358">
        <v>39</v>
      </c>
      <c r="N358">
        <v>577</v>
      </c>
      <c r="O358">
        <v>0</v>
      </c>
      <c r="P358" t="s">
        <v>31</v>
      </c>
      <c r="Q358">
        <v>886</v>
      </c>
      <c r="R358" t="s">
        <v>39</v>
      </c>
      <c r="S358">
        <f>IF(support_tickets[[#This Row],[status_cleaned]]="closed",1,0)</f>
        <v>1</v>
      </c>
      <c r="T358" t="str">
        <f>TEXT(support_tickets[[#This Row],[opened_at]],"mmm yyyy")</f>
        <v>Nov 2025</v>
      </c>
      <c r="U358">
        <f>YEAR(support_tickets[[#This Row],[opened_at]])*100+MONTH(support_tickets[[#This Row],[opened_at]])</f>
        <v>202511</v>
      </c>
      <c r="V358" s="29">
        <f>DATE(YEAR(support_tickets[[#This Row],[opened_at]]),MONTH(support_tickets[[#This Row],[opened_at]]),1)</f>
        <v>45962</v>
      </c>
    </row>
    <row r="359" spans="1:22">
      <c r="A359">
        <v>6032178997</v>
      </c>
      <c r="B359">
        <v>447464644</v>
      </c>
      <c r="C359" t="s">
        <v>100</v>
      </c>
      <c r="D359" t="s">
        <v>101</v>
      </c>
      <c r="E359">
        <v>63606628</v>
      </c>
      <c r="G359" s="1">
        <v>45701.399236111109</v>
      </c>
      <c r="H359" s="1">
        <v>45701.715902777774</v>
      </c>
      <c r="I359" t="s">
        <v>43</v>
      </c>
      <c r="J359" t="s">
        <v>30</v>
      </c>
      <c r="K359" t="s">
        <v>20</v>
      </c>
      <c r="L359" t="s">
        <v>21</v>
      </c>
      <c r="M359">
        <v>87</v>
      </c>
      <c r="N359">
        <v>456</v>
      </c>
      <c r="O359">
        <v>0</v>
      </c>
      <c r="P359" t="s">
        <v>31</v>
      </c>
      <c r="Q359">
        <v>894</v>
      </c>
      <c r="R359" t="s">
        <v>39</v>
      </c>
      <c r="S359">
        <f>IF(support_tickets[[#This Row],[status_cleaned]]="closed",1,0)</f>
        <v>1</v>
      </c>
      <c r="T359" t="str">
        <f>TEXT(support_tickets[[#This Row],[opened_at]],"mmm yyyy")</f>
        <v>Feb 2025</v>
      </c>
      <c r="U359">
        <f>YEAR(support_tickets[[#This Row],[opened_at]])*100+MONTH(support_tickets[[#This Row],[opened_at]])</f>
        <v>202502</v>
      </c>
      <c r="V359" s="29">
        <f>DATE(YEAR(support_tickets[[#This Row],[opened_at]]),MONTH(support_tickets[[#This Row],[opened_at]]),1)</f>
        <v>45689</v>
      </c>
    </row>
    <row r="360" spans="1:22">
      <c r="A360">
        <v>6122407316</v>
      </c>
      <c r="B360">
        <v>675583372</v>
      </c>
      <c r="C360" t="s">
        <v>1228</v>
      </c>
      <c r="D360" t="s">
        <v>1229</v>
      </c>
      <c r="E360">
        <v>31429110</v>
      </c>
      <c r="F360">
        <v>5842292127</v>
      </c>
      <c r="G360" s="1">
        <v>46006.41064814815</v>
      </c>
      <c r="H360" s="1">
        <v>46006.697453703702</v>
      </c>
      <c r="I360" t="s">
        <v>56</v>
      </c>
      <c r="J360" t="s">
        <v>19</v>
      </c>
      <c r="K360" t="s">
        <v>20</v>
      </c>
      <c r="L360" t="s">
        <v>21</v>
      </c>
      <c r="M360">
        <v>53</v>
      </c>
      <c r="N360">
        <v>413</v>
      </c>
      <c r="O360">
        <v>0</v>
      </c>
      <c r="P360" t="s">
        <v>22</v>
      </c>
      <c r="Q360">
        <v>914</v>
      </c>
      <c r="R360" t="s">
        <v>39</v>
      </c>
      <c r="S360">
        <f>IF(support_tickets[[#This Row],[status_cleaned]]="closed",1,0)</f>
        <v>1</v>
      </c>
      <c r="T360" t="str">
        <f>TEXT(support_tickets[[#This Row],[opened_at]],"mmm yyyy")</f>
        <v>Dec 2025</v>
      </c>
      <c r="U360">
        <f>YEAR(support_tickets[[#This Row],[opened_at]])*100+MONTH(support_tickets[[#This Row],[opened_at]])</f>
        <v>202512</v>
      </c>
      <c r="V360" s="29">
        <f>DATE(YEAR(support_tickets[[#This Row],[opened_at]]),MONTH(support_tickets[[#This Row],[opened_at]]),1)</f>
        <v>45992</v>
      </c>
    </row>
    <row r="361" spans="1:22">
      <c r="A361">
        <v>6145222573</v>
      </c>
      <c r="B361">
        <v>856975382</v>
      </c>
      <c r="C361" t="s">
        <v>803</v>
      </c>
      <c r="D361" t="s">
        <v>804</v>
      </c>
      <c r="E361">
        <v>43744231</v>
      </c>
      <c r="F361">
        <v>6499884316</v>
      </c>
      <c r="G361" s="1">
        <v>46007.340324074074</v>
      </c>
      <c r="H361" s="1">
        <v>46007.734768518516</v>
      </c>
      <c r="I361" t="s">
        <v>52</v>
      </c>
      <c r="J361" t="s">
        <v>30</v>
      </c>
      <c r="K361" t="s">
        <v>20</v>
      </c>
      <c r="L361" t="s">
        <v>21</v>
      </c>
      <c r="M361">
        <v>41</v>
      </c>
      <c r="N361">
        <v>568</v>
      </c>
      <c r="O361">
        <v>0</v>
      </c>
      <c r="P361" t="s">
        <v>31</v>
      </c>
      <c r="Q361">
        <v>917</v>
      </c>
      <c r="R361" t="s">
        <v>39</v>
      </c>
      <c r="S361">
        <f>IF(support_tickets[[#This Row],[status_cleaned]]="closed",1,0)</f>
        <v>1</v>
      </c>
      <c r="T361" t="str">
        <f>TEXT(support_tickets[[#This Row],[opened_at]],"mmm yyyy")</f>
        <v>Dec 2025</v>
      </c>
      <c r="U361">
        <f>YEAR(support_tickets[[#This Row],[opened_at]])*100+MONTH(support_tickets[[#This Row],[opened_at]])</f>
        <v>202512</v>
      </c>
      <c r="V361" s="29">
        <f>DATE(YEAR(support_tickets[[#This Row],[opened_at]]),MONTH(support_tickets[[#This Row],[opened_at]]),1)</f>
        <v>45992</v>
      </c>
    </row>
    <row r="362" spans="1:22">
      <c r="A362">
        <v>6151550425</v>
      </c>
      <c r="B362">
        <v>982252092</v>
      </c>
      <c r="C362" t="s">
        <v>1230</v>
      </c>
      <c r="D362" t="s">
        <v>1231</v>
      </c>
      <c r="E362">
        <v>71586053</v>
      </c>
      <c r="G362" s="1">
        <v>45341.536805555559</v>
      </c>
      <c r="H362" s="1">
        <v>45341.880555555559</v>
      </c>
      <c r="I362" t="s">
        <v>46</v>
      </c>
      <c r="J362" t="s">
        <v>30</v>
      </c>
      <c r="K362" t="s">
        <v>20</v>
      </c>
      <c r="L362" t="s">
        <v>21</v>
      </c>
      <c r="M362">
        <v>9</v>
      </c>
      <c r="N362">
        <v>495</v>
      </c>
      <c r="O362">
        <v>0</v>
      </c>
      <c r="P362" t="s">
        <v>31</v>
      </c>
      <c r="Q362">
        <v>918</v>
      </c>
      <c r="R362" t="s">
        <v>39</v>
      </c>
      <c r="S362">
        <f>IF(support_tickets[[#This Row],[status_cleaned]]="closed",1,0)</f>
        <v>1</v>
      </c>
      <c r="T362" t="str">
        <f>TEXT(support_tickets[[#This Row],[opened_at]],"mmm yyyy")</f>
        <v>Feb 2024</v>
      </c>
      <c r="U362">
        <f>YEAR(support_tickets[[#This Row],[opened_at]])*100+MONTH(support_tickets[[#This Row],[opened_at]])</f>
        <v>202402</v>
      </c>
      <c r="V362" s="29">
        <f>DATE(YEAR(support_tickets[[#This Row],[opened_at]]),MONTH(support_tickets[[#This Row],[opened_at]]),1)</f>
        <v>45323</v>
      </c>
    </row>
    <row r="363" spans="1:22">
      <c r="A363">
        <v>6180205939</v>
      </c>
      <c r="B363">
        <v>590687732</v>
      </c>
      <c r="C363" t="s">
        <v>1226</v>
      </c>
      <c r="D363" t="s">
        <v>1227</v>
      </c>
      <c r="E363">
        <v>91030736</v>
      </c>
      <c r="F363">
        <v>7506506106</v>
      </c>
      <c r="G363" s="1">
        <v>45375.523414351854</v>
      </c>
      <c r="H363" s="1">
        <v>45375.836608796293</v>
      </c>
      <c r="I363" t="s">
        <v>52</v>
      </c>
      <c r="J363" t="s">
        <v>38</v>
      </c>
      <c r="K363" t="s">
        <v>20</v>
      </c>
      <c r="L363" t="s">
        <v>21</v>
      </c>
      <c r="M363">
        <v>32</v>
      </c>
      <c r="N363">
        <v>451</v>
      </c>
      <c r="O363">
        <v>0</v>
      </c>
      <c r="P363" t="s">
        <v>40</v>
      </c>
      <c r="Q363">
        <v>922</v>
      </c>
      <c r="R363" t="s">
        <v>39</v>
      </c>
      <c r="S363">
        <f>IF(support_tickets[[#This Row],[status_cleaned]]="closed",1,0)</f>
        <v>1</v>
      </c>
      <c r="T363" t="str">
        <f>TEXT(support_tickets[[#This Row],[opened_at]],"mmm yyyy")</f>
        <v>Mar 2024</v>
      </c>
      <c r="U363">
        <f>YEAR(support_tickets[[#This Row],[opened_at]])*100+MONTH(support_tickets[[#This Row],[opened_at]])</f>
        <v>202403</v>
      </c>
      <c r="V363" s="29">
        <f>DATE(YEAR(support_tickets[[#This Row],[opened_at]]),MONTH(support_tickets[[#This Row],[opened_at]]),1)</f>
        <v>45352</v>
      </c>
    </row>
    <row r="364" spans="1:22">
      <c r="A364">
        <v>6262826596</v>
      </c>
      <c r="B364">
        <v>958287383</v>
      </c>
      <c r="C364" t="s">
        <v>1242</v>
      </c>
      <c r="D364" t="s">
        <v>1243</v>
      </c>
      <c r="E364">
        <v>28740864</v>
      </c>
      <c r="F364">
        <v>4102194933</v>
      </c>
      <c r="G364" s="1">
        <v>45982.253796296296</v>
      </c>
      <c r="H364" s="1">
        <v>45982.791990740741</v>
      </c>
      <c r="I364" t="s">
        <v>18</v>
      </c>
      <c r="J364" t="s">
        <v>19</v>
      </c>
      <c r="K364" t="s">
        <v>20</v>
      </c>
      <c r="L364" t="s">
        <v>21</v>
      </c>
      <c r="M364">
        <v>18</v>
      </c>
      <c r="N364">
        <v>775</v>
      </c>
      <c r="O364">
        <v>0</v>
      </c>
      <c r="P364" t="s">
        <v>22</v>
      </c>
      <c r="Q364">
        <v>933</v>
      </c>
      <c r="R364" t="s">
        <v>39</v>
      </c>
      <c r="S364">
        <f>IF(support_tickets[[#This Row],[status_cleaned]]="closed",1,0)</f>
        <v>1</v>
      </c>
      <c r="T364" t="str">
        <f>TEXT(support_tickets[[#This Row],[opened_at]],"mmm yyyy")</f>
        <v>Nov 2025</v>
      </c>
      <c r="U364">
        <f>YEAR(support_tickets[[#This Row],[opened_at]])*100+MONTH(support_tickets[[#This Row],[opened_at]])</f>
        <v>202511</v>
      </c>
      <c r="V364" s="29">
        <f>DATE(YEAR(support_tickets[[#This Row],[opened_at]]),MONTH(support_tickets[[#This Row],[opened_at]]),1)</f>
        <v>45962</v>
      </c>
    </row>
    <row r="365" spans="1:22">
      <c r="A365">
        <v>6275375921</v>
      </c>
      <c r="B365">
        <v>117439966</v>
      </c>
      <c r="C365" t="s">
        <v>762</v>
      </c>
      <c r="D365" t="s">
        <v>763</v>
      </c>
      <c r="E365">
        <v>52339391</v>
      </c>
      <c r="G365" s="1">
        <v>45378.519953703704</v>
      </c>
      <c r="H365" s="1">
        <v>45378.761620370373</v>
      </c>
      <c r="I365" t="s">
        <v>46</v>
      </c>
      <c r="J365" t="s">
        <v>86</v>
      </c>
      <c r="K365" t="s">
        <v>20</v>
      </c>
      <c r="L365" t="s">
        <v>21</v>
      </c>
      <c r="M365">
        <v>8</v>
      </c>
      <c r="N365">
        <v>348</v>
      </c>
      <c r="O365">
        <v>0</v>
      </c>
      <c r="P365" t="s">
        <v>87</v>
      </c>
      <c r="Q365">
        <v>935</v>
      </c>
      <c r="R365" t="s">
        <v>39</v>
      </c>
      <c r="S365">
        <f>IF(support_tickets[[#This Row],[status_cleaned]]="closed",1,0)</f>
        <v>1</v>
      </c>
      <c r="T365" t="str">
        <f>TEXT(support_tickets[[#This Row],[opened_at]],"mmm yyyy")</f>
        <v>Mar 2024</v>
      </c>
      <c r="U365">
        <f>YEAR(support_tickets[[#This Row],[opened_at]])*100+MONTH(support_tickets[[#This Row],[opened_at]])</f>
        <v>202403</v>
      </c>
      <c r="V365" s="29">
        <f>DATE(YEAR(support_tickets[[#This Row],[opened_at]]),MONTH(support_tickets[[#This Row],[opened_at]]),1)</f>
        <v>45352</v>
      </c>
    </row>
    <row r="366" spans="1:22">
      <c r="A366">
        <v>6286787774</v>
      </c>
      <c r="B366">
        <v>190060226</v>
      </c>
      <c r="C366" t="s">
        <v>1246</v>
      </c>
      <c r="D366" t="s">
        <v>1247</v>
      </c>
      <c r="E366">
        <v>70855700</v>
      </c>
      <c r="G366" s="1">
        <v>45350.124259259261</v>
      </c>
      <c r="H366" s="1">
        <v>45350.647175925929</v>
      </c>
      <c r="I366" t="s">
        <v>46</v>
      </c>
      <c r="J366" t="s">
        <v>86</v>
      </c>
      <c r="K366" t="s">
        <v>20</v>
      </c>
      <c r="L366" t="s">
        <v>21</v>
      </c>
      <c r="M366">
        <v>78</v>
      </c>
      <c r="N366">
        <v>753</v>
      </c>
      <c r="O366">
        <v>0</v>
      </c>
      <c r="P366" t="s">
        <v>87</v>
      </c>
      <c r="Q366">
        <v>937</v>
      </c>
      <c r="R366" t="s">
        <v>39</v>
      </c>
      <c r="S366">
        <f>IF(support_tickets[[#This Row],[status_cleaned]]="closed",1,0)</f>
        <v>1</v>
      </c>
      <c r="T366" t="str">
        <f>TEXT(support_tickets[[#This Row],[opened_at]],"mmm yyyy")</f>
        <v>Feb 2024</v>
      </c>
      <c r="U366">
        <f>YEAR(support_tickets[[#This Row],[opened_at]])*100+MONTH(support_tickets[[#This Row],[opened_at]])</f>
        <v>202402</v>
      </c>
      <c r="V366" s="29">
        <f>DATE(YEAR(support_tickets[[#This Row],[opened_at]]),MONTH(support_tickets[[#This Row],[opened_at]]),1)</f>
        <v>45323</v>
      </c>
    </row>
    <row r="367" spans="1:22">
      <c r="A367">
        <v>6325691567</v>
      </c>
      <c r="B367">
        <v>219385981</v>
      </c>
      <c r="C367" t="s">
        <v>1258</v>
      </c>
      <c r="D367" t="s">
        <v>1259</v>
      </c>
      <c r="E367">
        <v>95320121</v>
      </c>
      <c r="G367" s="1">
        <v>45432.591909722221</v>
      </c>
      <c r="H367" s="1">
        <v>45432.981493055559</v>
      </c>
      <c r="I367" t="s">
        <v>56</v>
      </c>
      <c r="J367" t="s">
        <v>30</v>
      </c>
      <c r="K367" t="s">
        <v>20</v>
      </c>
      <c r="L367" t="s">
        <v>21</v>
      </c>
      <c r="M367">
        <v>25</v>
      </c>
      <c r="N367">
        <v>561</v>
      </c>
      <c r="O367">
        <v>0</v>
      </c>
      <c r="P367" t="s">
        <v>31</v>
      </c>
      <c r="Q367">
        <v>948</v>
      </c>
      <c r="R367" t="s">
        <v>39</v>
      </c>
      <c r="S367">
        <f>IF(support_tickets[[#This Row],[status_cleaned]]="closed",1,0)</f>
        <v>1</v>
      </c>
      <c r="T367" t="str">
        <f>TEXT(support_tickets[[#This Row],[opened_at]],"mmm yyyy")</f>
        <v>May 2024</v>
      </c>
      <c r="U367">
        <f>YEAR(support_tickets[[#This Row],[opened_at]])*100+MONTH(support_tickets[[#This Row],[opened_at]])</f>
        <v>202405</v>
      </c>
      <c r="V367" s="29">
        <f>DATE(YEAR(support_tickets[[#This Row],[opened_at]]),MONTH(support_tickets[[#This Row],[opened_at]]),1)</f>
        <v>45413</v>
      </c>
    </row>
    <row r="368" spans="1:22">
      <c r="A368">
        <v>6346712044</v>
      </c>
      <c r="B368">
        <v>694875990</v>
      </c>
      <c r="C368" t="s">
        <v>758</v>
      </c>
      <c r="D368" t="s">
        <v>759</v>
      </c>
      <c r="E368">
        <v>84252722</v>
      </c>
      <c r="G368" s="1">
        <v>45814.806516203702</v>
      </c>
      <c r="H368" s="1">
        <v>45815.100266203706</v>
      </c>
      <c r="I368" t="s">
        <v>46</v>
      </c>
      <c r="J368" t="s">
        <v>86</v>
      </c>
      <c r="K368" t="s">
        <v>20</v>
      </c>
      <c r="L368" t="s">
        <v>21</v>
      </c>
      <c r="M368">
        <v>32</v>
      </c>
      <c r="N368">
        <v>423</v>
      </c>
      <c r="O368">
        <v>0</v>
      </c>
      <c r="P368" t="s">
        <v>87</v>
      </c>
      <c r="Q368">
        <v>949</v>
      </c>
      <c r="R368" t="s">
        <v>39</v>
      </c>
      <c r="S368">
        <f>IF(support_tickets[[#This Row],[status_cleaned]]="closed",1,0)</f>
        <v>1</v>
      </c>
      <c r="T368" t="str">
        <f>TEXT(support_tickets[[#This Row],[opened_at]],"mmm yyyy")</f>
        <v>Jun 2025</v>
      </c>
      <c r="U368">
        <f>YEAR(support_tickets[[#This Row],[opened_at]])*100+MONTH(support_tickets[[#This Row],[opened_at]])</f>
        <v>202506</v>
      </c>
      <c r="V368" s="29">
        <f>DATE(YEAR(support_tickets[[#This Row],[opened_at]]),MONTH(support_tickets[[#This Row],[opened_at]]),1)</f>
        <v>45809</v>
      </c>
    </row>
    <row r="369" spans="1:22">
      <c r="A369">
        <v>6384338030</v>
      </c>
      <c r="B369">
        <v>402550088</v>
      </c>
      <c r="C369" t="s">
        <v>556</v>
      </c>
      <c r="D369" t="s">
        <v>557</v>
      </c>
      <c r="E369">
        <v>19583482</v>
      </c>
      <c r="G369" s="1">
        <v>45309.975081018521</v>
      </c>
      <c r="H369" s="1">
        <v>45310.135497685187</v>
      </c>
      <c r="I369" t="s">
        <v>18</v>
      </c>
      <c r="J369" t="s">
        <v>30</v>
      </c>
      <c r="K369" t="s">
        <v>20</v>
      </c>
      <c r="L369" t="s">
        <v>21</v>
      </c>
      <c r="M369">
        <v>2</v>
      </c>
      <c r="N369">
        <v>231</v>
      </c>
      <c r="O369">
        <v>0</v>
      </c>
      <c r="P369" t="s">
        <v>31</v>
      </c>
      <c r="Q369">
        <v>957</v>
      </c>
      <c r="R369" t="s">
        <v>39</v>
      </c>
      <c r="S369">
        <f>IF(support_tickets[[#This Row],[status_cleaned]]="closed",1,0)</f>
        <v>1</v>
      </c>
      <c r="T369" t="str">
        <f>TEXT(support_tickets[[#This Row],[opened_at]],"mmm yyyy")</f>
        <v>Jan 2024</v>
      </c>
      <c r="U369">
        <f>YEAR(support_tickets[[#This Row],[opened_at]])*100+MONTH(support_tickets[[#This Row],[opened_at]])</f>
        <v>202401</v>
      </c>
      <c r="V369" s="29">
        <f>DATE(YEAR(support_tickets[[#This Row],[opened_at]]),MONTH(support_tickets[[#This Row],[opened_at]]),1)</f>
        <v>45292</v>
      </c>
    </row>
    <row r="370" spans="1:22">
      <c r="A370">
        <v>6409861789</v>
      </c>
      <c r="B370">
        <v>271092615</v>
      </c>
      <c r="C370" t="s">
        <v>69</v>
      </c>
      <c r="D370" t="s">
        <v>811</v>
      </c>
      <c r="E370">
        <v>17507864</v>
      </c>
      <c r="G370" s="1">
        <v>45631.698611111111</v>
      </c>
      <c r="H370" s="1">
        <v>45632.167361111111</v>
      </c>
      <c r="I370" t="s">
        <v>3</v>
      </c>
      <c r="J370" t="s">
        <v>19</v>
      </c>
      <c r="K370" t="s">
        <v>20</v>
      </c>
      <c r="L370" t="s">
        <v>21</v>
      </c>
      <c r="M370">
        <v>25</v>
      </c>
      <c r="N370">
        <v>675</v>
      </c>
      <c r="O370">
        <v>0</v>
      </c>
      <c r="P370" t="s">
        <v>22</v>
      </c>
      <c r="Q370">
        <v>963</v>
      </c>
      <c r="R370" t="s">
        <v>39</v>
      </c>
      <c r="S370">
        <f>IF(support_tickets[[#This Row],[status_cleaned]]="closed",1,0)</f>
        <v>1</v>
      </c>
      <c r="T370" t="str">
        <f>TEXT(support_tickets[[#This Row],[opened_at]],"mmm yyyy")</f>
        <v>Dec 2024</v>
      </c>
      <c r="U370">
        <f>YEAR(support_tickets[[#This Row],[opened_at]])*100+MONTH(support_tickets[[#This Row],[opened_at]])</f>
        <v>202412</v>
      </c>
      <c r="V370" s="29">
        <f>DATE(YEAR(support_tickets[[#This Row],[opened_at]]),MONTH(support_tickets[[#This Row],[opened_at]]),1)</f>
        <v>45627</v>
      </c>
    </row>
    <row r="371" spans="1:22">
      <c r="A371">
        <v>6473167257</v>
      </c>
      <c r="B371">
        <v>559242868</v>
      </c>
      <c r="C371" t="s">
        <v>1192</v>
      </c>
      <c r="D371" t="s">
        <v>1193</v>
      </c>
      <c r="E371">
        <v>81016525</v>
      </c>
      <c r="G371" s="1">
        <v>45930.049803240741</v>
      </c>
      <c r="H371" s="1">
        <v>45930.173414351855</v>
      </c>
      <c r="I371" t="s">
        <v>37</v>
      </c>
      <c r="J371" t="s">
        <v>59</v>
      </c>
      <c r="K371" t="s">
        <v>20</v>
      </c>
      <c r="L371" t="s">
        <v>21</v>
      </c>
      <c r="M371">
        <v>35</v>
      </c>
      <c r="N371">
        <v>178</v>
      </c>
      <c r="O371">
        <v>0</v>
      </c>
      <c r="P371" t="s">
        <v>61</v>
      </c>
      <c r="Q371">
        <v>973</v>
      </c>
      <c r="R371" t="s">
        <v>39</v>
      </c>
      <c r="S371">
        <f>IF(support_tickets[[#This Row],[status_cleaned]]="closed",1,0)</f>
        <v>1</v>
      </c>
      <c r="T371" t="str">
        <f>TEXT(support_tickets[[#This Row],[opened_at]],"mmm yyyy")</f>
        <v>Sep 2025</v>
      </c>
      <c r="U371">
        <f>YEAR(support_tickets[[#This Row],[opened_at]])*100+MONTH(support_tickets[[#This Row],[opened_at]])</f>
        <v>202509</v>
      </c>
      <c r="V371" s="29">
        <f>DATE(YEAR(support_tickets[[#This Row],[opened_at]]),MONTH(support_tickets[[#This Row],[opened_at]]),1)</f>
        <v>45901</v>
      </c>
    </row>
    <row r="372" spans="1:22">
      <c r="A372">
        <v>6582795032</v>
      </c>
      <c r="B372">
        <v>514838889</v>
      </c>
      <c r="C372" t="s">
        <v>948</v>
      </c>
      <c r="D372" t="s">
        <v>949</v>
      </c>
      <c r="E372">
        <v>96977837</v>
      </c>
      <c r="G372" s="1">
        <v>45335.005428240744</v>
      </c>
      <c r="H372" s="1">
        <v>45335.213067129633</v>
      </c>
      <c r="I372" t="s">
        <v>56</v>
      </c>
      <c r="J372" t="s">
        <v>30</v>
      </c>
      <c r="K372" t="s">
        <v>20</v>
      </c>
      <c r="L372" t="s">
        <v>21</v>
      </c>
      <c r="M372">
        <v>38</v>
      </c>
      <c r="N372">
        <v>299</v>
      </c>
      <c r="O372">
        <v>0</v>
      </c>
      <c r="P372" t="s">
        <v>31</v>
      </c>
      <c r="Q372">
        <v>983</v>
      </c>
      <c r="R372" t="s">
        <v>39</v>
      </c>
      <c r="S372">
        <f>IF(support_tickets[[#This Row],[status_cleaned]]="closed",1,0)</f>
        <v>1</v>
      </c>
      <c r="T372" t="str">
        <f>TEXT(support_tickets[[#This Row],[opened_at]],"mmm yyyy")</f>
        <v>Feb 2024</v>
      </c>
      <c r="U372">
        <f>YEAR(support_tickets[[#This Row],[opened_at]])*100+MONTH(support_tickets[[#This Row],[opened_at]])</f>
        <v>202402</v>
      </c>
      <c r="V372" s="29">
        <f>DATE(YEAR(support_tickets[[#This Row],[opened_at]]),MONTH(support_tickets[[#This Row],[opened_at]]),1)</f>
        <v>45323</v>
      </c>
    </row>
    <row r="373" spans="1:22">
      <c r="A373">
        <v>6599445068</v>
      </c>
      <c r="B373">
        <v>760725160</v>
      </c>
      <c r="C373" t="s">
        <v>1288</v>
      </c>
      <c r="D373" t="s">
        <v>1289</v>
      </c>
      <c r="E373">
        <v>22575562</v>
      </c>
      <c r="G373" s="1">
        <v>46036.161921296298</v>
      </c>
      <c r="H373" s="1">
        <v>46036.783449074072</v>
      </c>
      <c r="I373" t="s">
        <v>56</v>
      </c>
      <c r="J373" t="s">
        <v>59</v>
      </c>
      <c r="K373" t="s">
        <v>20</v>
      </c>
      <c r="L373" t="s">
        <v>21</v>
      </c>
      <c r="M373">
        <v>44</v>
      </c>
      <c r="N373">
        <v>895</v>
      </c>
      <c r="O373">
        <v>0</v>
      </c>
      <c r="P373" t="s">
        <v>61</v>
      </c>
      <c r="Q373">
        <v>984</v>
      </c>
      <c r="R373" t="s">
        <v>39</v>
      </c>
      <c r="S373">
        <f>IF(support_tickets[[#This Row],[status_cleaned]]="closed",1,0)</f>
        <v>1</v>
      </c>
      <c r="T373" t="str">
        <f>TEXT(support_tickets[[#This Row],[opened_at]],"mmm yyyy")</f>
        <v>Jan 2026</v>
      </c>
      <c r="U373">
        <f>YEAR(support_tickets[[#This Row],[opened_at]])*100+MONTH(support_tickets[[#This Row],[opened_at]])</f>
        <v>202601</v>
      </c>
      <c r="V373" s="29">
        <f>DATE(YEAR(support_tickets[[#This Row],[opened_at]]),MONTH(support_tickets[[#This Row],[opened_at]]),1)</f>
        <v>46023</v>
      </c>
    </row>
    <row r="374" spans="1:22">
      <c r="A374">
        <v>6676450587</v>
      </c>
      <c r="B374">
        <v>726553348</v>
      </c>
      <c r="C374" t="s">
        <v>1214</v>
      </c>
      <c r="D374" t="s">
        <v>1215</v>
      </c>
      <c r="E374">
        <v>13999315</v>
      </c>
      <c r="F374">
        <v>1336923353</v>
      </c>
      <c r="G374" s="1">
        <v>45908.394942129627</v>
      </c>
      <c r="H374" s="1">
        <v>45908.723414351851</v>
      </c>
      <c r="I374" t="s">
        <v>43</v>
      </c>
      <c r="J374" t="s">
        <v>30</v>
      </c>
      <c r="K374" t="s">
        <v>20</v>
      </c>
      <c r="L374" t="s">
        <v>21</v>
      </c>
      <c r="M374">
        <v>67</v>
      </c>
      <c r="N374">
        <v>473</v>
      </c>
      <c r="O374">
        <v>0</v>
      </c>
      <c r="P374" t="s">
        <v>31</v>
      </c>
      <c r="Q374">
        <v>994</v>
      </c>
      <c r="R374" t="s">
        <v>39</v>
      </c>
      <c r="S374">
        <f>IF(support_tickets[[#This Row],[status_cleaned]]="closed",1,0)</f>
        <v>1</v>
      </c>
      <c r="T374" t="str">
        <f>TEXT(support_tickets[[#This Row],[opened_at]],"mmm yyyy")</f>
        <v>Sep 2025</v>
      </c>
      <c r="U374">
        <f>YEAR(support_tickets[[#This Row],[opened_at]])*100+MONTH(support_tickets[[#This Row],[opened_at]])</f>
        <v>202509</v>
      </c>
      <c r="V374" s="29">
        <f>DATE(YEAR(support_tickets[[#This Row],[opened_at]]),MONTH(support_tickets[[#This Row],[opened_at]]),1)</f>
        <v>45901</v>
      </c>
    </row>
    <row r="375" spans="1:22">
      <c r="A375">
        <v>6793765059</v>
      </c>
      <c r="B375">
        <v>251266214</v>
      </c>
      <c r="C375" t="s">
        <v>388</v>
      </c>
      <c r="D375" t="s">
        <v>389</v>
      </c>
      <c r="E375">
        <v>14265799</v>
      </c>
      <c r="G375" s="1">
        <v>45650.425717592596</v>
      </c>
      <c r="H375" s="1">
        <v>45650.68891203704</v>
      </c>
      <c r="I375" t="s">
        <v>46</v>
      </c>
      <c r="J375" t="s">
        <v>19</v>
      </c>
      <c r="K375" t="s">
        <v>20</v>
      </c>
      <c r="L375" t="s">
        <v>21</v>
      </c>
      <c r="M375">
        <v>45</v>
      </c>
      <c r="N375">
        <v>379</v>
      </c>
      <c r="O375">
        <v>0</v>
      </c>
      <c r="P375" t="s">
        <v>22</v>
      </c>
      <c r="Q375">
        <v>1008</v>
      </c>
      <c r="R375" t="s">
        <v>39</v>
      </c>
      <c r="S375">
        <f>IF(support_tickets[[#This Row],[status_cleaned]]="closed",1,0)</f>
        <v>1</v>
      </c>
      <c r="T375" t="str">
        <f>TEXT(support_tickets[[#This Row],[opened_at]],"mmm yyyy")</f>
        <v>Dec 2024</v>
      </c>
      <c r="U375">
        <f>YEAR(support_tickets[[#This Row],[opened_at]])*100+MONTH(support_tickets[[#This Row],[opened_at]])</f>
        <v>202412</v>
      </c>
      <c r="V375" s="29">
        <f>DATE(YEAR(support_tickets[[#This Row],[opened_at]]),MONTH(support_tickets[[#This Row],[opened_at]]),1)</f>
        <v>45627</v>
      </c>
    </row>
    <row r="376" spans="1:22">
      <c r="A376">
        <v>6846766925</v>
      </c>
      <c r="B376">
        <v>579691987</v>
      </c>
      <c r="C376" t="s">
        <v>884</v>
      </c>
      <c r="D376" t="s">
        <v>885</v>
      </c>
      <c r="E376">
        <v>58966946</v>
      </c>
      <c r="F376">
        <v>1801248380</v>
      </c>
      <c r="G376" s="1">
        <v>46023.541458333333</v>
      </c>
      <c r="H376" s="1">
        <v>46023.990069444444</v>
      </c>
      <c r="I376" t="s">
        <v>43</v>
      </c>
      <c r="J376" t="s">
        <v>30</v>
      </c>
      <c r="K376" t="s">
        <v>20</v>
      </c>
      <c r="L376" t="s">
        <v>21</v>
      </c>
      <c r="M376">
        <v>17</v>
      </c>
      <c r="N376">
        <v>646</v>
      </c>
      <c r="O376">
        <v>0</v>
      </c>
      <c r="P376" t="s">
        <v>31</v>
      </c>
      <c r="Q376">
        <v>1014</v>
      </c>
      <c r="R376" t="s">
        <v>39</v>
      </c>
      <c r="S376">
        <f>IF(support_tickets[[#This Row],[status_cleaned]]="closed",1,0)</f>
        <v>1</v>
      </c>
      <c r="T376" t="str">
        <f>TEXT(support_tickets[[#This Row],[opened_at]],"mmm yyyy")</f>
        <v>Jan 2026</v>
      </c>
      <c r="U376">
        <f>YEAR(support_tickets[[#This Row],[opened_at]])*100+MONTH(support_tickets[[#This Row],[opened_at]])</f>
        <v>202601</v>
      </c>
      <c r="V376" s="29">
        <f>DATE(YEAR(support_tickets[[#This Row],[opened_at]]),MONTH(support_tickets[[#This Row],[opened_at]]),1)</f>
        <v>46023</v>
      </c>
    </row>
    <row r="377" spans="1:22">
      <c r="A377">
        <v>6997312145</v>
      </c>
      <c r="B377">
        <v>366338529</v>
      </c>
      <c r="C377" t="s">
        <v>1086</v>
      </c>
      <c r="D377" t="s">
        <v>1087</v>
      </c>
      <c r="E377">
        <v>97226012</v>
      </c>
      <c r="G377" s="1">
        <v>45668.558518518519</v>
      </c>
      <c r="H377" s="1">
        <v>45668.816851851851</v>
      </c>
      <c r="I377" t="s">
        <v>56</v>
      </c>
      <c r="J377" t="s">
        <v>86</v>
      </c>
      <c r="K377" t="s">
        <v>20</v>
      </c>
      <c r="L377" t="s">
        <v>21</v>
      </c>
      <c r="M377">
        <v>37</v>
      </c>
      <c r="N377">
        <v>372</v>
      </c>
      <c r="O377">
        <v>0</v>
      </c>
      <c r="P377" t="s">
        <v>87</v>
      </c>
      <c r="Q377">
        <v>1029</v>
      </c>
      <c r="R377" t="s">
        <v>39</v>
      </c>
      <c r="S377">
        <f>IF(support_tickets[[#This Row],[status_cleaned]]="closed",1,0)</f>
        <v>1</v>
      </c>
      <c r="T377" t="str">
        <f>TEXT(support_tickets[[#This Row],[opened_at]],"mmm yyyy")</f>
        <v>Jan 2025</v>
      </c>
      <c r="U377">
        <f>YEAR(support_tickets[[#This Row],[opened_at]])*100+MONTH(support_tickets[[#This Row],[opened_at]])</f>
        <v>202501</v>
      </c>
      <c r="V377" s="29">
        <f>DATE(YEAR(support_tickets[[#This Row],[opened_at]]),MONTH(support_tickets[[#This Row],[opened_at]]),1)</f>
        <v>45658</v>
      </c>
    </row>
    <row r="378" spans="1:22">
      <c r="A378">
        <v>6998813562</v>
      </c>
      <c r="B378">
        <v>172191273</v>
      </c>
      <c r="C378" t="s">
        <v>854</v>
      </c>
      <c r="D378" t="s">
        <v>855</v>
      </c>
      <c r="E378">
        <v>38427073</v>
      </c>
      <c r="G378" s="1">
        <v>45978.644247685188</v>
      </c>
      <c r="H378" s="1">
        <v>45978.78869212963</v>
      </c>
      <c r="I378" t="s">
        <v>3</v>
      </c>
      <c r="J378" t="s">
        <v>30</v>
      </c>
      <c r="K378" t="s">
        <v>20</v>
      </c>
      <c r="L378" t="s">
        <v>21</v>
      </c>
      <c r="M378">
        <v>59</v>
      </c>
      <c r="N378">
        <v>208</v>
      </c>
      <c r="O378">
        <v>0</v>
      </c>
      <c r="P378" t="s">
        <v>31</v>
      </c>
      <c r="Q378">
        <v>1030</v>
      </c>
      <c r="R378" t="s">
        <v>39</v>
      </c>
      <c r="S378">
        <f>IF(support_tickets[[#This Row],[status_cleaned]]="closed",1,0)</f>
        <v>1</v>
      </c>
      <c r="T378" t="str">
        <f>TEXT(support_tickets[[#This Row],[opened_at]],"mmm yyyy")</f>
        <v>Nov 2025</v>
      </c>
      <c r="U378">
        <f>YEAR(support_tickets[[#This Row],[opened_at]])*100+MONTH(support_tickets[[#This Row],[opened_at]])</f>
        <v>202511</v>
      </c>
      <c r="V378" s="29">
        <f>DATE(YEAR(support_tickets[[#This Row],[opened_at]]),MONTH(support_tickets[[#This Row],[opened_at]]),1)</f>
        <v>45962</v>
      </c>
    </row>
    <row r="379" spans="1:22">
      <c r="A379">
        <v>7010189505</v>
      </c>
      <c r="B379">
        <v>359779090</v>
      </c>
      <c r="C379" t="s">
        <v>912</v>
      </c>
      <c r="D379" t="s">
        <v>913</v>
      </c>
      <c r="E379">
        <v>36687537</v>
      </c>
      <c r="G379" s="1">
        <v>45758.063194444447</v>
      </c>
      <c r="H379" s="1">
        <v>45758.459027777775</v>
      </c>
      <c r="I379" t="s">
        <v>37</v>
      </c>
      <c r="J379" t="s">
        <v>86</v>
      </c>
      <c r="K379" t="s">
        <v>20</v>
      </c>
      <c r="L379" t="s">
        <v>21</v>
      </c>
      <c r="M379">
        <v>86</v>
      </c>
      <c r="N379">
        <v>570</v>
      </c>
      <c r="O379">
        <v>0</v>
      </c>
      <c r="P379" t="s">
        <v>87</v>
      </c>
      <c r="Q379">
        <v>1033</v>
      </c>
      <c r="R379" t="s">
        <v>39</v>
      </c>
      <c r="S379">
        <f>IF(support_tickets[[#This Row],[status_cleaned]]="closed",1,0)</f>
        <v>1</v>
      </c>
      <c r="T379" t="str">
        <f>TEXT(support_tickets[[#This Row],[opened_at]],"mmm yyyy")</f>
        <v>Apr 2025</v>
      </c>
      <c r="U379">
        <f>YEAR(support_tickets[[#This Row],[opened_at]])*100+MONTH(support_tickets[[#This Row],[opened_at]])</f>
        <v>202504</v>
      </c>
      <c r="V379" s="29">
        <f>DATE(YEAR(support_tickets[[#This Row],[opened_at]]),MONTH(support_tickets[[#This Row],[opened_at]]),1)</f>
        <v>45748</v>
      </c>
    </row>
    <row r="380" spans="1:22">
      <c r="A380">
        <v>7016762718</v>
      </c>
      <c r="B380">
        <v>352889019</v>
      </c>
      <c r="C380" t="s">
        <v>170</v>
      </c>
      <c r="D380" t="s">
        <v>171</v>
      </c>
      <c r="E380">
        <v>38898923</v>
      </c>
      <c r="G380" s="1">
        <v>45374.986979166664</v>
      </c>
      <c r="H380" s="1">
        <v>45375.200868055559</v>
      </c>
      <c r="I380" t="s">
        <v>3</v>
      </c>
      <c r="J380" t="s">
        <v>30</v>
      </c>
      <c r="K380" t="s">
        <v>20</v>
      </c>
      <c r="L380" t="s">
        <v>21</v>
      </c>
      <c r="M380">
        <v>21</v>
      </c>
      <c r="N380">
        <v>308</v>
      </c>
      <c r="O380">
        <v>0</v>
      </c>
      <c r="P380" t="s">
        <v>31</v>
      </c>
      <c r="Q380">
        <v>1035</v>
      </c>
      <c r="R380" t="s">
        <v>39</v>
      </c>
      <c r="S380">
        <f>IF(support_tickets[[#This Row],[status_cleaned]]="closed",1,0)</f>
        <v>1</v>
      </c>
      <c r="T380" t="str">
        <f>TEXT(support_tickets[[#This Row],[opened_at]],"mmm yyyy")</f>
        <v>Mar 2024</v>
      </c>
      <c r="U380">
        <f>YEAR(support_tickets[[#This Row],[opened_at]])*100+MONTH(support_tickets[[#This Row],[opened_at]])</f>
        <v>202403</v>
      </c>
      <c r="V380" s="29">
        <f>DATE(YEAR(support_tickets[[#This Row],[opened_at]]),MONTH(support_tickets[[#This Row],[opened_at]]),1)</f>
        <v>45352</v>
      </c>
    </row>
    <row r="381" spans="1:22">
      <c r="A381">
        <v>7035080212</v>
      </c>
      <c r="B381">
        <v>145478504</v>
      </c>
      <c r="C381" t="s">
        <v>1326</v>
      </c>
      <c r="D381" t="s">
        <v>1327</v>
      </c>
      <c r="E381">
        <v>66792612</v>
      </c>
      <c r="G381" s="1">
        <v>45592.949479166666</v>
      </c>
      <c r="H381" s="1">
        <v>45592.969618055555</v>
      </c>
      <c r="I381" t="s">
        <v>18</v>
      </c>
      <c r="J381" t="s">
        <v>30</v>
      </c>
      <c r="K381" t="s">
        <v>20</v>
      </c>
      <c r="L381" t="s">
        <v>21</v>
      </c>
      <c r="M381">
        <v>24</v>
      </c>
      <c r="N381">
        <v>29</v>
      </c>
      <c r="O381">
        <v>0</v>
      </c>
      <c r="P381" t="s">
        <v>31</v>
      </c>
      <c r="Q381">
        <v>1039</v>
      </c>
      <c r="R381" t="s">
        <v>39</v>
      </c>
      <c r="S381">
        <f>IF(support_tickets[[#This Row],[status_cleaned]]="closed",1,0)</f>
        <v>1</v>
      </c>
      <c r="T381" t="str">
        <f>TEXT(support_tickets[[#This Row],[opened_at]],"mmm yyyy")</f>
        <v>Oct 2024</v>
      </c>
      <c r="U381">
        <f>YEAR(support_tickets[[#This Row],[opened_at]])*100+MONTH(support_tickets[[#This Row],[opened_at]])</f>
        <v>202410</v>
      </c>
      <c r="V381" s="29">
        <f>DATE(YEAR(support_tickets[[#This Row],[opened_at]]),MONTH(support_tickets[[#This Row],[opened_at]]),1)</f>
        <v>45566</v>
      </c>
    </row>
    <row r="382" spans="1:22">
      <c r="A382">
        <v>7056842024</v>
      </c>
      <c r="B382">
        <v>536913550</v>
      </c>
      <c r="C382" t="s">
        <v>746</v>
      </c>
      <c r="D382" t="s">
        <v>747</v>
      </c>
      <c r="E382">
        <v>26879290</v>
      </c>
      <c r="F382">
        <v>2981199619</v>
      </c>
      <c r="G382" s="1">
        <v>45650.579872685186</v>
      </c>
      <c r="H382" s="1">
        <v>45651.054872685185</v>
      </c>
      <c r="I382" t="s">
        <v>18</v>
      </c>
      <c r="J382" t="s">
        <v>25</v>
      </c>
      <c r="K382" t="s">
        <v>20</v>
      </c>
      <c r="L382" t="s">
        <v>21</v>
      </c>
      <c r="M382">
        <v>83</v>
      </c>
      <c r="N382">
        <v>684</v>
      </c>
      <c r="O382">
        <v>0</v>
      </c>
      <c r="P382" t="s">
        <v>27</v>
      </c>
      <c r="Q382">
        <v>1041</v>
      </c>
      <c r="R382" t="s">
        <v>39</v>
      </c>
      <c r="S382">
        <f>IF(support_tickets[[#This Row],[status_cleaned]]="closed",1,0)</f>
        <v>1</v>
      </c>
      <c r="T382" t="str">
        <f>TEXT(support_tickets[[#This Row],[opened_at]],"mmm yyyy")</f>
        <v>Dec 2024</v>
      </c>
      <c r="U382">
        <f>YEAR(support_tickets[[#This Row],[opened_at]])*100+MONTH(support_tickets[[#This Row],[opened_at]])</f>
        <v>202412</v>
      </c>
      <c r="V382" s="29">
        <f>DATE(YEAR(support_tickets[[#This Row],[opened_at]]),MONTH(support_tickets[[#This Row],[opened_at]]),1)</f>
        <v>45627</v>
      </c>
    </row>
    <row r="383" spans="1:22">
      <c r="A383">
        <v>7092612073</v>
      </c>
      <c r="B383">
        <v>576954730</v>
      </c>
      <c r="C383" t="s">
        <v>1142</v>
      </c>
      <c r="D383" t="s">
        <v>1143</v>
      </c>
      <c r="E383">
        <v>63100814</v>
      </c>
      <c r="G383" s="1">
        <v>46108.646481481483</v>
      </c>
      <c r="H383" s="1">
        <v>46108.778425925928</v>
      </c>
      <c r="I383" t="s">
        <v>3</v>
      </c>
      <c r="J383" t="s">
        <v>25</v>
      </c>
      <c r="K383" t="s">
        <v>20</v>
      </c>
      <c r="L383" t="s">
        <v>21</v>
      </c>
      <c r="M383">
        <v>35</v>
      </c>
      <c r="N383">
        <v>190</v>
      </c>
      <c r="O383">
        <v>0</v>
      </c>
      <c r="P383" t="s">
        <v>27</v>
      </c>
      <c r="Q383">
        <v>1046</v>
      </c>
      <c r="R383" t="s">
        <v>39</v>
      </c>
      <c r="S383">
        <f>IF(support_tickets[[#This Row],[status_cleaned]]="closed",1,0)</f>
        <v>1</v>
      </c>
      <c r="T383" t="str">
        <f>TEXT(support_tickets[[#This Row],[opened_at]],"mmm yyyy")</f>
        <v>Mar 2026</v>
      </c>
      <c r="U383">
        <f>YEAR(support_tickets[[#This Row],[opened_at]])*100+MONTH(support_tickets[[#This Row],[opened_at]])</f>
        <v>202603</v>
      </c>
      <c r="V383" s="29">
        <f>DATE(YEAR(support_tickets[[#This Row],[opened_at]]),MONTH(support_tickets[[#This Row],[opened_at]]),1)</f>
        <v>46082</v>
      </c>
    </row>
    <row r="384" spans="1:22">
      <c r="A384">
        <v>7141853160</v>
      </c>
      <c r="B384">
        <v>281071418</v>
      </c>
      <c r="C384" t="s">
        <v>793</v>
      </c>
      <c r="D384" t="s">
        <v>794</v>
      </c>
      <c r="E384">
        <v>66306997</v>
      </c>
      <c r="G384" s="1">
        <v>45908.431261574071</v>
      </c>
      <c r="H384" s="1">
        <v>45908.739594907405</v>
      </c>
      <c r="I384" t="s">
        <v>43</v>
      </c>
      <c r="J384" t="s">
        <v>30</v>
      </c>
      <c r="K384" t="s">
        <v>20</v>
      </c>
      <c r="L384" t="s">
        <v>21</v>
      </c>
      <c r="M384">
        <v>79</v>
      </c>
      <c r="N384">
        <v>444</v>
      </c>
      <c r="O384">
        <v>0</v>
      </c>
      <c r="P384" t="s">
        <v>31</v>
      </c>
      <c r="Q384">
        <v>1052</v>
      </c>
      <c r="R384" t="s">
        <v>39</v>
      </c>
      <c r="S384">
        <f>IF(support_tickets[[#This Row],[status_cleaned]]="closed",1,0)</f>
        <v>1</v>
      </c>
      <c r="T384" t="str">
        <f>TEXT(support_tickets[[#This Row],[opened_at]],"mmm yyyy")</f>
        <v>Sep 2025</v>
      </c>
      <c r="U384">
        <f>YEAR(support_tickets[[#This Row],[opened_at]])*100+MONTH(support_tickets[[#This Row],[opened_at]])</f>
        <v>202509</v>
      </c>
      <c r="V384" s="29">
        <f>DATE(YEAR(support_tickets[[#This Row],[opened_at]]),MONTH(support_tickets[[#This Row],[opened_at]]),1)</f>
        <v>45901</v>
      </c>
    </row>
    <row r="385" spans="1:22">
      <c r="A385">
        <v>7230180559</v>
      </c>
      <c r="B385">
        <v>249027517</v>
      </c>
      <c r="C385" t="s">
        <v>1340</v>
      </c>
      <c r="D385" t="s">
        <v>1341</v>
      </c>
      <c r="E385">
        <v>39587039</v>
      </c>
      <c r="F385">
        <v>5851013429</v>
      </c>
      <c r="G385" s="1">
        <v>45482.551458333335</v>
      </c>
      <c r="H385" s="1">
        <v>45483.080625000002</v>
      </c>
      <c r="I385" t="s">
        <v>56</v>
      </c>
      <c r="J385" t="s">
        <v>19</v>
      </c>
      <c r="K385" t="s">
        <v>20</v>
      </c>
      <c r="L385" t="s">
        <v>21</v>
      </c>
      <c r="M385">
        <v>2</v>
      </c>
      <c r="N385">
        <v>762</v>
      </c>
      <c r="O385">
        <v>0</v>
      </c>
      <c r="P385" t="s">
        <v>22</v>
      </c>
      <c r="Q385">
        <v>1066</v>
      </c>
      <c r="R385" t="s">
        <v>39</v>
      </c>
      <c r="S385">
        <f>IF(support_tickets[[#This Row],[status_cleaned]]="closed",1,0)</f>
        <v>1</v>
      </c>
      <c r="T385" t="str">
        <f>TEXT(support_tickets[[#This Row],[opened_at]],"mmm yyyy")</f>
        <v>Jul 2024</v>
      </c>
      <c r="U385">
        <f>YEAR(support_tickets[[#This Row],[opened_at]])*100+MONTH(support_tickets[[#This Row],[opened_at]])</f>
        <v>202407</v>
      </c>
      <c r="V385" s="29">
        <f>DATE(YEAR(support_tickets[[#This Row],[opened_at]]),MONTH(support_tickets[[#This Row],[opened_at]]),1)</f>
        <v>45474</v>
      </c>
    </row>
    <row r="386" spans="1:22">
      <c r="A386">
        <v>7422252188</v>
      </c>
      <c r="B386">
        <v>942211135</v>
      </c>
      <c r="C386" t="s">
        <v>1360</v>
      </c>
      <c r="D386" t="s">
        <v>1361</v>
      </c>
      <c r="E386">
        <v>85345555</v>
      </c>
      <c r="G386" s="1">
        <v>45318.23909722222</v>
      </c>
      <c r="H386" s="1">
        <v>45319.115486111114</v>
      </c>
      <c r="I386" t="s">
        <v>46</v>
      </c>
      <c r="J386" t="s">
        <v>59</v>
      </c>
      <c r="K386" t="s">
        <v>20</v>
      </c>
      <c r="L386" t="s">
        <v>21</v>
      </c>
      <c r="M386">
        <v>34</v>
      </c>
      <c r="N386">
        <v>1262</v>
      </c>
      <c r="O386">
        <v>0</v>
      </c>
      <c r="P386" t="s">
        <v>61</v>
      </c>
      <c r="Q386">
        <v>1092</v>
      </c>
      <c r="R386" t="s">
        <v>39</v>
      </c>
      <c r="S386">
        <f>IF(support_tickets[[#This Row],[status_cleaned]]="closed",1,0)</f>
        <v>1</v>
      </c>
      <c r="T386" t="str">
        <f>TEXT(support_tickets[[#This Row],[opened_at]],"mmm yyyy")</f>
        <v>Jan 2024</v>
      </c>
      <c r="U386">
        <f>YEAR(support_tickets[[#This Row],[opened_at]])*100+MONTH(support_tickets[[#This Row],[opened_at]])</f>
        <v>202401</v>
      </c>
      <c r="V386" s="29">
        <f>DATE(YEAR(support_tickets[[#This Row],[opened_at]]),MONTH(support_tickets[[#This Row],[opened_at]]),1)</f>
        <v>45292</v>
      </c>
    </row>
    <row r="387" spans="1:22">
      <c r="A387">
        <v>7482463235</v>
      </c>
      <c r="B387">
        <v>664852025</v>
      </c>
      <c r="C387" t="s">
        <v>1372</v>
      </c>
      <c r="D387" t="s">
        <v>1373</v>
      </c>
      <c r="E387">
        <v>41244663</v>
      </c>
      <c r="G387" s="1">
        <v>45990.723773148151</v>
      </c>
      <c r="H387" s="1">
        <v>45991.101550925923</v>
      </c>
      <c r="I387" t="s">
        <v>52</v>
      </c>
      <c r="J387" t="s">
        <v>30</v>
      </c>
      <c r="K387" t="s">
        <v>20</v>
      </c>
      <c r="L387" t="s">
        <v>21</v>
      </c>
      <c r="M387">
        <v>30</v>
      </c>
      <c r="N387">
        <v>544</v>
      </c>
      <c r="O387">
        <v>0</v>
      </c>
      <c r="P387" t="s">
        <v>31</v>
      </c>
      <c r="Q387">
        <v>1102</v>
      </c>
      <c r="R387" t="s">
        <v>39</v>
      </c>
      <c r="S387">
        <f>IF(support_tickets[[#This Row],[status_cleaned]]="closed",1,0)</f>
        <v>1</v>
      </c>
      <c r="T387" t="str">
        <f>TEXT(support_tickets[[#This Row],[opened_at]],"mmm yyyy")</f>
        <v>Nov 2025</v>
      </c>
      <c r="U387">
        <f>YEAR(support_tickets[[#This Row],[opened_at]])*100+MONTH(support_tickets[[#This Row],[opened_at]])</f>
        <v>202511</v>
      </c>
      <c r="V387" s="29">
        <f>DATE(YEAR(support_tickets[[#This Row],[opened_at]]),MONTH(support_tickets[[#This Row],[opened_at]]),1)</f>
        <v>45962</v>
      </c>
    </row>
    <row r="388" spans="1:22">
      <c r="A388">
        <v>7484805812</v>
      </c>
      <c r="B388">
        <v>247604106</v>
      </c>
      <c r="C388" t="s">
        <v>1374</v>
      </c>
      <c r="D388" t="s">
        <v>1375</v>
      </c>
      <c r="E388">
        <v>48840994</v>
      </c>
      <c r="G388" s="1">
        <v>45496.760451388887</v>
      </c>
      <c r="H388" s="1">
        <v>45497.341006944444</v>
      </c>
      <c r="I388" t="s">
        <v>18</v>
      </c>
      <c r="J388" t="s">
        <v>25</v>
      </c>
      <c r="K388" t="s">
        <v>20</v>
      </c>
      <c r="L388" t="s">
        <v>21</v>
      </c>
      <c r="M388">
        <v>43</v>
      </c>
      <c r="N388">
        <v>836</v>
      </c>
      <c r="O388">
        <v>0</v>
      </c>
      <c r="P388" t="s">
        <v>27</v>
      </c>
      <c r="Q388">
        <v>1104</v>
      </c>
      <c r="R388" t="s">
        <v>39</v>
      </c>
      <c r="S388">
        <f>IF(support_tickets[[#This Row],[status_cleaned]]="closed",1,0)</f>
        <v>1</v>
      </c>
      <c r="T388" t="str">
        <f>TEXT(support_tickets[[#This Row],[opened_at]],"mmm yyyy")</f>
        <v>Jul 2024</v>
      </c>
      <c r="U388">
        <f>YEAR(support_tickets[[#This Row],[opened_at]])*100+MONTH(support_tickets[[#This Row],[opened_at]])</f>
        <v>202407</v>
      </c>
      <c r="V388" s="29">
        <f>DATE(YEAR(support_tickets[[#This Row],[opened_at]]),MONTH(support_tickets[[#This Row],[opened_at]]),1)</f>
        <v>45474</v>
      </c>
    </row>
    <row r="389" spans="1:22">
      <c r="A389">
        <v>7507090175</v>
      </c>
      <c r="B389">
        <v>442185272</v>
      </c>
      <c r="C389" t="s">
        <v>1302</v>
      </c>
      <c r="D389" t="s">
        <v>1303</v>
      </c>
      <c r="E389">
        <v>38119557</v>
      </c>
      <c r="F389">
        <v>2842980985</v>
      </c>
      <c r="G389" s="1">
        <v>45533.572245370371</v>
      </c>
      <c r="H389" s="1">
        <v>45533.767384259256</v>
      </c>
      <c r="I389" t="s">
        <v>3</v>
      </c>
      <c r="J389" t="s">
        <v>38</v>
      </c>
      <c r="K389" t="s">
        <v>20</v>
      </c>
      <c r="L389" t="s">
        <v>21</v>
      </c>
      <c r="M389">
        <v>33</v>
      </c>
      <c r="N389">
        <v>281</v>
      </c>
      <c r="O389">
        <v>0</v>
      </c>
      <c r="P389" t="s">
        <v>40</v>
      </c>
      <c r="Q389">
        <v>1107</v>
      </c>
      <c r="R389" t="s">
        <v>39</v>
      </c>
      <c r="S389">
        <f>IF(support_tickets[[#This Row],[status_cleaned]]="closed",1,0)</f>
        <v>1</v>
      </c>
      <c r="T389" t="str">
        <f>TEXT(support_tickets[[#This Row],[opened_at]],"mmm yyyy")</f>
        <v>Aug 2024</v>
      </c>
      <c r="U389">
        <f>YEAR(support_tickets[[#This Row],[opened_at]])*100+MONTH(support_tickets[[#This Row],[opened_at]])</f>
        <v>202408</v>
      </c>
      <c r="V389" s="29">
        <f>DATE(YEAR(support_tickets[[#This Row],[opened_at]]),MONTH(support_tickets[[#This Row],[opened_at]]),1)</f>
        <v>45505</v>
      </c>
    </row>
    <row r="390" spans="1:22">
      <c r="A390">
        <v>7558280812</v>
      </c>
      <c r="B390">
        <v>590687732</v>
      </c>
      <c r="C390" t="s">
        <v>1226</v>
      </c>
      <c r="D390" t="s">
        <v>1227</v>
      </c>
      <c r="E390">
        <v>86125617</v>
      </c>
      <c r="F390">
        <v>7506506106</v>
      </c>
      <c r="G390" s="1">
        <v>45758.595555555556</v>
      </c>
      <c r="H390" s="1">
        <v>45759.014305555553</v>
      </c>
      <c r="I390" t="s">
        <v>37</v>
      </c>
      <c r="J390" t="s">
        <v>86</v>
      </c>
      <c r="K390" t="s">
        <v>20</v>
      </c>
      <c r="L390" t="s">
        <v>21</v>
      </c>
      <c r="M390">
        <v>57</v>
      </c>
      <c r="N390">
        <v>603</v>
      </c>
      <c r="O390">
        <v>0</v>
      </c>
      <c r="P390" t="s">
        <v>87</v>
      </c>
      <c r="Q390">
        <v>1116</v>
      </c>
      <c r="R390" t="s">
        <v>39</v>
      </c>
      <c r="S390">
        <f>IF(support_tickets[[#This Row],[status_cleaned]]="closed",1,0)</f>
        <v>1</v>
      </c>
      <c r="T390" t="str">
        <f>TEXT(support_tickets[[#This Row],[opened_at]],"mmm yyyy")</f>
        <v>Apr 2025</v>
      </c>
      <c r="U390">
        <f>YEAR(support_tickets[[#This Row],[opened_at]])*100+MONTH(support_tickets[[#This Row],[opened_at]])</f>
        <v>202504</v>
      </c>
      <c r="V390" s="29">
        <f>DATE(YEAR(support_tickets[[#This Row],[opened_at]]),MONTH(support_tickets[[#This Row],[opened_at]]),1)</f>
        <v>45748</v>
      </c>
    </row>
    <row r="391" spans="1:22">
      <c r="A391">
        <v>7576105129</v>
      </c>
      <c r="B391">
        <v>366578178</v>
      </c>
      <c r="C391" t="s">
        <v>310</v>
      </c>
      <c r="D391" t="s">
        <v>311</v>
      </c>
      <c r="E391">
        <v>30868105</v>
      </c>
      <c r="G391" s="1">
        <v>45724.562326388892</v>
      </c>
      <c r="H391" s="1">
        <v>45724.576909722222</v>
      </c>
      <c r="I391" t="s">
        <v>46</v>
      </c>
      <c r="J391" t="s">
        <v>59</v>
      </c>
      <c r="K391" t="s">
        <v>20</v>
      </c>
      <c r="L391" t="s">
        <v>21</v>
      </c>
      <c r="M391">
        <v>16</v>
      </c>
      <c r="N391">
        <v>21</v>
      </c>
      <c r="O391">
        <v>0</v>
      </c>
      <c r="P391" t="s">
        <v>61</v>
      </c>
      <c r="Q391">
        <v>1122</v>
      </c>
      <c r="R391" t="s">
        <v>39</v>
      </c>
      <c r="S391">
        <f>IF(support_tickets[[#This Row],[status_cleaned]]="closed",1,0)</f>
        <v>1</v>
      </c>
      <c r="T391" t="str">
        <f>TEXT(support_tickets[[#This Row],[opened_at]],"mmm yyyy")</f>
        <v>Mar 2025</v>
      </c>
      <c r="U391">
        <f>YEAR(support_tickets[[#This Row],[opened_at]])*100+MONTH(support_tickets[[#This Row],[opened_at]])</f>
        <v>202503</v>
      </c>
      <c r="V391" s="29">
        <f>DATE(YEAR(support_tickets[[#This Row],[opened_at]]),MONTH(support_tickets[[#This Row],[opened_at]]),1)</f>
        <v>45717</v>
      </c>
    </row>
    <row r="392" spans="1:22">
      <c r="A392">
        <v>7633803213</v>
      </c>
      <c r="B392">
        <v>703246271</v>
      </c>
      <c r="C392" t="s">
        <v>1386</v>
      </c>
      <c r="D392" t="s">
        <v>1387</v>
      </c>
      <c r="E392">
        <v>66306997</v>
      </c>
      <c r="G392" s="1">
        <v>45525.373726851853</v>
      </c>
      <c r="H392" s="1">
        <v>45526.180671296293</v>
      </c>
      <c r="I392" t="s">
        <v>37</v>
      </c>
      <c r="J392" t="s">
        <v>19</v>
      </c>
      <c r="K392" t="s">
        <v>20</v>
      </c>
      <c r="L392" t="s">
        <v>21</v>
      </c>
      <c r="M392">
        <v>40</v>
      </c>
      <c r="N392">
        <v>1162</v>
      </c>
      <c r="O392">
        <v>0</v>
      </c>
      <c r="P392" t="s">
        <v>22</v>
      </c>
      <c r="Q392">
        <v>1132</v>
      </c>
      <c r="R392" t="s">
        <v>39</v>
      </c>
      <c r="S392">
        <f>IF(support_tickets[[#This Row],[status_cleaned]]="closed",1,0)</f>
        <v>1</v>
      </c>
      <c r="T392" t="str">
        <f>TEXT(support_tickets[[#This Row],[opened_at]],"mmm yyyy")</f>
        <v>Aug 2024</v>
      </c>
      <c r="U392">
        <f>YEAR(support_tickets[[#This Row],[opened_at]])*100+MONTH(support_tickets[[#This Row],[opened_at]])</f>
        <v>202408</v>
      </c>
      <c r="V392" s="29">
        <f>DATE(YEAR(support_tickets[[#This Row],[opened_at]]),MONTH(support_tickets[[#This Row],[opened_at]]),1)</f>
        <v>45505</v>
      </c>
    </row>
    <row r="393" spans="1:22">
      <c r="A393">
        <v>7748429750</v>
      </c>
      <c r="B393">
        <v>712745501</v>
      </c>
      <c r="C393" t="s">
        <v>1394</v>
      </c>
      <c r="D393" t="s">
        <v>1395</v>
      </c>
      <c r="E393">
        <v>36697396</v>
      </c>
      <c r="F393">
        <v>1863034397</v>
      </c>
      <c r="G393" s="1">
        <v>45675.417534722219</v>
      </c>
      <c r="H393" s="1">
        <v>45675.66684027778</v>
      </c>
      <c r="I393" t="s">
        <v>52</v>
      </c>
      <c r="J393" t="s">
        <v>38</v>
      </c>
      <c r="K393" t="s">
        <v>20</v>
      </c>
      <c r="L393" t="s">
        <v>21</v>
      </c>
      <c r="M393">
        <v>38</v>
      </c>
      <c r="N393">
        <v>359</v>
      </c>
      <c r="O393">
        <v>0</v>
      </c>
      <c r="P393" t="s">
        <v>40</v>
      </c>
      <c r="Q393">
        <v>1150</v>
      </c>
      <c r="R393" t="s">
        <v>39</v>
      </c>
      <c r="S393">
        <f>IF(support_tickets[[#This Row],[status_cleaned]]="closed",1,0)</f>
        <v>1</v>
      </c>
      <c r="T393" t="str">
        <f>TEXT(support_tickets[[#This Row],[opened_at]],"mmm yyyy")</f>
        <v>Jan 2025</v>
      </c>
      <c r="U393">
        <f>YEAR(support_tickets[[#This Row],[opened_at]])*100+MONTH(support_tickets[[#This Row],[opened_at]])</f>
        <v>202501</v>
      </c>
      <c r="V393" s="29">
        <f>DATE(YEAR(support_tickets[[#This Row],[opened_at]]),MONTH(support_tickets[[#This Row],[opened_at]]),1)</f>
        <v>45658</v>
      </c>
    </row>
    <row r="394" spans="1:22">
      <c r="A394">
        <v>7810109748</v>
      </c>
      <c r="B394">
        <v>843937341</v>
      </c>
      <c r="C394" t="s">
        <v>698</v>
      </c>
      <c r="D394" t="s">
        <v>699</v>
      </c>
      <c r="E394">
        <v>20709497</v>
      </c>
      <c r="G394" s="1">
        <v>45610.49759259259</v>
      </c>
      <c r="H394" s="1">
        <v>45610.723981481482</v>
      </c>
      <c r="I394" t="s">
        <v>3</v>
      </c>
      <c r="J394" t="s">
        <v>86</v>
      </c>
      <c r="K394" t="s">
        <v>20</v>
      </c>
      <c r="L394" t="s">
        <v>21</v>
      </c>
      <c r="M394">
        <v>19</v>
      </c>
      <c r="N394">
        <v>326</v>
      </c>
      <c r="O394">
        <v>0</v>
      </c>
      <c r="P394" t="s">
        <v>87</v>
      </c>
      <c r="Q394">
        <v>1159</v>
      </c>
      <c r="R394" t="s">
        <v>39</v>
      </c>
      <c r="S394">
        <f>IF(support_tickets[[#This Row],[status_cleaned]]="closed",1,0)</f>
        <v>1</v>
      </c>
      <c r="T394" t="str">
        <f>TEXT(support_tickets[[#This Row],[opened_at]],"mmm yyyy")</f>
        <v>Nov 2024</v>
      </c>
      <c r="U394">
        <f>YEAR(support_tickets[[#This Row],[opened_at]])*100+MONTH(support_tickets[[#This Row],[opened_at]])</f>
        <v>202411</v>
      </c>
      <c r="V394" s="29">
        <f>DATE(YEAR(support_tickets[[#This Row],[opened_at]]),MONTH(support_tickets[[#This Row],[opened_at]]),1)</f>
        <v>45597</v>
      </c>
    </row>
    <row r="395" spans="1:22">
      <c r="A395">
        <v>7820889546</v>
      </c>
      <c r="B395">
        <v>233654018</v>
      </c>
      <c r="C395" t="s">
        <v>294</v>
      </c>
      <c r="D395" t="s">
        <v>295</v>
      </c>
      <c r="E395">
        <v>56164955</v>
      </c>
      <c r="G395" s="1">
        <v>45762.319965277777</v>
      </c>
      <c r="H395" s="1">
        <v>45762.825520833336</v>
      </c>
      <c r="I395" t="s">
        <v>56</v>
      </c>
      <c r="J395" t="s">
        <v>19</v>
      </c>
      <c r="K395" t="s">
        <v>20</v>
      </c>
      <c r="L395" t="s">
        <v>21</v>
      </c>
      <c r="M395">
        <v>13</v>
      </c>
      <c r="N395">
        <v>728</v>
      </c>
      <c r="O395">
        <v>0</v>
      </c>
      <c r="P395" t="s">
        <v>22</v>
      </c>
      <c r="Q395">
        <v>1162</v>
      </c>
      <c r="R395" t="s">
        <v>39</v>
      </c>
      <c r="S395">
        <f>IF(support_tickets[[#This Row],[status_cleaned]]="closed",1,0)</f>
        <v>1</v>
      </c>
      <c r="T395" t="str">
        <f>TEXT(support_tickets[[#This Row],[opened_at]],"mmm yyyy")</f>
        <v>Apr 2025</v>
      </c>
      <c r="U395">
        <f>YEAR(support_tickets[[#This Row],[opened_at]])*100+MONTH(support_tickets[[#This Row],[opened_at]])</f>
        <v>202504</v>
      </c>
      <c r="V395" s="29">
        <f>DATE(YEAR(support_tickets[[#This Row],[opened_at]]),MONTH(support_tickets[[#This Row],[opened_at]]),1)</f>
        <v>45748</v>
      </c>
    </row>
    <row r="396" spans="1:22">
      <c r="A396">
        <v>7944662433</v>
      </c>
      <c r="B396">
        <v>694018597</v>
      </c>
      <c r="C396" t="s">
        <v>1168</v>
      </c>
      <c r="D396" t="s">
        <v>1169</v>
      </c>
      <c r="E396">
        <v>18526544</v>
      </c>
      <c r="F396">
        <v>5600916521</v>
      </c>
      <c r="G396" s="1">
        <v>45571.934467592589</v>
      </c>
      <c r="H396" s="1">
        <v>45572.183078703703</v>
      </c>
      <c r="I396" t="s">
        <v>56</v>
      </c>
      <c r="J396" t="s">
        <v>30</v>
      </c>
      <c r="K396" t="s">
        <v>20</v>
      </c>
      <c r="L396" t="s">
        <v>21</v>
      </c>
      <c r="M396">
        <v>31</v>
      </c>
      <c r="N396">
        <v>358</v>
      </c>
      <c r="O396">
        <v>0</v>
      </c>
      <c r="P396" t="s">
        <v>31</v>
      </c>
      <c r="Q396">
        <v>1178</v>
      </c>
      <c r="R396" t="s">
        <v>39</v>
      </c>
      <c r="S396">
        <f>IF(support_tickets[[#This Row],[status_cleaned]]="closed",1,0)</f>
        <v>1</v>
      </c>
      <c r="T396" t="str">
        <f>TEXT(support_tickets[[#This Row],[opened_at]],"mmm yyyy")</f>
        <v>Oct 2024</v>
      </c>
      <c r="U396">
        <f>YEAR(support_tickets[[#This Row],[opened_at]])*100+MONTH(support_tickets[[#This Row],[opened_at]])</f>
        <v>202410</v>
      </c>
      <c r="V396" s="29">
        <f>DATE(YEAR(support_tickets[[#This Row],[opened_at]]),MONTH(support_tickets[[#This Row],[opened_at]]),1)</f>
        <v>45566</v>
      </c>
    </row>
    <row r="397" spans="1:22">
      <c r="A397">
        <v>8089537254</v>
      </c>
      <c r="B397">
        <v>590822013</v>
      </c>
      <c r="C397" t="s">
        <v>634</v>
      </c>
      <c r="D397" t="s">
        <v>635</v>
      </c>
      <c r="E397">
        <v>66306997</v>
      </c>
      <c r="F397">
        <v>4393042281</v>
      </c>
      <c r="G397" s="1">
        <v>45417.152395833335</v>
      </c>
      <c r="H397" s="1">
        <v>45417.195451388892</v>
      </c>
      <c r="I397" t="s">
        <v>52</v>
      </c>
      <c r="J397" t="s">
        <v>59</v>
      </c>
      <c r="K397" t="s">
        <v>20</v>
      </c>
      <c r="L397" t="s">
        <v>21</v>
      </c>
      <c r="M397">
        <v>57</v>
      </c>
      <c r="N397">
        <v>62</v>
      </c>
      <c r="O397">
        <v>0</v>
      </c>
      <c r="P397" t="s">
        <v>61</v>
      </c>
      <c r="Q397">
        <v>1194</v>
      </c>
      <c r="R397" t="s">
        <v>39</v>
      </c>
      <c r="S397">
        <f>IF(support_tickets[[#This Row],[status_cleaned]]="closed",1,0)</f>
        <v>1</v>
      </c>
      <c r="T397" t="str">
        <f>TEXT(support_tickets[[#This Row],[opened_at]],"mmm yyyy")</f>
        <v>May 2024</v>
      </c>
      <c r="U397">
        <f>YEAR(support_tickets[[#This Row],[opened_at]])*100+MONTH(support_tickets[[#This Row],[opened_at]])</f>
        <v>202405</v>
      </c>
      <c r="V397" s="29">
        <f>DATE(YEAR(support_tickets[[#This Row],[opened_at]]),MONTH(support_tickets[[#This Row],[opened_at]]),1)</f>
        <v>45413</v>
      </c>
    </row>
    <row r="398" spans="1:22">
      <c r="A398">
        <v>8194528779</v>
      </c>
      <c r="B398">
        <v>690554938</v>
      </c>
      <c r="C398" t="s">
        <v>240</v>
      </c>
      <c r="D398" t="s">
        <v>241</v>
      </c>
      <c r="E398">
        <v>31472420</v>
      </c>
      <c r="F398">
        <v>9949069966</v>
      </c>
      <c r="G398" s="1">
        <v>46092.169571759259</v>
      </c>
      <c r="H398" s="1">
        <v>46092.400821759256</v>
      </c>
      <c r="I398" t="s">
        <v>3</v>
      </c>
      <c r="J398" t="s">
        <v>30</v>
      </c>
      <c r="K398" t="s">
        <v>20</v>
      </c>
      <c r="L398" t="s">
        <v>21</v>
      </c>
      <c r="M398">
        <v>31</v>
      </c>
      <c r="N398">
        <v>333</v>
      </c>
      <c r="O398">
        <v>0</v>
      </c>
      <c r="P398" t="s">
        <v>31</v>
      </c>
      <c r="Q398">
        <v>1210</v>
      </c>
      <c r="R398" t="s">
        <v>39</v>
      </c>
      <c r="S398">
        <f>IF(support_tickets[[#This Row],[status_cleaned]]="closed",1,0)</f>
        <v>1</v>
      </c>
      <c r="T398" t="str">
        <f>TEXT(support_tickets[[#This Row],[opened_at]],"mmm yyyy")</f>
        <v>Mar 2026</v>
      </c>
      <c r="U398">
        <f>YEAR(support_tickets[[#This Row],[opened_at]])*100+MONTH(support_tickets[[#This Row],[opened_at]])</f>
        <v>202603</v>
      </c>
      <c r="V398" s="29">
        <f>DATE(YEAR(support_tickets[[#This Row],[opened_at]]),MONTH(support_tickets[[#This Row],[opened_at]]),1)</f>
        <v>46082</v>
      </c>
    </row>
    <row r="399" spans="1:22">
      <c r="A399">
        <v>8257888483</v>
      </c>
      <c r="B399">
        <v>968253265</v>
      </c>
      <c r="C399" t="s">
        <v>760</v>
      </c>
      <c r="D399" t="s">
        <v>761</v>
      </c>
      <c r="E399">
        <v>96977837</v>
      </c>
      <c r="G399" s="1">
        <v>45987.172094907408</v>
      </c>
      <c r="H399" s="1">
        <v>45987.745011574072</v>
      </c>
      <c r="I399" t="s">
        <v>43</v>
      </c>
      <c r="J399" t="s">
        <v>59</v>
      </c>
      <c r="K399" t="s">
        <v>20</v>
      </c>
      <c r="L399" t="s">
        <v>21</v>
      </c>
      <c r="M399">
        <v>1</v>
      </c>
      <c r="N399">
        <v>825</v>
      </c>
      <c r="O399">
        <v>0</v>
      </c>
      <c r="P399" t="s">
        <v>61</v>
      </c>
      <c r="Q399">
        <v>1222</v>
      </c>
      <c r="R399" t="s">
        <v>39</v>
      </c>
      <c r="S399">
        <f>IF(support_tickets[[#This Row],[status_cleaned]]="closed",1,0)</f>
        <v>1</v>
      </c>
      <c r="T399" t="str">
        <f>TEXT(support_tickets[[#This Row],[opened_at]],"mmm yyyy")</f>
        <v>Nov 2025</v>
      </c>
      <c r="U399">
        <f>YEAR(support_tickets[[#This Row],[opened_at]])*100+MONTH(support_tickets[[#This Row],[opened_at]])</f>
        <v>202511</v>
      </c>
      <c r="V399" s="29">
        <f>DATE(YEAR(support_tickets[[#This Row],[opened_at]]),MONTH(support_tickets[[#This Row],[opened_at]]),1)</f>
        <v>45962</v>
      </c>
    </row>
    <row r="400" spans="1:22">
      <c r="A400">
        <v>8259101517</v>
      </c>
      <c r="B400">
        <v>902874167</v>
      </c>
      <c r="C400" t="s">
        <v>246</v>
      </c>
      <c r="D400" t="s">
        <v>247</v>
      </c>
      <c r="E400">
        <v>70855700</v>
      </c>
      <c r="G400" s="1">
        <v>46014.707465277781</v>
      </c>
      <c r="H400" s="1">
        <v>46014.938715277778</v>
      </c>
      <c r="I400" t="s">
        <v>37</v>
      </c>
      <c r="J400" t="s">
        <v>86</v>
      </c>
      <c r="K400" t="s">
        <v>20</v>
      </c>
      <c r="L400" t="s">
        <v>21</v>
      </c>
      <c r="M400">
        <v>30</v>
      </c>
      <c r="N400">
        <v>333</v>
      </c>
      <c r="O400">
        <v>0</v>
      </c>
      <c r="P400" t="s">
        <v>87</v>
      </c>
      <c r="Q400">
        <v>1223</v>
      </c>
      <c r="R400" t="s">
        <v>39</v>
      </c>
      <c r="S400">
        <f>IF(support_tickets[[#This Row],[status_cleaned]]="closed",1,0)</f>
        <v>1</v>
      </c>
      <c r="T400" t="str">
        <f>TEXT(support_tickets[[#This Row],[opened_at]],"mmm yyyy")</f>
        <v>Dec 2025</v>
      </c>
      <c r="U400">
        <f>YEAR(support_tickets[[#This Row],[opened_at]])*100+MONTH(support_tickets[[#This Row],[opened_at]])</f>
        <v>202512</v>
      </c>
      <c r="V400" s="29">
        <f>DATE(YEAR(support_tickets[[#This Row],[opened_at]]),MONTH(support_tickets[[#This Row],[opened_at]]),1)</f>
        <v>45992</v>
      </c>
    </row>
    <row r="401" spans="1:22">
      <c r="A401">
        <v>8290725484</v>
      </c>
      <c r="B401">
        <v>839393192</v>
      </c>
      <c r="C401" t="s">
        <v>28</v>
      </c>
      <c r="D401" t="s">
        <v>29</v>
      </c>
      <c r="E401">
        <v>36998038</v>
      </c>
      <c r="F401">
        <v>5924562641</v>
      </c>
      <c r="G401" s="1">
        <v>46000.839224537034</v>
      </c>
      <c r="H401" s="1">
        <v>46001.207280092596</v>
      </c>
      <c r="I401" t="s">
        <v>3</v>
      </c>
      <c r="J401" t="s">
        <v>59</v>
      </c>
      <c r="K401" t="s">
        <v>20</v>
      </c>
      <c r="L401" t="s">
        <v>21</v>
      </c>
      <c r="M401">
        <v>58</v>
      </c>
      <c r="N401">
        <v>530</v>
      </c>
      <c r="O401">
        <v>0</v>
      </c>
      <c r="P401" t="s">
        <v>61</v>
      </c>
      <c r="Q401">
        <v>1229</v>
      </c>
      <c r="R401" t="s">
        <v>39</v>
      </c>
      <c r="S401">
        <f>IF(support_tickets[[#This Row],[status_cleaned]]="closed",1,0)</f>
        <v>1</v>
      </c>
      <c r="T401" t="str">
        <f>TEXT(support_tickets[[#This Row],[opened_at]],"mmm yyyy")</f>
        <v>Dec 2025</v>
      </c>
      <c r="U401">
        <f>YEAR(support_tickets[[#This Row],[opened_at]])*100+MONTH(support_tickets[[#This Row],[opened_at]])</f>
        <v>202512</v>
      </c>
      <c r="V401" s="29">
        <f>DATE(YEAR(support_tickets[[#This Row],[opened_at]]),MONTH(support_tickets[[#This Row],[opened_at]]),1)</f>
        <v>45992</v>
      </c>
    </row>
    <row r="402" spans="1:22">
      <c r="A402">
        <v>8364295431</v>
      </c>
      <c r="B402">
        <v>846668526</v>
      </c>
      <c r="C402" t="s">
        <v>1451</v>
      </c>
      <c r="D402" t="s">
        <v>1452</v>
      </c>
      <c r="E402">
        <v>32162965</v>
      </c>
      <c r="G402" s="1">
        <v>45616.065613425926</v>
      </c>
      <c r="H402" s="1">
        <v>45616.278113425928</v>
      </c>
      <c r="I402" t="s">
        <v>56</v>
      </c>
      <c r="J402" t="s">
        <v>19</v>
      </c>
      <c r="K402" t="s">
        <v>20</v>
      </c>
      <c r="L402" t="s">
        <v>21</v>
      </c>
      <c r="M402">
        <v>46</v>
      </c>
      <c r="N402">
        <v>306</v>
      </c>
      <c r="O402">
        <v>0</v>
      </c>
      <c r="P402" t="s">
        <v>22</v>
      </c>
      <c r="Q402">
        <v>1234</v>
      </c>
      <c r="R402" t="s">
        <v>39</v>
      </c>
      <c r="S402">
        <f>IF(support_tickets[[#This Row],[status_cleaned]]="closed",1,0)</f>
        <v>1</v>
      </c>
      <c r="T402" t="str">
        <f>TEXT(support_tickets[[#This Row],[opened_at]],"mmm yyyy")</f>
        <v>Nov 2024</v>
      </c>
      <c r="U402">
        <f>YEAR(support_tickets[[#This Row],[opened_at]])*100+MONTH(support_tickets[[#This Row],[opened_at]])</f>
        <v>202411</v>
      </c>
      <c r="V402" s="29">
        <f>DATE(YEAR(support_tickets[[#This Row],[opened_at]]),MONTH(support_tickets[[#This Row],[opened_at]]),1)</f>
        <v>45597</v>
      </c>
    </row>
    <row r="403" spans="1:22">
      <c r="A403">
        <v>8518996760</v>
      </c>
      <c r="B403">
        <v>804086195</v>
      </c>
      <c r="C403" t="s">
        <v>160</v>
      </c>
      <c r="D403" t="s">
        <v>161</v>
      </c>
      <c r="E403">
        <v>60806024</v>
      </c>
      <c r="G403" s="1">
        <v>45407.926261574074</v>
      </c>
      <c r="H403" s="1">
        <v>45408.28528935185</v>
      </c>
      <c r="I403" t="s">
        <v>46</v>
      </c>
      <c r="J403" t="s">
        <v>59</v>
      </c>
      <c r="K403" t="s">
        <v>20</v>
      </c>
      <c r="L403" t="s">
        <v>21</v>
      </c>
      <c r="M403">
        <v>4</v>
      </c>
      <c r="N403">
        <v>517</v>
      </c>
      <c r="O403">
        <v>0</v>
      </c>
      <c r="P403" t="s">
        <v>61</v>
      </c>
      <c r="Q403">
        <v>1260</v>
      </c>
      <c r="R403" t="s">
        <v>39</v>
      </c>
      <c r="S403">
        <f>IF(support_tickets[[#This Row],[status_cleaned]]="closed",1,0)</f>
        <v>1</v>
      </c>
      <c r="T403" t="str">
        <f>TEXT(support_tickets[[#This Row],[opened_at]],"mmm yyyy")</f>
        <v>Apr 2024</v>
      </c>
      <c r="U403">
        <f>YEAR(support_tickets[[#This Row],[opened_at]])*100+MONTH(support_tickets[[#This Row],[opened_at]])</f>
        <v>202404</v>
      </c>
      <c r="V403" s="29">
        <f>DATE(YEAR(support_tickets[[#This Row],[opened_at]]),MONTH(support_tickets[[#This Row],[opened_at]]),1)</f>
        <v>45383</v>
      </c>
    </row>
    <row r="404" spans="1:22">
      <c r="A404">
        <v>8533026492</v>
      </c>
      <c r="B404">
        <v>709650444</v>
      </c>
      <c r="C404" t="s">
        <v>1465</v>
      </c>
      <c r="D404" t="s">
        <v>1466</v>
      </c>
      <c r="E404">
        <v>99949389</v>
      </c>
      <c r="F404">
        <v>7345454550</v>
      </c>
      <c r="G404" s="1">
        <v>45666.13453703704</v>
      </c>
      <c r="H404" s="1">
        <v>45666.706064814818</v>
      </c>
      <c r="I404" t="s">
        <v>37</v>
      </c>
      <c r="J404" t="s">
        <v>38</v>
      </c>
      <c r="K404" t="s">
        <v>20</v>
      </c>
      <c r="L404" t="s">
        <v>21</v>
      </c>
      <c r="M404">
        <v>42</v>
      </c>
      <c r="N404">
        <v>823</v>
      </c>
      <c r="O404">
        <v>0</v>
      </c>
      <c r="P404" t="s">
        <v>40</v>
      </c>
      <c r="Q404">
        <v>1266</v>
      </c>
      <c r="R404" t="s">
        <v>39</v>
      </c>
      <c r="S404">
        <f>IF(support_tickets[[#This Row],[status_cleaned]]="closed",1,0)</f>
        <v>1</v>
      </c>
      <c r="T404" t="str">
        <f>TEXT(support_tickets[[#This Row],[opened_at]],"mmm yyyy")</f>
        <v>Jan 2025</v>
      </c>
      <c r="U404">
        <f>YEAR(support_tickets[[#This Row],[opened_at]])*100+MONTH(support_tickets[[#This Row],[opened_at]])</f>
        <v>202501</v>
      </c>
      <c r="V404" s="29">
        <f>DATE(YEAR(support_tickets[[#This Row],[opened_at]]),MONTH(support_tickets[[#This Row],[opened_at]]),1)</f>
        <v>45658</v>
      </c>
    </row>
    <row r="405" spans="1:22">
      <c r="A405">
        <v>8596100331</v>
      </c>
      <c r="B405">
        <v>703091482</v>
      </c>
      <c r="C405" t="s">
        <v>1392</v>
      </c>
      <c r="D405" t="s">
        <v>1393</v>
      </c>
      <c r="E405">
        <v>77187530</v>
      </c>
      <c r="G405" s="1">
        <v>45558.380844907406</v>
      </c>
      <c r="H405" s="1">
        <v>45558.994039351855</v>
      </c>
      <c r="I405" t="s">
        <v>52</v>
      </c>
      <c r="J405" t="s">
        <v>30</v>
      </c>
      <c r="K405" t="s">
        <v>20</v>
      </c>
      <c r="L405" t="s">
        <v>21</v>
      </c>
      <c r="M405">
        <v>46</v>
      </c>
      <c r="N405">
        <v>883</v>
      </c>
      <c r="O405">
        <v>0</v>
      </c>
      <c r="P405" t="s">
        <v>31</v>
      </c>
      <c r="Q405">
        <v>1280</v>
      </c>
      <c r="R405" t="s">
        <v>39</v>
      </c>
      <c r="S405">
        <f>IF(support_tickets[[#This Row],[status_cleaned]]="closed",1,0)</f>
        <v>1</v>
      </c>
      <c r="T405" t="str">
        <f>TEXT(support_tickets[[#This Row],[opened_at]],"mmm yyyy")</f>
        <v>Sep 2024</v>
      </c>
      <c r="U405">
        <f>YEAR(support_tickets[[#This Row],[opened_at]])*100+MONTH(support_tickets[[#This Row],[opened_at]])</f>
        <v>202409</v>
      </c>
      <c r="V405" s="29">
        <f>DATE(YEAR(support_tickets[[#This Row],[opened_at]]),MONTH(support_tickets[[#This Row],[opened_at]]),1)</f>
        <v>45536</v>
      </c>
    </row>
    <row r="406" spans="1:22">
      <c r="A406">
        <v>8600298860</v>
      </c>
      <c r="B406">
        <v>881155839</v>
      </c>
      <c r="C406" t="s">
        <v>1262</v>
      </c>
      <c r="D406" t="s">
        <v>1263</v>
      </c>
      <c r="E406">
        <v>41227216</v>
      </c>
      <c r="F406">
        <v>6642064072</v>
      </c>
      <c r="G406" s="1">
        <v>46023.130266203705</v>
      </c>
      <c r="H406" s="1">
        <v>46023.510127314818</v>
      </c>
      <c r="I406" t="s">
        <v>18</v>
      </c>
      <c r="J406" t="s">
        <v>59</v>
      </c>
      <c r="K406" t="s">
        <v>20</v>
      </c>
      <c r="L406" t="s">
        <v>21</v>
      </c>
      <c r="M406">
        <v>62</v>
      </c>
      <c r="N406">
        <v>547</v>
      </c>
      <c r="O406">
        <v>0</v>
      </c>
      <c r="P406" t="s">
        <v>61</v>
      </c>
      <c r="Q406">
        <v>1281</v>
      </c>
      <c r="R406" t="s">
        <v>39</v>
      </c>
      <c r="S406">
        <f>IF(support_tickets[[#This Row],[status_cleaned]]="closed",1,0)</f>
        <v>1</v>
      </c>
      <c r="T406" t="str">
        <f>TEXT(support_tickets[[#This Row],[opened_at]],"mmm yyyy")</f>
        <v>Jan 2026</v>
      </c>
      <c r="U406">
        <f>YEAR(support_tickets[[#This Row],[opened_at]])*100+MONTH(support_tickets[[#This Row],[opened_at]])</f>
        <v>202601</v>
      </c>
      <c r="V406" s="29">
        <f>DATE(YEAR(support_tickets[[#This Row],[opened_at]]),MONTH(support_tickets[[#This Row],[opened_at]]),1)</f>
        <v>46023</v>
      </c>
    </row>
    <row r="407" spans="1:22">
      <c r="A407">
        <v>8645780953</v>
      </c>
      <c r="B407">
        <v>942211135</v>
      </c>
      <c r="C407" t="s">
        <v>1360</v>
      </c>
      <c r="D407" t="s">
        <v>1361</v>
      </c>
      <c r="E407">
        <v>31682744</v>
      </c>
      <c r="G407" s="1">
        <v>45351.389351851853</v>
      </c>
      <c r="H407" s="1">
        <v>45351.758796296293</v>
      </c>
      <c r="I407" t="s">
        <v>37</v>
      </c>
      <c r="J407" t="s">
        <v>86</v>
      </c>
      <c r="K407" t="s">
        <v>20</v>
      </c>
      <c r="L407" t="s">
        <v>21</v>
      </c>
      <c r="M407">
        <v>14</v>
      </c>
      <c r="N407">
        <v>532</v>
      </c>
      <c r="O407">
        <v>0</v>
      </c>
      <c r="P407" t="s">
        <v>87</v>
      </c>
      <c r="Q407">
        <v>1289</v>
      </c>
      <c r="R407" t="s">
        <v>39</v>
      </c>
      <c r="S407">
        <f>IF(support_tickets[[#This Row],[status_cleaned]]="closed",1,0)</f>
        <v>1</v>
      </c>
      <c r="T407" t="str">
        <f>TEXT(support_tickets[[#This Row],[opened_at]],"mmm yyyy")</f>
        <v>Feb 2024</v>
      </c>
      <c r="U407">
        <f>YEAR(support_tickets[[#This Row],[opened_at]])*100+MONTH(support_tickets[[#This Row],[opened_at]])</f>
        <v>202402</v>
      </c>
      <c r="V407" s="29">
        <f>DATE(YEAR(support_tickets[[#This Row],[opened_at]]),MONTH(support_tickets[[#This Row],[opened_at]]),1)</f>
        <v>45323</v>
      </c>
    </row>
    <row r="408" spans="1:22">
      <c r="A408">
        <v>8674109654</v>
      </c>
      <c r="B408">
        <v>919390458</v>
      </c>
      <c r="C408" t="s">
        <v>876</v>
      </c>
      <c r="D408" t="s">
        <v>877</v>
      </c>
      <c r="E408">
        <v>90048665</v>
      </c>
      <c r="F408">
        <v>1457261738</v>
      </c>
      <c r="G408" s="1">
        <v>45656.204571759263</v>
      </c>
      <c r="H408" s="1">
        <v>45656.526099537034</v>
      </c>
      <c r="I408" t="s">
        <v>37</v>
      </c>
      <c r="J408" t="s">
        <v>59</v>
      </c>
      <c r="K408" t="s">
        <v>20</v>
      </c>
      <c r="L408" t="s">
        <v>21</v>
      </c>
      <c r="M408">
        <v>46</v>
      </c>
      <c r="N408">
        <v>463</v>
      </c>
      <c r="O408">
        <v>0</v>
      </c>
      <c r="P408" t="s">
        <v>61</v>
      </c>
      <c r="Q408">
        <v>1292</v>
      </c>
      <c r="R408" t="s">
        <v>39</v>
      </c>
      <c r="S408">
        <f>IF(support_tickets[[#This Row],[status_cleaned]]="closed",1,0)</f>
        <v>1</v>
      </c>
      <c r="T408" t="str">
        <f>TEXT(support_tickets[[#This Row],[opened_at]],"mmm yyyy")</f>
        <v>Dec 2024</v>
      </c>
      <c r="U408">
        <f>YEAR(support_tickets[[#This Row],[opened_at]])*100+MONTH(support_tickets[[#This Row],[opened_at]])</f>
        <v>202412</v>
      </c>
      <c r="V408" s="29">
        <f>DATE(YEAR(support_tickets[[#This Row],[opened_at]]),MONTH(support_tickets[[#This Row],[opened_at]]),1)</f>
        <v>45627</v>
      </c>
    </row>
    <row r="409" spans="1:22">
      <c r="A409">
        <v>8687594450</v>
      </c>
      <c r="B409">
        <v>942211135</v>
      </c>
      <c r="C409" t="s">
        <v>1360</v>
      </c>
      <c r="D409" t="s">
        <v>1361</v>
      </c>
      <c r="E409">
        <v>52235350</v>
      </c>
      <c r="G409" s="1">
        <v>46080.111504629633</v>
      </c>
      <c r="H409" s="1">
        <v>46080.130254629628</v>
      </c>
      <c r="I409" t="s">
        <v>46</v>
      </c>
      <c r="J409" t="s">
        <v>25</v>
      </c>
      <c r="K409" t="s">
        <v>20</v>
      </c>
      <c r="L409" t="s">
        <v>21</v>
      </c>
      <c r="M409">
        <v>19</v>
      </c>
      <c r="N409">
        <v>27</v>
      </c>
      <c r="O409">
        <v>0</v>
      </c>
      <c r="P409" t="s">
        <v>27</v>
      </c>
      <c r="Q409">
        <v>1297</v>
      </c>
      <c r="R409" t="s">
        <v>39</v>
      </c>
      <c r="S409">
        <f>IF(support_tickets[[#This Row],[status_cleaned]]="closed",1,0)</f>
        <v>1</v>
      </c>
      <c r="T409" t="str">
        <f>TEXT(support_tickets[[#This Row],[opened_at]],"mmm yyyy")</f>
        <v>Feb 2026</v>
      </c>
      <c r="U409">
        <f>YEAR(support_tickets[[#This Row],[opened_at]])*100+MONTH(support_tickets[[#This Row],[opened_at]])</f>
        <v>202602</v>
      </c>
      <c r="V409" s="29">
        <f>DATE(YEAR(support_tickets[[#This Row],[opened_at]]),MONTH(support_tickets[[#This Row],[opened_at]]),1)</f>
        <v>46054</v>
      </c>
    </row>
    <row r="410" spans="1:22">
      <c r="A410">
        <v>8704031915</v>
      </c>
      <c r="B410">
        <v>709650444</v>
      </c>
      <c r="C410" t="s">
        <v>1465</v>
      </c>
      <c r="D410" t="s">
        <v>1466</v>
      </c>
      <c r="E410">
        <v>90048665</v>
      </c>
      <c r="G410" s="1">
        <v>45672.317916666667</v>
      </c>
      <c r="H410" s="1">
        <v>45672.372083333335</v>
      </c>
      <c r="I410" t="s">
        <v>43</v>
      </c>
      <c r="J410" t="s">
        <v>19</v>
      </c>
      <c r="K410" t="s">
        <v>20</v>
      </c>
      <c r="L410" t="s">
        <v>21</v>
      </c>
      <c r="M410">
        <v>31</v>
      </c>
      <c r="N410">
        <v>78</v>
      </c>
      <c r="O410">
        <v>0</v>
      </c>
      <c r="P410" t="s">
        <v>22</v>
      </c>
      <c r="Q410">
        <v>1298</v>
      </c>
      <c r="R410" t="s">
        <v>39</v>
      </c>
      <c r="S410">
        <f>IF(support_tickets[[#This Row],[status_cleaned]]="closed",1,0)</f>
        <v>1</v>
      </c>
      <c r="T410" t="str">
        <f>TEXT(support_tickets[[#This Row],[opened_at]],"mmm yyyy")</f>
        <v>Jan 2025</v>
      </c>
      <c r="U410">
        <f>YEAR(support_tickets[[#This Row],[opened_at]])*100+MONTH(support_tickets[[#This Row],[opened_at]])</f>
        <v>202501</v>
      </c>
      <c r="V410" s="29">
        <f>DATE(YEAR(support_tickets[[#This Row],[opened_at]]),MONTH(support_tickets[[#This Row],[opened_at]]),1)</f>
        <v>45658</v>
      </c>
    </row>
    <row r="411" spans="1:22">
      <c r="A411">
        <v>8793464534</v>
      </c>
      <c r="B411">
        <v>259923818</v>
      </c>
      <c r="C411" t="s">
        <v>1477</v>
      </c>
      <c r="D411" t="s">
        <v>1478</v>
      </c>
      <c r="E411">
        <v>58181396</v>
      </c>
      <c r="F411">
        <v>8030428597</v>
      </c>
      <c r="G411" s="1">
        <v>45640.610300925924</v>
      </c>
      <c r="H411" s="1">
        <v>45641.043634259258</v>
      </c>
      <c r="I411" t="s">
        <v>18</v>
      </c>
      <c r="J411" t="s">
        <v>38</v>
      </c>
      <c r="K411" t="s">
        <v>20</v>
      </c>
      <c r="L411" t="s">
        <v>21</v>
      </c>
      <c r="M411">
        <v>63</v>
      </c>
      <c r="N411">
        <v>624</v>
      </c>
      <c r="O411">
        <v>0</v>
      </c>
      <c r="P411" t="s">
        <v>40</v>
      </c>
      <c r="Q411">
        <v>1310</v>
      </c>
      <c r="R411" t="s">
        <v>39</v>
      </c>
      <c r="S411">
        <f>IF(support_tickets[[#This Row],[status_cleaned]]="closed",1,0)</f>
        <v>1</v>
      </c>
      <c r="T411" t="str">
        <f>TEXT(support_tickets[[#This Row],[opened_at]],"mmm yyyy")</f>
        <v>Dec 2024</v>
      </c>
      <c r="U411">
        <f>YEAR(support_tickets[[#This Row],[opened_at]])*100+MONTH(support_tickets[[#This Row],[opened_at]])</f>
        <v>202412</v>
      </c>
      <c r="V411" s="29">
        <f>DATE(YEAR(support_tickets[[#This Row],[opened_at]]),MONTH(support_tickets[[#This Row],[opened_at]]),1)</f>
        <v>45627</v>
      </c>
    </row>
    <row r="412" spans="1:22">
      <c r="A412">
        <v>8809715915</v>
      </c>
      <c r="B412">
        <v>653380476</v>
      </c>
      <c r="C412" t="s">
        <v>1481</v>
      </c>
      <c r="D412" t="s">
        <v>1482</v>
      </c>
      <c r="E412">
        <v>84752529</v>
      </c>
      <c r="G412" s="1">
        <v>45538.478888888887</v>
      </c>
      <c r="H412" s="1">
        <v>45538.889305555553</v>
      </c>
      <c r="I412" t="s">
        <v>18</v>
      </c>
      <c r="J412" t="s">
        <v>19</v>
      </c>
      <c r="K412" t="s">
        <v>20</v>
      </c>
      <c r="L412" t="s">
        <v>21</v>
      </c>
      <c r="M412">
        <v>27</v>
      </c>
      <c r="N412">
        <v>591</v>
      </c>
      <c r="O412">
        <v>0</v>
      </c>
      <c r="P412" t="s">
        <v>22</v>
      </c>
      <c r="Q412">
        <v>1312</v>
      </c>
      <c r="R412" t="s">
        <v>39</v>
      </c>
      <c r="S412">
        <f>IF(support_tickets[[#This Row],[status_cleaned]]="closed",1,0)</f>
        <v>1</v>
      </c>
      <c r="T412" t="str">
        <f>TEXT(support_tickets[[#This Row],[opened_at]],"mmm yyyy")</f>
        <v>Sep 2024</v>
      </c>
      <c r="U412">
        <f>YEAR(support_tickets[[#This Row],[opened_at]])*100+MONTH(support_tickets[[#This Row],[opened_at]])</f>
        <v>202409</v>
      </c>
      <c r="V412" s="29">
        <f>DATE(YEAR(support_tickets[[#This Row],[opened_at]]),MONTH(support_tickets[[#This Row],[opened_at]]),1)</f>
        <v>45536</v>
      </c>
    </row>
    <row r="413" spans="1:22">
      <c r="A413">
        <v>8890374506</v>
      </c>
      <c r="B413">
        <v>830572478</v>
      </c>
      <c r="C413" t="s">
        <v>1342</v>
      </c>
      <c r="D413" t="s">
        <v>1343</v>
      </c>
      <c r="E413">
        <v>28740864</v>
      </c>
      <c r="F413">
        <v>9368888421</v>
      </c>
      <c r="G413" s="1">
        <v>45623.262025462966</v>
      </c>
      <c r="H413" s="1">
        <v>45623.6641087963</v>
      </c>
      <c r="I413" t="s">
        <v>37</v>
      </c>
      <c r="J413" t="s">
        <v>59</v>
      </c>
      <c r="K413" t="s">
        <v>20</v>
      </c>
      <c r="L413" t="s">
        <v>21</v>
      </c>
      <c r="M413">
        <v>4</v>
      </c>
      <c r="N413">
        <v>579</v>
      </c>
      <c r="O413">
        <v>0</v>
      </c>
      <c r="P413" t="s">
        <v>61</v>
      </c>
      <c r="Q413">
        <v>1328</v>
      </c>
      <c r="R413" t="s">
        <v>39</v>
      </c>
      <c r="S413">
        <f>IF(support_tickets[[#This Row],[status_cleaned]]="closed",1,0)</f>
        <v>1</v>
      </c>
      <c r="T413" t="str">
        <f>TEXT(support_tickets[[#This Row],[opened_at]],"mmm yyyy")</f>
        <v>Nov 2024</v>
      </c>
      <c r="U413">
        <f>YEAR(support_tickets[[#This Row],[opened_at]])*100+MONTH(support_tickets[[#This Row],[opened_at]])</f>
        <v>202411</v>
      </c>
      <c r="V413" s="29">
        <f>DATE(YEAR(support_tickets[[#This Row],[opened_at]]),MONTH(support_tickets[[#This Row],[opened_at]]),1)</f>
        <v>45597</v>
      </c>
    </row>
    <row r="414" spans="1:22">
      <c r="A414">
        <v>8932443528</v>
      </c>
      <c r="B414">
        <v>999371401</v>
      </c>
      <c r="C414" t="s">
        <v>434</v>
      </c>
      <c r="D414" t="s">
        <v>435</v>
      </c>
      <c r="E414">
        <v>22448136</v>
      </c>
      <c r="G414" s="1">
        <v>45375.195752314816</v>
      </c>
      <c r="H414" s="1">
        <v>45375.551307870373</v>
      </c>
      <c r="I414" t="s">
        <v>18</v>
      </c>
      <c r="J414" t="s">
        <v>25</v>
      </c>
      <c r="K414" t="s">
        <v>20</v>
      </c>
      <c r="L414" t="s">
        <v>21</v>
      </c>
      <c r="M414">
        <v>72</v>
      </c>
      <c r="N414">
        <v>512</v>
      </c>
      <c r="O414">
        <v>0</v>
      </c>
      <c r="P414" t="s">
        <v>27</v>
      </c>
      <c r="Q414">
        <v>1332</v>
      </c>
      <c r="R414" t="s">
        <v>39</v>
      </c>
      <c r="S414">
        <f>IF(support_tickets[[#This Row],[status_cleaned]]="closed",1,0)</f>
        <v>1</v>
      </c>
      <c r="T414" t="str">
        <f>TEXT(support_tickets[[#This Row],[opened_at]],"mmm yyyy")</f>
        <v>Mar 2024</v>
      </c>
      <c r="U414">
        <f>YEAR(support_tickets[[#This Row],[opened_at]])*100+MONTH(support_tickets[[#This Row],[opened_at]])</f>
        <v>202403</v>
      </c>
      <c r="V414" s="29">
        <f>DATE(YEAR(support_tickets[[#This Row],[opened_at]]),MONTH(support_tickets[[#This Row],[opened_at]]),1)</f>
        <v>45352</v>
      </c>
    </row>
    <row r="415" spans="1:22">
      <c r="A415">
        <v>9006224548</v>
      </c>
      <c r="B415">
        <v>139019611</v>
      </c>
      <c r="C415" t="s">
        <v>530</v>
      </c>
      <c r="D415" t="s">
        <v>531</v>
      </c>
      <c r="E415">
        <v>46231783</v>
      </c>
      <c r="F415">
        <v>8760139014</v>
      </c>
      <c r="G415" s="1">
        <v>45592.622476851851</v>
      </c>
      <c r="H415" s="1">
        <v>45592.690532407411</v>
      </c>
      <c r="I415" t="s">
        <v>3</v>
      </c>
      <c r="J415" t="s">
        <v>59</v>
      </c>
      <c r="K415" t="s">
        <v>20</v>
      </c>
      <c r="L415" t="s">
        <v>21</v>
      </c>
      <c r="M415">
        <v>68</v>
      </c>
      <c r="N415">
        <v>98</v>
      </c>
      <c r="O415">
        <v>0</v>
      </c>
      <c r="P415" t="s">
        <v>61</v>
      </c>
      <c r="Q415">
        <v>1347</v>
      </c>
      <c r="R415" t="s">
        <v>39</v>
      </c>
      <c r="S415">
        <f>IF(support_tickets[[#This Row],[status_cleaned]]="closed",1,0)</f>
        <v>1</v>
      </c>
      <c r="T415" t="str">
        <f>TEXT(support_tickets[[#This Row],[opened_at]],"mmm yyyy")</f>
        <v>Oct 2024</v>
      </c>
      <c r="U415">
        <f>YEAR(support_tickets[[#This Row],[opened_at]])*100+MONTH(support_tickets[[#This Row],[opened_at]])</f>
        <v>202410</v>
      </c>
      <c r="V415" s="29">
        <f>DATE(YEAR(support_tickets[[#This Row],[opened_at]]),MONTH(support_tickets[[#This Row],[opened_at]]),1)</f>
        <v>45566</v>
      </c>
    </row>
    <row r="416" spans="1:22">
      <c r="A416">
        <v>9082423578</v>
      </c>
      <c r="B416">
        <v>193133974</v>
      </c>
      <c r="C416" t="s">
        <v>432</v>
      </c>
      <c r="D416" t="s">
        <v>433</v>
      </c>
      <c r="E416">
        <v>13561597</v>
      </c>
      <c r="F416">
        <v>2431229740</v>
      </c>
      <c r="G416" s="1">
        <v>45900.409502314818</v>
      </c>
      <c r="H416" s="1">
        <v>45900.608113425929</v>
      </c>
      <c r="I416" t="s">
        <v>37</v>
      </c>
      <c r="J416" t="s">
        <v>59</v>
      </c>
      <c r="K416" t="s">
        <v>20</v>
      </c>
      <c r="L416" t="s">
        <v>21</v>
      </c>
      <c r="M416">
        <v>21</v>
      </c>
      <c r="N416">
        <v>286</v>
      </c>
      <c r="O416">
        <v>0</v>
      </c>
      <c r="P416" t="s">
        <v>61</v>
      </c>
      <c r="Q416">
        <v>1364</v>
      </c>
      <c r="R416" t="s">
        <v>39</v>
      </c>
      <c r="S416">
        <f>IF(support_tickets[[#This Row],[status_cleaned]]="closed",1,0)</f>
        <v>1</v>
      </c>
      <c r="T416" t="str">
        <f>TEXT(support_tickets[[#This Row],[opened_at]],"mmm yyyy")</f>
        <v>Aug 2025</v>
      </c>
      <c r="U416">
        <f>YEAR(support_tickets[[#This Row],[opened_at]])*100+MONTH(support_tickets[[#This Row],[opened_at]])</f>
        <v>202508</v>
      </c>
      <c r="V416" s="29">
        <f>DATE(YEAR(support_tickets[[#This Row],[opened_at]]),MONTH(support_tickets[[#This Row],[opened_at]]),1)</f>
        <v>45870</v>
      </c>
    </row>
    <row r="417" spans="1:22">
      <c r="A417">
        <v>9130187688</v>
      </c>
      <c r="B417">
        <v>141127742</v>
      </c>
      <c r="C417" t="s">
        <v>656</v>
      </c>
      <c r="D417" t="s">
        <v>657</v>
      </c>
      <c r="E417">
        <v>73791320</v>
      </c>
      <c r="G417" s="1">
        <v>45759.260659722226</v>
      </c>
      <c r="H417" s="1">
        <v>45759.542604166665</v>
      </c>
      <c r="I417" t="s">
        <v>37</v>
      </c>
      <c r="J417" t="s">
        <v>86</v>
      </c>
      <c r="K417" t="s">
        <v>20</v>
      </c>
      <c r="L417" t="s">
        <v>21</v>
      </c>
      <c r="M417">
        <v>2</v>
      </c>
      <c r="N417">
        <v>406</v>
      </c>
      <c r="O417">
        <v>0</v>
      </c>
      <c r="P417" t="s">
        <v>87</v>
      </c>
      <c r="Q417">
        <v>1375</v>
      </c>
      <c r="R417" t="s">
        <v>39</v>
      </c>
      <c r="S417">
        <f>IF(support_tickets[[#This Row],[status_cleaned]]="closed",1,0)</f>
        <v>1</v>
      </c>
      <c r="T417" t="str">
        <f>TEXT(support_tickets[[#This Row],[opened_at]],"mmm yyyy")</f>
        <v>Apr 2025</v>
      </c>
      <c r="U417">
        <f>YEAR(support_tickets[[#This Row],[opened_at]])*100+MONTH(support_tickets[[#This Row],[opened_at]])</f>
        <v>202504</v>
      </c>
      <c r="V417" s="29">
        <f>DATE(YEAR(support_tickets[[#This Row],[opened_at]]),MONTH(support_tickets[[#This Row],[opened_at]]),1)</f>
        <v>45748</v>
      </c>
    </row>
    <row r="418" spans="1:22">
      <c r="A418">
        <v>9224916527</v>
      </c>
      <c r="B418">
        <v>337135066</v>
      </c>
      <c r="C418" t="s">
        <v>1527</v>
      </c>
      <c r="D418" t="s">
        <v>1528</v>
      </c>
      <c r="E418">
        <v>52339391</v>
      </c>
      <c r="G418" s="1">
        <v>45947.388749999998</v>
      </c>
      <c r="H418" s="1">
        <v>45948.037361111114</v>
      </c>
      <c r="I418" t="s">
        <v>52</v>
      </c>
      <c r="J418" t="s">
        <v>30</v>
      </c>
      <c r="K418" t="s">
        <v>20</v>
      </c>
      <c r="L418" t="s">
        <v>21</v>
      </c>
      <c r="M418">
        <v>29</v>
      </c>
      <c r="N418">
        <v>934</v>
      </c>
      <c r="O418">
        <v>0</v>
      </c>
      <c r="P418" t="s">
        <v>31</v>
      </c>
      <c r="Q418">
        <v>1387</v>
      </c>
      <c r="R418" t="s">
        <v>39</v>
      </c>
      <c r="S418">
        <f>IF(support_tickets[[#This Row],[status_cleaned]]="closed",1,0)</f>
        <v>1</v>
      </c>
      <c r="T418" t="str">
        <f>TEXT(support_tickets[[#This Row],[opened_at]],"mmm yyyy")</f>
        <v>Oct 2025</v>
      </c>
      <c r="U418">
        <f>YEAR(support_tickets[[#This Row],[opened_at]])*100+MONTH(support_tickets[[#This Row],[opened_at]])</f>
        <v>202510</v>
      </c>
      <c r="V418" s="29">
        <f>DATE(YEAR(support_tickets[[#This Row],[opened_at]]),MONTH(support_tickets[[#This Row],[opened_at]]),1)</f>
        <v>45931</v>
      </c>
    </row>
    <row r="419" spans="1:22">
      <c r="A419">
        <v>9234930973</v>
      </c>
      <c r="B419">
        <v>132519237</v>
      </c>
      <c r="C419" t="s">
        <v>1529</v>
      </c>
      <c r="D419" t="s">
        <v>1530</v>
      </c>
      <c r="E419">
        <v>51837852</v>
      </c>
      <c r="G419" s="1">
        <v>45637.754236111112</v>
      </c>
      <c r="H419" s="1">
        <v>45638.187569444446</v>
      </c>
      <c r="I419" t="s">
        <v>18</v>
      </c>
      <c r="J419" t="s">
        <v>38</v>
      </c>
      <c r="K419" t="s">
        <v>20</v>
      </c>
      <c r="L419" t="s">
        <v>21</v>
      </c>
      <c r="M419">
        <v>52</v>
      </c>
      <c r="N419">
        <v>624</v>
      </c>
      <c r="O419">
        <v>0</v>
      </c>
      <c r="P419" t="s">
        <v>40</v>
      </c>
      <c r="Q419">
        <v>1390</v>
      </c>
      <c r="R419" t="s">
        <v>39</v>
      </c>
      <c r="S419">
        <f>IF(support_tickets[[#This Row],[status_cleaned]]="closed",1,0)</f>
        <v>1</v>
      </c>
      <c r="T419" t="str">
        <f>TEXT(support_tickets[[#This Row],[opened_at]],"mmm yyyy")</f>
        <v>Dec 2024</v>
      </c>
      <c r="U419">
        <f>YEAR(support_tickets[[#This Row],[opened_at]])*100+MONTH(support_tickets[[#This Row],[opened_at]])</f>
        <v>202412</v>
      </c>
      <c r="V419" s="29">
        <f>DATE(YEAR(support_tickets[[#This Row],[opened_at]]),MONTH(support_tickets[[#This Row],[opened_at]]),1)</f>
        <v>45627</v>
      </c>
    </row>
    <row r="420" spans="1:22">
      <c r="A420">
        <v>9248476928</v>
      </c>
      <c r="B420">
        <v>488856231</v>
      </c>
      <c r="C420" t="s">
        <v>1533</v>
      </c>
      <c r="D420" t="s">
        <v>1534</v>
      </c>
      <c r="E420">
        <v>43101783</v>
      </c>
      <c r="G420" s="1">
        <v>45925.277384259258</v>
      </c>
      <c r="H420" s="1">
        <v>45925.559328703705</v>
      </c>
      <c r="I420" t="s">
        <v>3</v>
      </c>
      <c r="J420" t="s">
        <v>19</v>
      </c>
      <c r="K420" t="s">
        <v>20</v>
      </c>
      <c r="L420" t="s">
        <v>21</v>
      </c>
      <c r="M420">
        <v>3</v>
      </c>
      <c r="N420">
        <v>406</v>
      </c>
      <c r="O420">
        <v>0</v>
      </c>
      <c r="P420" t="s">
        <v>22</v>
      </c>
      <c r="Q420">
        <v>1394</v>
      </c>
      <c r="R420" t="s">
        <v>39</v>
      </c>
      <c r="S420">
        <f>IF(support_tickets[[#This Row],[status_cleaned]]="closed",1,0)</f>
        <v>1</v>
      </c>
      <c r="T420" t="str">
        <f>TEXT(support_tickets[[#This Row],[opened_at]],"mmm yyyy")</f>
        <v>Sep 2025</v>
      </c>
      <c r="U420">
        <f>YEAR(support_tickets[[#This Row],[opened_at]])*100+MONTH(support_tickets[[#This Row],[opened_at]])</f>
        <v>202509</v>
      </c>
      <c r="V420" s="29">
        <f>DATE(YEAR(support_tickets[[#This Row],[opened_at]]),MONTH(support_tickets[[#This Row],[opened_at]]),1)</f>
        <v>45901</v>
      </c>
    </row>
    <row r="421" spans="1:22">
      <c r="A421">
        <v>9274607445</v>
      </c>
      <c r="B421">
        <v>243811545</v>
      </c>
      <c r="C421" t="s">
        <v>1172</v>
      </c>
      <c r="D421" t="s">
        <v>1173</v>
      </c>
      <c r="E421">
        <v>19583482</v>
      </c>
      <c r="F421">
        <v>7211200186</v>
      </c>
      <c r="G421" s="1">
        <v>45352.107291666667</v>
      </c>
      <c r="H421" s="1">
        <v>45352.179513888892</v>
      </c>
      <c r="I421" t="s">
        <v>46</v>
      </c>
      <c r="J421" t="s">
        <v>19</v>
      </c>
      <c r="K421" t="s">
        <v>20</v>
      </c>
      <c r="L421" t="s">
        <v>21</v>
      </c>
      <c r="M421">
        <v>18</v>
      </c>
      <c r="N421">
        <v>104</v>
      </c>
      <c r="O421">
        <v>0</v>
      </c>
      <c r="P421" t="s">
        <v>22</v>
      </c>
      <c r="Q421">
        <v>1399</v>
      </c>
      <c r="R421" t="s">
        <v>39</v>
      </c>
      <c r="S421">
        <f>IF(support_tickets[[#This Row],[status_cleaned]]="closed",1,0)</f>
        <v>1</v>
      </c>
      <c r="T421" t="str">
        <f>TEXT(support_tickets[[#This Row],[opened_at]],"mmm yyyy")</f>
        <v>Mar 2024</v>
      </c>
      <c r="U421">
        <f>YEAR(support_tickets[[#This Row],[opened_at]])*100+MONTH(support_tickets[[#This Row],[opened_at]])</f>
        <v>202403</v>
      </c>
      <c r="V421" s="29">
        <f>DATE(YEAR(support_tickets[[#This Row],[opened_at]]),MONTH(support_tickets[[#This Row],[opened_at]]),1)</f>
        <v>45352</v>
      </c>
    </row>
    <row r="422" spans="1:22">
      <c r="A422">
        <v>9485208067</v>
      </c>
      <c r="B422">
        <v>938927341</v>
      </c>
      <c r="C422" t="s">
        <v>1551</v>
      </c>
      <c r="D422" t="s">
        <v>1552</v>
      </c>
      <c r="E422">
        <v>66661351</v>
      </c>
      <c r="G422" s="1">
        <v>45586.166203703702</v>
      </c>
      <c r="H422" s="1">
        <v>45586.360648148147</v>
      </c>
      <c r="I422" t="s">
        <v>46</v>
      </c>
      <c r="J422" t="s">
        <v>38</v>
      </c>
      <c r="K422" t="s">
        <v>20</v>
      </c>
      <c r="L422" t="s">
        <v>21</v>
      </c>
      <c r="M422">
        <v>25</v>
      </c>
      <c r="N422">
        <v>280</v>
      </c>
      <c r="O422">
        <v>0</v>
      </c>
      <c r="P422" t="s">
        <v>40</v>
      </c>
      <c r="Q422">
        <v>1431</v>
      </c>
      <c r="R422" t="s">
        <v>39</v>
      </c>
      <c r="S422">
        <f>IF(support_tickets[[#This Row],[status_cleaned]]="closed",1,0)</f>
        <v>1</v>
      </c>
      <c r="T422" t="str">
        <f>TEXT(support_tickets[[#This Row],[opened_at]],"mmm yyyy")</f>
        <v>Oct 2024</v>
      </c>
      <c r="U422">
        <f>YEAR(support_tickets[[#This Row],[opened_at]])*100+MONTH(support_tickets[[#This Row],[opened_at]])</f>
        <v>202410</v>
      </c>
      <c r="V422" s="29">
        <f>DATE(YEAR(support_tickets[[#This Row],[opened_at]]),MONTH(support_tickets[[#This Row],[opened_at]]),1)</f>
        <v>45566</v>
      </c>
    </row>
    <row r="423" spans="1:22">
      <c r="A423">
        <v>9537725542</v>
      </c>
      <c r="B423">
        <v>394801573</v>
      </c>
      <c r="C423" t="s">
        <v>442</v>
      </c>
      <c r="D423" t="s">
        <v>443</v>
      </c>
      <c r="E423">
        <v>82383095</v>
      </c>
      <c r="G423" s="1">
        <v>45715.661157407405</v>
      </c>
      <c r="H423" s="1">
        <v>45716.160462962966</v>
      </c>
      <c r="I423" t="s">
        <v>3</v>
      </c>
      <c r="J423" t="s">
        <v>30</v>
      </c>
      <c r="K423" t="s">
        <v>20</v>
      </c>
      <c r="L423" t="s">
        <v>21</v>
      </c>
      <c r="M423">
        <v>27</v>
      </c>
      <c r="N423">
        <v>719</v>
      </c>
      <c r="O423">
        <v>0</v>
      </c>
      <c r="P423" t="s">
        <v>31</v>
      </c>
      <c r="Q423">
        <v>1435</v>
      </c>
      <c r="R423" t="s">
        <v>39</v>
      </c>
      <c r="S423">
        <f>IF(support_tickets[[#This Row],[status_cleaned]]="closed",1,0)</f>
        <v>1</v>
      </c>
      <c r="T423" t="str">
        <f>TEXT(support_tickets[[#This Row],[opened_at]],"mmm yyyy")</f>
        <v>Feb 2025</v>
      </c>
      <c r="U423">
        <f>YEAR(support_tickets[[#This Row],[opened_at]])*100+MONTH(support_tickets[[#This Row],[opened_at]])</f>
        <v>202502</v>
      </c>
      <c r="V423" s="29">
        <f>DATE(YEAR(support_tickets[[#This Row],[opened_at]]),MONTH(support_tickets[[#This Row],[opened_at]]),1)</f>
        <v>45689</v>
      </c>
    </row>
    <row r="424" spans="1:22">
      <c r="A424">
        <v>9562950640</v>
      </c>
      <c r="B424">
        <v>151270577</v>
      </c>
      <c r="C424" t="s">
        <v>606</v>
      </c>
      <c r="D424" t="s">
        <v>607</v>
      </c>
      <c r="E424">
        <v>36697396</v>
      </c>
      <c r="G424" s="1">
        <v>45532.581678240742</v>
      </c>
      <c r="H424" s="1">
        <v>45532.851122685184</v>
      </c>
      <c r="I424" t="s">
        <v>3</v>
      </c>
      <c r="J424" t="s">
        <v>38</v>
      </c>
      <c r="K424" t="s">
        <v>20</v>
      </c>
      <c r="L424" t="s">
        <v>21</v>
      </c>
      <c r="M424">
        <v>26</v>
      </c>
      <c r="N424">
        <v>388</v>
      </c>
      <c r="O424">
        <v>0</v>
      </c>
      <c r="P424" t="s">
        <v>40</v>
      </c>
      <c r="Q424">
        <v>1442</v>
      </c>
      <c r="R424" t="s">
        <v>39</v>
      </c>
      <c r="S424">
        <f>IF(support_tickets[[#This Row],[status_cleaned]]="closed",1,0)</f>
        <v>1</v>
      </c>
      <c r="T424" t="str">
        <f>TEXT(support_tickets[[#This Row],[opened_at]],"mmm yyyy")</f>
        <v>Aug 2024</v>
      </c>
      <c r="U424">
        <f>YEAR(support_tickets[[#This Row],[opened_at]])*100+MONTH(support_tickets[[#This Row],[opened_at]])</f>
        <v>202408</v>
      </c>
      <c r="V424" s="29">
        <f>DATE(YEAR(support_tickets[[#This Row],[opened_at]]),MONTH(support_tickets[[#This Row],[opened_at]]),1)</f>
        <v>45505</v>
      </c>
    </row>
    <row r="425" spans="1:22">
      <c r="A425">
        <v>9630417179</v>
      </c>
      <c r="B425">
        <v>452108572</v>
      </c>
      <c r="C425" t="s">
        <v>574</v>
      </c>
      <c r="D425" t="s">
        <v>575</v>
      </c>
      <c r="E425">
        <v>78137358</v>
      </c>
      <c r="G425" s="1">
        <v>45532.905069444445</v>
      </c>
      <c r="H425" s="1">
        <v>45533.215486111112</v>
      </c>
      <c r="I425" t="s">
        <v>43</v>
      </c>
      <c r="J425" t="s">
        <v>86</v>
      </c>
      <c r="K425" t="s">
        <v>20</v>
      </c>
      <c r="L425" t="s">
        <v>21</v>
      </c>
      <c r="M425">
        <v>84</v>
      </c>
      <c r="N425">
        <v>447</v>
      </c>
      <c r="O425">
        <v>0</v>
      </c>
      <c r="P425" t="s">
        <v>87</v>
      </c>
      <c r="Q425">
        <v>1455</v>
      </c>
      <c r="R425" t="s">
        <v>39</v>
      </c>
      <c r="S425">
        <f>IF(support_tickets[[#This Row],[status_cleaned]]="closed",1,0)</f>
        <v>1</v>
      </c>
      <c r="T425" t="str">
        <f>TEXT(support_tickets[[#This Row],[opened_at]],"mmm yyyy")</f>
        <v>Aug 2024</v>
      </c>
      <c r="U425">
        <f>YEAR(support_tickets[[#This Row],[opened_at]])*100+MONTH(support_tickets[[#This Row],[opened_at]])</f>
        <v>202408</v>
      </c>
      <c r="V425" s="29">
        <f>DATE(YEAR(support_tickets[[#This Row],[opened_at]]),MONTH(support_tickets[[#This Row],[opened_at]]),1)</f>
        <v>45505</v>
      </c>
    </row>
    <row r="426" spans="1:22">
      <c r="A426">
        <v>9643324502</v>
      </c>
      <c r="B426">
        <v>809656613</v>
      </c>
      <c r="C426" t="s">
        <v>76</v>
      </c>
      <c r="D426" t="s">
        <v>77</v>
      </c>
      <c r="E426">
        <v>58966946</v>
      </c>
      <c r="F426">
        <v>4853522356</v>
      </c>
      <c r="G426" s="1">
        <v>45468.842581018522</v>
      </c>
      <c r="H426" s="1">
        <v>45469.03633101852</v>
      </c>
      <c r="I426" t="s">
        <v>3</v>
      </c>
      <c r="J426" t="s">
        <v>38</v>
      </c>
      <c r="K426" t="s">
        <v>20</v>
      </c>
      <c r="L426" t="s">
        <v>21</v>
      </c>
      <c r="M426">
        <v>25</v>
      </c>
      <c r="N426">
        <v>279</v>
      </c>
      <c r="O426">
        <v>0</v>
      </c>
      <c r="P426" t="s">
        <v>40</v>
      </c>
      <c r="Q426">
        <v>1457</v>
      </c>
      <c r="R426" t="s">
        <v>39</v>
      </c>
      <c r="S426">
        <f>IF(support_tickets[[#This Row],[status_cleaned]]="closed",1,0)</f>
        <v>1</v>
      </c>
      <c r="T426" t="str">
        <f>TEXT(support_tickets[[#This Row],[opened_at]],"mmm yyyy")</f>
        <v>Jun 2024</v>
      </c>
      <c r="U426">
        <f>YEAR(support_tickets[[#This Row],[opened_at]])*100+MONTH(support_tickets[[#This Row],[opened_at]])</f>
        <v>202406</v>
      </c>
      <c r="V426" s="29">
        <f>DATE(YEAR(support_tickets[[#This Row],[opened_at]]),MONTH(support_tickets[[#This Row],[opened_at]]),1)</f>
        <v>45444</v>
      </c>
    </row>
    <row r="427" spans="1:22">
      <c r="A427">
        <v>9689331536</v>
      </c>
      <c r="B427">
        <v>615185000</v>
      </c>
      <c r="C427" t="s">
        <v>1565</v>
      </c>
      <c r="D427" t="s">
        <v>1566</v>
      </c>
      <c r="E427">
        <v>50056581</v>
      </c>
      <c r="F427">
        <v>5520414347</v>
      </c>
      <c r="G427" s="1">
        <v>45342.622129629628</v>
      </c>
      <c r="H427" s="1">
        <v>45342.650601851848</v>
      </c>
      <c r="I427" t="s">
        <v>37</v>
      </c>
      <c r="J427" t="s">
        <v>25</v>
      </c>
      <c r="K427" t="s">
        <v>20</v>
      </c>
      <c r="L427" t="s">
        <v>21</v>
      </c>
      <c r="M427">
        <v>36</v>
      </c>
      <c r="N427">
        <v>41</v>
      </c>
      <c r="O427">
        <v>0</v>
      </c>
      <c r="P427" t="s">
        <v>27</v>
      </c>
      <c r="Q427">
        <v>1467</v>
      </c>
      <c r="R427" t="s">
        <v>39</v>
      </c>
      <c r="S427">
        <f>IF(support_tickets[[#This Row],[status_cleaned]]="closed",1,0)</f>
        <v>1</v>
      </c>
      <c r="T427" t="str">
        <f>TEXT(support_tickets[[#This Row],[opened_at]],"mmm yyyy")</f>
        <v>Feb 2024</v>
      </c>
      <c r="U427">
        <f>YEAR(support_tickets[[#This Row],[opened_at]])*100+MONTH(support_tickets[[#This Row],[opened_at]])</f>
        <v>202402</v>
      </c>
      <c r="V427" s="29">
        <f>DATE(YEAR(support_tickets[[#This Row],[opened_at]]),MONTH(support_tickets[[#This Row],[opened_at]]),1)</f>
        <v>45323</v>
      </c>
    </row>
    <row r="428" spans="1:22">
      <c r="A428">
        <v>9814241140</v>
      </c>
      <c r="B428">
        <v>749762955</v>
      </c>
      <c r="C428" t="s">
        <v>44</v>
      </c>
      <c r="D428" t="s">
        <v>45</v>
      </c>
      <c r="E428">
        <v>22575562</v>
      </c>
      <c r="G428" s="1">
        <v>45585.985231481478</v>
      </c>
      <c r="H428" s="1">
        <v>45586.111620370371</v>
      </c>
      <c r="I428" t="s">
        <v>18</v>
      </c>
      <c r="J428" t="s">
        <v>38</v>
      </c>
      <c r="K428" t="s">
        <v>20</v>
      </c>
      <c r="L428" t="s">
        <v>21</v>
      </c>
      <c r="M428">
        <v>57</v>
      </c>
      <c r="N428">
        <v>182</v>
      </c>
      <c r="O428">
        <v>0</v>
      </c>
      <c r="P428" t="s">
        <v>40</v>
      </c>
      <c r="Q428">
        <v>1482</v>
      </c>
      <c r="R428" t="s">
        <v>39</v>
      </c>
      <c r="S428">
        <f>IF(support_tickets[[#This Row],[status_cleaned]]="closed",1,0)</f>
        <v>1</v>
      </c>
      <c r="T428" t="str">
        <f>TEXT(support_tickets[[#This Row],[opened_at]],"mmm yyyy")</f>
        <v>Oct 2024</v>
      </c>
      <c r="U428">
        <f>YEAR(support_tickets[[#This Row],[opened_at]])*100+MONTH(support_tickets[[#This Row],[opened_at]])</f>
        <v>202410</v>
      </c>
      <c r="V428" s="29">
        <f>DATE(YEAR(support_tickets[[#This Row],[opened_at]]),MONTH(support_tickets[[#This Row],[opened_at]]),1)</f>
        <v>45566</v>
      </c>
    </row>
    <row r="429" spans="1:22">
      <c r="A429">
        <v>9983362849</v>
      </c>
      <c r="B429">
        <v>800400428</v>
      </c>
      <c r="C429" t="s">
        <v>1585</v>
      </c>
      <c r="D429" t="s">
        <v>1586</v>
      </c>
      <c r="E429">
        <v>14265799</v>
      </c>
      <c r="G429" s="1">
        <v>45378.396145833336</v>
      </c>
      <c r="H429" s="1">
        <v>45378.795451388891</v>
      </c>
      <c r="I429" t="s">
        <v>3</v>
      </c>
      <c r="J429" t="s">
        <v>30</v>
      </c>
      <c r="K429" t="s">
        <v>20</v>
      </c>
      <c r="L429" t="s">
        <v>21</v>
      </c>
      <c r="M429">
        <v>40</v>
      </c>
      <c r="N429">
        <v>575</v>
      </c>
      <c r="O429">
        <v>0</v>
      </c>
      <c r="P429" t="s">
        <v>31</v>
      </c>
      <c r="Q429">
        <v>1499</v>
      </c>
      <c r="R429" t="s">
        <v>39</v>
      </c>
      <c r="S429">
        <f>IF(support_tickets[[#This Row],[status_cleaned]]="closed",1,0)</f>
        <v>1</v>
      </c>
      <c r="T429" t="str">
        <f>TEXT(support_tickets[[#This Row],[opened_at]],"mmm yyyy")</f>
        <v>Mar 2024</v>
      </c>
      <c r="U429">
        <f>YEAR(support_tickets[[#This Row],[opened_at]])*100+MONTH(support_tickets[[#This Row],[opened_at]])</f>
        <v>202403</v>
      </c>
      <c r="V429" s="29">
        <f>DATE(YEAR(support_tickets[[#This Row],[opened_at]]),MONTH(support_tickets[[#This Row],[opened_at]]),1)</f>
        <v>45352</v>
      </c>
    </row>
    <row r="430" spans="1:22">
      <c r="A430">
        <v>1066128567</v>
      </c>
      <c r="B430">
        <v>667121569</v>
      </c>
      <c r="C430" t="s">
        <v>62</v>
      </c>
      <c r="D430" t="s">
        <v>63</v>
      </c>
      <c r="E430">
        <v>49349722</v>
      </c>
      <c r="G430" s="1">
        <v>45576.227581018517</v>
      </c>
      <c r="H430" s="1">
        <v>45576.591469907406</v>
      </c>
      <c r="I430" t="s">
        <v>18</v>
      </c>
      <c r="J430" t="s">
        <v>25</v>
      </c>
      <c r="K430" t="s">
        <v>26</v>
      </c>
      <c r="L430" t="s">
        <v>39</v>
      </c>
      <c r="M430">
        <v>28</v>
      </c>
      <c r="N430">
        <v>524</v>
      </c>
      <c r="O430">
        <v>0</v>
      </c>
      <c r="P430" t="s">
        <v>27</v>
      </c>
      <c r="Q430">
        <v>12</v>
      </c>
      <c r="R430" t="s">
        <v>39</v>
      </c>
      <c r="S430">
        <f>IF(support_tickets[[#This Row],[status_cleaned]]="closed",1,0)</f>
        <v>1</v>
      </c>
      <c r="T430" t="str">
        <f>TEXT(support_tickets[[#This Row],[opened_at]],"mmm yyyy")</f>
        <v>Oct 2024</v>
      </c>
      <c r="U430">
        <f>YEAR(support_tickets[[#This Row],[opened_at]])*100+MONTH(support_tickets[[#This Row],[opened_at]])</f>
        <v>202410</v>
      </c>
      <c r="V430" s="29">
        <f>DATE(YEAR(support_tickets[[#This Row],[opened_at]]),MONTH(support_tickets[[#This Row],[opened_at]]),1)</f>
        <v>45566</v>
      </c>
    </row>
    <row r="431" spans="1:22">
      <c r="A431">
        <v>1101067602</v>
      </c>
      <c r="B431">
        <v>809656613</v>
      </c>
      <c r="C431" t="s">
        <v>76</v>
      </c>
      <c r="D431" t="s">
        <v>77</v>
      </c>
      <c r="E431">
        <v>78137358</v>
      </c>
      <c r="G431" s="1">
        <v>45404.896423611113</v>
      </c>
      <c r="H431" s="1">
        <v>45405.395729166667</v>
      </c>
      <c r="I431" t="s">
        <v>52</v>
      </c>
      <c r="J431" t="s">
        <v>59</v>
      </c>
      <c r="K431" t="s">
        <v>26</v>
      </c>
      <c r="L431" t="s">
        <v>39</v>
      </c>
      <c r="M431">
        <v>19</v>
      </c>
      <c r="N431">
        <v>719</v>
      </c>
      <c r="O431">
        <v>0</v>
      </c>
      <c r="P431" t="s">
        <v>61</v>
      </c>
      <c r="Q431">
        <v>18</v>
      </c>
      <c r="R431" t="s">
        <v>39</v>
      </c>
      <c r="S431">
        <f>IF(support_tickets[[#This Row],[status_cleaned]]="closed",1,0)</f>
        <v>1</v>
      </c>
      <c r="T431" t="str">
        <f>TEXT(support_tickets[[#This Row],[opened_at]],"mmm yyyy")</f>
        <v>Apr 2024</v>
      </c>
      <c r="U431">
        <f>YEAR(support_tickets[[#This Row],[opened_at]])*100+MONTH(support_tickets[[#This Row],[opened_at]])</f>
        <v>202404</v>
      </c>
      <c r="V431" s="29">
        <f>DATE(YEAR(support_tickets[[#This Row],[opened_at]]),MONTH(support_tickets[[#This Row],[opened_at]]),1)</f>
        <v>45383</v>
      </c>
    </row>
    <row r="432" spans="1:22">
      <c r="A432">
        <v>1108032224</v>
      </c>
      <c r="B432">
        <v>523625992</v>
      </c>
      <c r="C432" t="s">
        <v>78</v>
      </c>
      <c r="D432" t="s">
        <v>79</v>
      </c>
      <c r="E432">
        <v>38898923</v>
      </c>
      <c r="G432" s="1">
        <v>45556.351400462961</v>
      </c>
      <c r="H432" s="1">
        <v>45556.657650462963</v>
      </c>
      <c r="I432" t="s">
        <v>56</v>
      </c>
      <c r="J432" t="s">
        <v>25</v>
      </c>
      <c r="K432" t="s">
        <v>26</v>
      </c>
      <c r="L432" t="s">
        <v>39</v>
      </c>
      <c r="M432">
        <v>45</v>
      </c>
      <c r="N432">
        <v>441</v>
      </c>
      <c r="O432">
        <v>0</v>
      </c>
      <c r="P432" t="s">
        <v>27</v>
      </c>
      <c r="Q432">
        <v>19</v>
      </c>
      <c r="R432" t="s">
        <v>39</v>
      </c>
      <c r="S432">
        <f>IF(support_tickets[[#This Row],[status_cleaned]]="closed",1,0)</f>
        <v>1</v>
      </c>
      <c r="T432" t="str">
        <f>TEXT(support_tickets[[#This Row],[opened_at]],"mmm yyyy")</f>
        <v>Sep 2024</v>
      </c>
      <c r="U432">
        <f>YEAR(support_tickets[[#This Row],[opened_at]])*100+MONTH(support_tickets[[#This Row],[opened_at]])</f>
        <v>202409</v>
      </c>
      <c r="V432" s="29">
        <f>DATE(YEAR(support_tickets[[#This Row],[opened_at]]),MONTH(support_tickets[[#This Row],[opened_at]]),1)</f>
        <v>45536</v>
      </c>
    </row>
    <row r="433" spans="1:22">
      <c r="A433">
        <v>1619440350</v>
      </c>
      <c r="B433">
        <v>902874167</v>
      </c>
      <c r="C433" t="s">
        <v>246</v>
      </c>
      <c r="D433" t="s">
        <v>247</v>
      </c>
      <c r="E433">
        <v>39587039</v>
      </c>
      <c r="G433" s="1">
        <v>46099.184733796297</v>
      </c>
      <c r="H433" s="1">
        <v>46099.561122685183</v>
      </c>
      <c r="I433" t="s">
        <v>43</v>
      </c>
      <c r="J433" t="s">
        <v>30</v>
      </c>
      <c r="K433" t="s">
        <v>26</v>
      </c>
      <c r="L433" t="s">
        <v>39</v>
      </c>
      <c r="M433">
        <v>70</v>
      </c>
      <c r="N433">
        <v>542</v>
      </c>
      <c r="O433">
        <v>0</v>
      </c>
      <c r="P433" t="s">
        <v>31</v>
      </c>
      <c r="Q433">
        <v>110</v>
      </c>
      <c r="R433" t="s">
        <v>39</v>
      </c>
      <c r="S433">
        <f>IF(support_tickets[[#This Row],[status_cleaned]]="closed",1,0)</f>
        <v>1</v>
      </c>
      <c r="T433" t="str">
        <f>TEXT(support_tickets[[#This Row],[opened_at]],"mmm yyyy")</f>
        <v>Mar 2026</v>
      </c>
      <c r="U433">
        <f>YEAR(support_tickets[[#This Row],[opened_at]])*100+MONTH(support_tickets[[#This Row],[opened_at]])</f>
        <v>202603</v>
      </c>
      <c r="V433" s="29">
        <f>DATE(YEAR(support_tickets[[#This Row],[opened_at]]),MONTH(support_tickets[[#This Row],[opened_at]]),1)</f>
        <v>46082</v>
      </c>
    </row>
    <row r="434" spans="1:22">
      <c r="A434">
        <v>1874344554</v>
      </c>
      <c r="B434">
        <v>124885365</v>
      </c>
      <c r="C434" t="s">
        <v>348</v>
      </c>
      <c r="D434" t="s">
        <v>349</v>
      </c>
      <c r="E434">
        <v>42868828</v>
      </c>
      <c r="G434" s="1">
        <v>45295.48537037037</v>
      </c>
      <c r="H434" s="1">
        <v>45295.880509259259</v>
      </c>
      <c r="I434" t="s">
        <v>52</v>
      </c>
      <c r="J434" t="s">
        <v>25</v>
      </c>
      <c r="K434" t="s">
        <v>26</v>
      </c>
      <c r="L434" t="s">
        <v>39</v>
      </c>
      <c r="M434">
        <v>52</v>
      </c>
      <c r="N434">
        <v>569</v>
      </c>
      <c r="O434">
        <v>0</v>
      </c>
      <c r="P434" t="s">
        <v>27</v>
      </c>
      <c r="Q434">
        <v>171</v>
      </c>
      <c r="R434" t="s">
        <v>39</v>
      </c>
      <c r="S434">
        <f>IF(support_tickets[[#This Row],[status_cleaned]]="closed",1,0)</f>
        <v>1</v>
      </c>
      <c r="T434" t="str">
        <f>TEXT(support_tickets[[#This Row],[opened_at]],"mmm yyyy")</f>
        <v>Jan 2024</v>
      </c>
      <c r="U434">
        <f>YEAR(support_tickets[[#This Row],[opened_at]])*100+MONTH(support_tickets[[#This Row],[opened_at]])</f>
        <v>202401</v>
      </c>
      <c r="V434" s="29">
        <f>DATE(YEAR(support_tickets[[#This Row],[opened_at]]),MONTH(support_tickets[[#This Row],[opened_at]]),1)</f>
        <v>45292</v>
      </c>
    </row>
    <row r="435" spans="1:22">
      <c r="A435">
        <v>1936995928</v>
      </c>
      <c r="B435">
        <v>460015275</v>
      </c>
      <c r="C435" t="s">
        <v>374</v>
      </c>
      <c r="D435" t="s">
        <v>375</v>
      </c>
      <c r="E435">
        <v>33978249</v>
      </c>
      <c r="F435">
        <v>1185010792</v>
      </c>
      <c r="G435" s="1">
        <v>45981.080416666664</v>
      </c>
      <c r="H435" s="1">
        <v>45981.506805555553</v>
      </c>
      <c r="I435" t="s">
        <v>37</v>
      </c>
      <c r="J435" t="s">
        <v>30</v>
      </c>
      <c r="K435" t="s">
        <v>26</v>
      </c>
      <c r="L435" t="s">
        <v>39</v>
      </c>
      <c r="M435">
        <v>22</v>
      </c>
      <c r="N435">
        <v>614</v>
      </c>
      <c r="O435">
        <v>0</v>
      </c>
      <c r="P435" t="s">
        <v>31</v>
      </c>
      <c r="Q435">
        <v>187</v>
      </c>
      <c r="R435" t="s">
        <v>39</v>
      </c>
      <c r="S435">
        <f>IF(support_tickets[[#This Row],[status_cleaned]]="closed",1,0)</f>
        <v>1</v>
      </c>
      <c r="T435" t="str">
        <f>TEXT(support_tickets[[#This Row],[opened_at]],"mmm yyyy")</f>
        <v>Nov 2025</v>
      </c>
      <c r="U435">
        <f>YEAR(support_tickets[[#This Row],[opened_at]])*100+MONTH(support_tickets[[#This Row],[opened_at]])</f>
        <v>202511</v>
      </c>
      <c r="V435" s="29">
        <f>DATE(YEAR(support_tickets[[#This Row],[opened_at]]),MONTH(support_tickets[[#This Row],[opened_at]]),1)</f>
        <v>45962</v>
      </c>
    </row>
    <row r="436" spans="1:22">
      <c r="A436">
        <v>2127061808</v>
      </c>
      <c r="B436">
        <v>810741110</v>
      </c>
      <c r="C436" t="s">
        <v>416</v>
      </c>
      <c r="D436" t="s">
        <v>417</v>
      </c>
      <c r="E436">
        <v>17774584</v>
      </c>
      <c r="F436">
        <v>6169317325</v>
      </c>
      <c r="G436" s="1">
        <v>45944.779027777775</v>
      </c>
      <c r="H436" s="1">
        <v>45945.341527777775</v>
      </c>
      <c r="I436" t="s">
        <v>56</v>
      </c>
      <c r="J436" t="s">
        <v>19</v>
      </c>
      <c r="K436" t="s">
        <v>26</v>
      </c>
      <c r="L436" t="s">
        <v>39</v>
      </c>
      <c r="M436">
        <v>47</v>
      </c>
      <c r="N436">
        <v>810</v>
      </c>
      <c r="O436">
        <v>0</v>
      </c>
      <c r="P436" t="s">
        <v>22</v>
      </c>
      <c r="Q436">
        <v>210</v>
      </c>
      <c r="R436" t="s">
        <v>39</v>
      </c>
      <c r="S436">
        <f>IF(support_tickets[[#This Row],[status_cleaned]]="closed",1,0)</f>
        <v>1</v>
      </c>
      <c r="T436" t="str">
        <f>TEXT(support_tickets[[#This Row],[opened_at]],"mmm yyyy")</f>
        <v>Oct 2025</v>
      </c>
      <c r="U436">
        <f>YEAR(support_tickets[[#This Row],[opened_at]])*100+MONTH(support_tickets[[#This Row],[opened_at]])</f>
        <v>202510</v>
      </c>
      <c r="V436" s="29">
        <f>DATE(YEAR(support_tickets[[#This Row],[opened_at]]),MONTH(support_tickets[[#This Row],[opened_at]]),1)</f>
        <v>45931</v>
      </c>
    </row>
    <row r="437" spans="1:22">
      <c r="A437">
        <v>2143407986</v>
      </c>
      <c r="B437">
        <v>287974375</v>
      </c>
      <c r="C437" t="s">
        <v>422</v>
      </c>
      <c r="D437" t="s">
        <v>423</v>
      </c>
      <c r="E437">
        <v>81016525</v>
      </c>
      <c r="F437">
        <v>3803069611</v>
      </c>
      <c r="G437" s="1">
        <v>45297.454282407409</v>
      </c>
      <c r="H437" s="1">
        <v>45297.646643518521</v>
      </c>
      <c r="I437" t="s">
        <v>37</v>
      </c>
      <c r="J437" t="s">
        <v>19</v>
      </c>
      <c r="K437" t="s">
        <v>26</v>
      </c>
      <c r="L437" t="s">
        <v>39</v>
      </c>
      <c r="M437">
        <v>1</v>
      </c>
      <c r="N437">
        <v>277</v>
      </c>
      <c r="O437">
        <v>0</v>
      </c>
      <c r="P437" t="s">
        <v>22</v>
      </c>
      <c r="Q437">
        <v>213</v>
      </c>
      <c r="R437" t="s">
        <v>39</v>
      </c>
      <c r="S437">
        <f>IF(support_tickets[[#This Row],[status_cleaned]]="closed",1,0)</f>
        <v>1</v>
      </c>
      <c r="T437" t="str">
        <f>TEXT(support_tickets[[#This Row],[opened_at]],"mmm yyyy")</f>
        <v>Jan 2024</v>
      </c>
      <c r="U437">
        <f>YEAR(support_tickets[[#This Row],[opened_at]])*100+MONTH(support_tickets[[#This Row],[opened_at]])</f>
        <v>202401</v>
      </c>
      <c r="V437" s="29">
        <f>DATE(YEAR(support_tickets[[#This Row],[opened_at]]),MONTH(support_tickets[[#This Row],[opened_at]]),1)</f>
        <v>45292</v>
      </c>
    </row>
    <row r="438" spans="1:22">
      <c r="A438">
        <v>2436758919</v>
      </c>
      <c r="B438">
        <v>613818935</v>
      </c>
      <c r="C438" t="s">
        <v>494</v>
      </c>
      <c r="D438" t="s">
        <v>495</v>
      </c>
      <c r="E438">
        <v>66792612</v>
      </c>
      <c r="F438">
        <v>2191405559</v>
      </c>
      <c r="G438" s="1">
        <v>45658.22928240741</v>
      </c>
      <c r="H438" s="1">
        <v>45658.561921296299</v>
      </c>
      <c r="I438" t="s">
        <v>56</v>
      </c>
      <c r="J438" t="s">
        <v>86</v>
      </c>
      <c r="K438" t="s">
        <v>26</v>
      </c>
      <c r="L438" t="s">
        <v>39</v>
      </c>
      <c r="M438">
        <v>35</v>
      </c>
      <c r="N438">
        <v>479</v>
      </c>
      <c r="O438">
        <v>0</v>
      </c>
      <c r="P438" t="s">
        <v>87</v>
      </c>
      <c r="Q438">
        <v>263</v>
      </c>
      <c r="R438" t="s">
        <v>39</v>
      </c>
      <c r="S438">
        <f>IF(support_tickets[[#This Row],[status_cleaned]]="closed",1,0)</f>
        <v>1</v>
      </c>
      <c r="T438" t="str">
        <f>TEXT(support_tickets[[#This Row],[opened_at]],"mmm yyyy")</f>
        <v>Jan 2025</v>
      </c>
      <c r="U438">
        <f>YEAR(support_tickets[[#This Row],[opened_at]])*100+MONTH(support_tickets[[#This Row],[opened_at]])</f>
        <v>202501</v>
      </c>
      <c r="V438" s="29">
        <f>DATE(YEAR(support_tickets[[#This Row],[opened_at]]),MONTH(support_tickets[[#This Row],[opened_at]]),1)</f>
        <v>45658</v>
      </c>
    </row>
    <row r="439" spans="1:22">
      <c r="A439">
        <v>2487241262</v>
      </c>
      <c r="B439">
        <v>121833792</v>
      </c>
      <c r="C439" t="s">
        <v>500</v>
      </c>
      <c r="D439" t="s">
        <v>501</v>
      </c>
      <c r="E439">
        <v>53507489</v>
      </c>
      <c r="G439" s="1">
        <v>45804.444548611114</v>
      </c>
      <c r="H439" s="1">
        <v>45804.830659722225</v>
      </c>
      <c r="I439" t="s">
        <v>56</v>
      </c>
      <c r="J439" t="s">
        <v>25</v>
      </c>
      <c r="K439" t="s">
        <v>26</v>
      </c>
      <c r="L439" t="s">
        <v>39</v>
      </c>
      <c r="M439">
        <v>56</v>
      </c>
      <c r="N439">
        <v>556</v>
      </c>
      <c r="O439">
        <v>0</v>
      </c>
      <c r="P439" t="s">
        <v>27</v>
      </c>
      <c r="Q439">
        <v>270</v>
      </c>
      <c r="R439" t="s">
        <v>39</v>
      </c>
      <c r="S439">
        <f>IF(support_tickets[[#This Row],[status_cleaned]]="closed",1,0)</f>
        <v>1</v>
      </c>
      <c r="T439" t="str">
        <f>TEXT(support_tickets[[#This Row],[opened_at]],"mmm yyyy")</f>
        <v>May 2025</v>
      </c>
      <c r="U439">
        <f>YEAR(support_tickets[[#This Row],[opened_at]])*100+MONTH(support_tickets[[#This Row],[opened_at]])</f>
        <v>202505</v>
      </c>
      <c r="V439" s="29">
        <f>DATE(YEAR(support_tickets[[#This Row],[opened_at]]),MONTH(support_tickets[[#This Row],[opened_at]]),1)</f>
        <v>45778</v>
      </c>
    </row>
    <row r="440" spans="1:22">
      <c r="A440">
        <v>2668144658</v>
      </c>
      <c r="B440">
        <v>245737277</v>
      </c>
      <c r="C440" t="s">
        <v>534</v>
      </c>
      <c r="D440" t="s">
        <v>535</v>
      </c>
      <c r="E440">
        <v>58181396</v>
      </c>
      <c r="F440">
        <v>1241941984</v>
      </c>
      <c r="G440" s="1">
        <v>45326.589907407404</v>
      </c>
      <c r="H440" s="1">
        <v>45327.075324074074</v>
      </c>
      <c r="I440" t="s">
        <v>43</v>
      </c>
      <c r="J440" t="s">
        <v>59</v>
      </c>
      <c r="K440" t="s">
        <v>26</v>
      </c>
      <c r="L440" t="s">
        <v>39</v>
      </c>
      <c r="M440">
        <v>52</v>
      </c>
      <c r="N440">
        <v>699</v>
      </c>
      <c r="O440">
        <v>0</v>
      </c>
      <c r="P440" t="s">
        <v>61</v>
      </c>
      <c r="Q440">
        <v>298</v>
      </c>
      <c r="R440" t="s">
        <v>39</v>
      </c>
      <c r="S440">
        <f>IF(support_tickets[[#This Row],[status_cleaned]]="closed",1,0)</f>
        <v>1</v>
      </c>
      <c r="T440" t="str">
        <f>TEXT(support_tickets[[#This Row],[opened_at]],"mmm yyyy")</f>
        <v>Feb 2024</v>
      </c>
      <c r="U440">
        <f>YEAR(support_tickets[[#This Row],[opened_at]])*100+MONTH(support_tickets[[#This Row],[opened_at]])</f>
        <v>202402</v>
      </c>
      <c r="V440" s="29">
        <f>DATE(YEAR(support_tickets[[#This Row],[opened_at]]),MONTH(support_tickets[[#This Row],[opened_at]]),1)</f>
        <v>45323</v>
      </c>
    </row>
    <row r="441" spans="1:22">
      <c r="A441">
        <v>2693876917</v>
      </c>
      <c r="B441">
        <v>371993587</v>
      </c>
      <c r="C441" t="s">
        <v>544</v>
      </c>
      <c r="D441" t="s">
        <v>545</v>
      </c>
      <c r="E441">
        <v>66792612</v>
      </c>
      <c r="F441">
        <v>4191739394</v>
      </c>
      <c r="G441" s="1">
        <v>45330.753993055558</v>
      </c>
      <c r="H441" s="1">
        <v>45330.95815972222</v>
      </c>
      <c r="I441" t="s">
        <v>56</v>
      </c>
      <c r="J441" t="s">
        <v>59</v>
      </c>
      <c r="K441" t="s">
        <v>26</v>
      </c>
      <c r="L441" t="s">
        <v>39</v>
      </c>
      <c r="M441">
        <v>5</v>
      </c>
      <c r="N441">
        <v>294</v>
      </c>
      <c r="O441">
        <v>0</v>
      </c>
      <c r="P441" t="s">
        <v>61</v>
      </c>
      <c r="Q441">
        <v>301</v>
      </c>
      <c r="R441" t="s">
        <v>39</v>
      </c>
      <c r="S441">
        <f>IF(support_tickets[[#This Row],[status_cleaned]]="closed",1,0)</f>
        <v>1</v>
      </c>
      <c r="T441" t="str">
        <f>TEXT(support_tickets[[#This Row],[opened_at]],"mmm yyyy")</f>
        <v>Feb 2024</v>
      </c>
      <c r="U441">
        <f>YEAR(support_tickets[[#This Row],[opened_at]])*100+MONTH(support_tickets[[#This Row],[opened_at]])</f>
        <v>202402</v>
      </c>
      <c r="V441" s="29">
        <f>DATE(YEAR(support_tickets[[#This Row],[opened_at]]),MONTH(support_tickets[[#This Row],[opened_at]]),1)</f>
        <v>45323</v>
      </c>
    </row>
    <row r="442" spans="1:22">
      <c r="A442">
        <v>2759869561</v>
      </c>
      <c r="B442">
        <v>973498494</v>
      </c>
      <c r="C442" t="s">
        <v>478</v>
      </c>
      <c r="D442" t="s">
        <v>479</v>
      </c>
      <c r="E442">
        <v>55176955</v>
      </c>
      <c r="G442" s="1">
        <v>45304.30678240741</v>
      </c>
      <c r="H442" s="1">
        <v>45304.706087962964</v>
      </c>
      <c r="I442" t="s">
        <v>56</v>
      </c>
      <c r="J442" t="s">
        <v>38</v>
      </c>
      <c r="K442" t="s">
        <v>26</v>
      </c>
      <c r="L442" t="s">
        <v>39</v>
      </c>
      <c r="M442">
        <v>55</v>
      </c>
      <c r="N442">
        <v>575</v>
      </c>
      <c r="O442">
        <v>0</v>
      </c>
      <c r="P442" t="s">
        <v>40</v>
      </c>
      <c r="Q442">
        <v>316</v>
      </c>
      <c r="R442" t="s">
        <v>39</v>
      </c>
      <c r="S442">
        <f>IF(support_tickets[[#This Row],[status_cleaned]]="closed",1,0)</f>
        <v>1</v>
      </c>
      <c r="T442" t="str">
        <f>TEXT(support_tickets[[#This Row],[opened_at]],"mmm yyyy")</f>
        <v>Jan 2024</v>
      </c>
      <c r="U442">
        <f>YEAR(support_tickets[[#This Row],[opened_at]])*100+MONTH(support_tickets[[#This Row],[opened_at]])</f>
        <v>202401</v>
      </c>
      <c r="V442" s="29">
        <f>DATE(YEAR(support_tickets[[#This Row],[opened_at]]),MONTH(support_tickets[[#This Row],[opened_at]]),1)</f>
        <v>45292</v>
      </c>
    </row>
    <row r="443" spans="1:22">
      <c r="A443">
        <v>3118519630</v>
      </c>
      <c r="B443">
        <v>664226794</v>
      </c>
      <c r="C443" t="s">
        <v>660</v>
      </c>
      <c r="D443" t="s">
        <v>661</v>
      </c>
      <c r="E443">
        <v>91734598</v>
      </c>
      <c r="G443" s="1">
        <v>45582.153854166667</v>
      </c>
      <c r="H443" s="1">
        <v>45582.443437499998</v>
      </c>
      <c r="I443" t="s">
        <v>46</v>
      </c>
      <c r="J443" t="s">
        <v>19</v>
      </c>
      <c r="K443" t="s">
        <v>26</v>
      </c>
      <c r="L443" t="s">
        <v>39</v>
      </c>
      <c r="M443">
        <v>25</v>
      </c>
      <c r="N443">
        <v>417</v>
      </c>
      <c r="O443">
        <v>0</v>
      </c>
      <c r="P443" t="s">
        <v>22</v>
      </c>
      <c r="Q443">
        <v>383</v>
      </c>
      <c r="R443" t="s">
        <v>39</v>
      </c>
      <c r="S443">
        <f>IF(support_tickets[[#This Row],[status_cleaned]]="closed",1,0)</f>
        <v>1</v>
      </c>
      <c r="T443" t="str">
        <f>TEXT(support_tickets[[#This Row],[opened_at]],"mmm yyyy")</f>
        <v>Oct 2024</v>
      </c>
      <c r="U443">
        <f>YEAR(support_tickets[[#This Row],[opened_at]])*100+MONTH(support_tickets[[#This Row],[opened_at]])</f>
        <v>202410</v>
      </c>
      <c r="V443" s="29">
        <f>DATE(YEAR(support_tickets[[#This Row],[opened_at]]),MONTH(support_tickets[[#This Row],[opened_at]]),1)</f>
        <v>45566</v>
      </c>
    </row>
    <row r="444" spans="1:22">
      <c r="A444">
        <v>3132726250</v>
      </c>
      <c r="B444">
        <v>598885034</v>
      </c>
      <c r="C444" t="s">
        <v>670</v>
      </c>
      <c r="D444" t="s">
        <v>671</v>
      </c>
      <c r="E444">
        <v>13561597</v>
      </c>
      <c r="G444" s="1">
        <v>45543.562349537038</v>
      </c>
      <c r="H444" s="1">
        <v>45543.905405092592</v>
      </c>
      <c r="I444" t="s">
        <v>46</v>
      </c>
      <c r="J444" t="s">
        <v>86</v>
      </c>
      <c r="K444" t="s">
        <v>26</v>
      </c>
      <c r="L444" t="s">
        <v>39</v>
      </c>
      <c r="M444">
        <v>3</v>
      </c>
      <c r="N444">
        <v>494</v>
      </c>
      <c r="O444">
        <v>0</v>
      </c>
      <c r="P444" t="s">
        <v>87</v>
      </c>
      <c r="Q444">
        <v>389</v>
      </c>
      <c r="R444" t="s">
        <v>39</v>
      </c>
      <c r="S444">
        <f>IF(support_tickets[[#This Row],[status_cleaned]]="closed",1,0)</f>
        <v>1</v>
      </c>
      <c r="T444" t="str">
        <f>TEXT(support_tickets[[#This Row],[opened_at]],"mmm yyyy")</f>
        <v>Sep 2024</v>
      </c>
      <c r="U444">
        <f>YEAR(support_tickets[[#This Row],[opened_at]])*100+MONTH(support_tickets[[#This Row],[opened_at]])</f>
        <v>202409</v>
      </c>
      <c r="V444" s="29">
        <f>DATE(YEAR(support_tickets[[#This Row],[opened_at]]),MONTH(support_tickets[[#This Row],[opened_at]]),1)</f>
        <v>45536</v>
      </c>
    </row>
    <row r="445" spans="1:22">
      <c r="A445">
        <v>3278071297</v>
      </c>
      <c r="B445">
        <v>655511084</v>
      </c>
      <c r="C445" t="s">
        <v>186</v>
      </c>
      <c r="D445" t="s">
        <v>187</v>
      </c>
      <c r="E445">
        <v>39436733</v>
      </c>
      <c r="F445">
        <v>5096047004</v>
      </c>
      <c r="G445" s="1">
        <v>45888.403993055559</v>
      </c>
      <c r="H445" s="1">
        <v>45888.71371527778</v>
      </c>
      <c r="I445" t="s">
        <v>18</v>
      </c>
      <c r="J445" t="s">
        <v>38</v>
      </c>
      <c r="K445" t="s">
        <v>26</v>
      </c>
      <c r="L445" t="s">
        <v>39</v>
      </c>
      <c r="M445">
        <v>79</v>
      </c>
      <c r="N445">
        <v>446</v>
      </c>
      <c r="O445">
        <v>0</v>
      </c>
      <c r="P445" t="s">
        <v>40</v>
      </c>
      <c r="Q445">
        <v>405</v>
      </c>
      <c r="R445" t="s">
        <v>39</v>
      </c>
      <c r="S445">
        <f>IF(support_tickets[[#This Row],[status_cleaned]]="closed",1,0)</f>
        <v>1</v>
      </c>
      <c r="T445" t="str">
        <f>TEXT(support_tickets[[#This Row],[opened_at]],"mmm yyyy")</f>
        <v>Aug 2025</v>
      </c>
      <c r="U445">
        <f>YEAR(support_tickets[[#This Row],[opened_at]])*100+MONTH(support_tickets[[#This Row],[opened_at]])</f>
        <v>202508</v>
      </c>
      <c r="V445" s="29">
        <f>DATE(YEAR(support_tickets[[#This Row],[opened_at]]),MONTH(support_tickets[[#This Row],[opened_at]]),1)</f>
        <v>45870</v>
      </c>
    </row>
    <row r="446" spans="1:22">
      <c r="A446">
        <v>3281471258</v>
      </c>
      <c r="B446">
        <v>271784435</v>
      </c>
      <c r="C446" t="s">
        <v>686</v>
      </c>
      <c r="D446" t="s">
        <v>687</v>
      </c>
      <c r="E446">
        <v>51837852</v>
      </c>
      <c r="F446">
        <v>8206651996</v>
      </c>
      <c r="G446" s="1">
        <v>45820.674837962964</v>
      </c>
      <c r="H446" s="1">
        <v>45821.124143518522</v>
      </c>
      <c r="I446" t="s">
        <v>52</v>
      </c>
      <c r="J446" t="s">
        <v>59</v>
      </c>
      <c r="K446" t="s">
        <v>26</v>
      </c>
      <c r="L446" t="s">
        <v>39</v>
      </c>
      <c r="M446">
        <v>43</v>
      </c>
      <c r="N446">
        <v>647</v>
      </c>
      <c r="O446">
        <v>0</v>
      </c>
      <c r="P446" t="s">
        <v>61</v>
      </c>
      <c r="Q446">
        <v>406</v>
      </c>
      <c r="R446" t="s">
        <v>39</v>
      </c>
      <c r="S446">
        <f>IF(support_tickets[[#This Row],[status_cleaned]]="closed",1,0)</f>
        <v>1</v>
      </c>
      <c r="T446" t="str">
        <f>TEXT(support_tickets[[#This Row],[opened_at]],"mmm yyyy")</f>
        <v>Jun 2025</v>
      </c>
      <c r="U446">
        <f>YEAR(support_tickets[[#This Row],[opened_at]])*100+MONTH(support_tickets[[#This Row],[opened_at]])</f>
        <v>202506</v>
      </c>
      <c r="V446" s="29">
        <f>DATE(YEAR(support_tickets[[#This Row],[opened_at]]),MONTH(support_tickets[[#This Row],[opened_at]]),1)</f>
        <v>45809</v>
      </c>
    </row>
    <row r="447" spans="1:22">
      <c r="A447">
        <v>3362019922</v>
      </c>
      <c r="B447">
        <v>415429295</v>
      </c>
      <c r="C447" t="s">
        <v>722</v>
      </c>
      <c r="D447" t="s">
        <v>723</v>
      </c>
      <c r="E447">
        <v>29175900</v>
      </c>
      <c r="F447">
        <v>6780272082</v>
      </c>
      <c r="G447" s="1">
        <v>45612.641076388885</v>
      </c>
      <c r="H447" s="1">
        <v>45612.834131944444</v>
      </c>
      <c r="I447" t="s">
        <v>46</v>
      </c>
      <c r="J447" t="s">
        <v>86</v>
      </c>
      <c r="K447" t="s">
        <v>26</v>
      </c>
      <c r="L447" t="s">
        <v>39</v>
      </c>
      <c r="M447">
        <v>6</v>
      </c>
      <c r="N447">
        <v>278</v>
      </c>
      <c r="O447">
        <v>0</v>
      </c>
      <c r="P447" t="s">
        <v>87</v>
      </c>
      <c r="Q447">
        <v>429</v>
      </c>
      <c r="R447" t="s">
        <v>39</v>
      </c>
      <c r="S447">
        <f>IF(support_tickets[[#This Row],[status_cleaned]]="closed",1,0)</f>
        <v>1</v>
      </c>
      <c r="T447" t="str">
        <f>TEXT(support_tickets[[#This Row],[opened_at]],"mmm yyyy")</f>
        <v>Nov 2024</v>
      </c>
      <c r="U447">
        <f>YEAR(support_tickets[[#This Row],[opened_at]])*100+MONTH(support_tickets[[#This Row],[opened_at]])</f>
        <v>202411</v>
      </c>
      <c r="V447" s="29">
        <f>DATE(YEAR(support_tickets[[#This Row],[opened_at]]),MONTH(support_tickets[[#This Row],[opened_at]]),1)</f>
        <v>45597</v>
      </c>
    </row>
    <row r="448" spans="1:22">
      <c r="A448">
        <v>3542132058</v>
      </c>
      <c r="B448">
        <v>117439966</v>
      </c>
      <c r="C448" t="s">
        <v>762</v>
      </c>
      <c r="D448" t="s">
        <v>763</v>
      </c>
      <c r="E448">
        <v>78387461</v>
      </c>
      <c r="G448" s="1">
        <v>45891.493032407408</v>
      </c>
      <c r="H448" s="1">
        <v>45891.547893518517</v>
      </c>
      <c r="I448" t="s">
        <v>37</v>
      </c>
      <c r="J448" t="s">
        <v>59</v>
      </c>
      <c r="K448" t="s">
        <v>26</v>
      </c>
      <c r="L448" t="s">
        <v>39</v>
      </c>
      <c r="M448">
        <v>43</v>
      </c>
      <c r="N448">
        <v>79</v>
      </c>
      <c r="O448">
        <v>0</v>
      </c>
      <c r="P448" t="s">
        <v>61</v>
      </c>
      <c r="Q448">
        <v>456</v>
      </c>
      <c r="R448" t="s">
        <v>39</v>
      </c>
      <c r="S448">
        <f>IF(support_tickets[[#This Row],[status_cleaned]]="closed",1,0)</f>
        <v>1</v>
      </c>
      <c r="T448" t="str">
        <f>TEXT(support_tickets[[#This Row],[opened_at]],"mmm yyyy")</f>
        <v>Aug 2025</v>
      </c>
      <c r="U448">
        <f>YEAR(support_tickets[[#This Row],[opened_at]])*100+MONTH(support_tickets[[#This Row],[opened_at]])</f>
        <v>202508</v>
      </c>
      <c r="V448" s="29">
        <f>DATE(YEAR(support_tickets[[#This Row],[opened_at]]),MONTH(support_tickets[[#This Row],[opened_at]]),1)</f>
        <v>45870</v>
      </c>
    </row>
    <row r="449" spans="1:22">
      <c r="A449">
        <v>3644452962</v>
      </c>
      <c r="B449">
        <v>238548086</v>
      </c>
      <c r="C449" t="s">
        <v>41</v>
      </c>
      <c r="D449" t="s">
        <v>42</v>
      </c>
      <c r="E449">
        <v>36697396</v>
      </c>
      <c r="G449" s="1">
        <v>46006.808437500003</v>
      </c>
      <c r="H449" s="1">
        <v>46007.103576388887</v>
      </c>
      <c r="I449" t="s">
        <v>56</v>
      </c>
      <c r="J449" t="s">
        <v>19</v>
      </c>
      <c r="K449" t="s">
        <v>26</v>
      </c>
      <c r="L449" t="s">
        <v>39</v>
      </c>
      <c r="M449">
        <v>72</v>
      </c>
      <c r="N449">
        <v>425</v>
      </c>
      <c r="O449">
        <v>0</v>
      </c>
      <c r="P449" t="s">
        <v>22</v>
      </c>
      <c r="Q449">
        <v>473</v>
      </c>
      <c r="R449" t="s">
        <v>39</v>
      </c>
      <c r="S449">
        <f>IF(support_tickets[[#This Row],[status_cleaned]]="closed",1,0)</f>
        <v>1</v>
      </c>
      <c r="T449" t="str">
        <f>TEXT(support_tickets[[#This Row],[opened_at]],"mmm yyyy")</f>
        <v>Dec 2025</v>
      </c>
      <c r="U449">
        <f>YEAR(support_tickets[[#This Row],[opened_at]])*100+MONTH(support_tickets[[#This Row],[opened_at]])</f>
        <v>202512</v>
      </c>
      <c r="V449" s="29">
        <f>DATE(YEAR(support_tickets[[#This Row],[opened_at]]),MONTH(support_tickets[[#This Row],[opened_at]]),1)</f>
        <v>45992</v>
      </c>
    </row>
    <row r="450" spans="1:22">
      <c r="A450">
        <v>3830532859</v>
      </c>
      <c r="B450">
        <v>593559955</v>
      </c>
      <c r="C450" t="s">
        <v>805</v>
      </c>
      <c r="D450" t="s">
        <v>806</v>
      </c>
      <c r="E450">
        <v>58537831</v>
      </c>
      <c r="G450" s="1">
        <v>46101.452164351853</v>
      </c>
      <c r="H450" s="1">
        <v>46101.750775462962</v>
      </c>
      <c r="I450" t="s">
        <v>37</v>
      </c>
      <c r="J450" t="s">
        <v>19</v>
      </c>
      <c r="K450" t="s">
        <v>26</v>
      </c>
      <c r="L450" t="s">
        <v>39</v>
      </c>
      <c r="M450">
        <v>26</v>
      </c>
      <c r="N450">
        <v>430</v>
      </c>
      <c r="O450">
        <v>0</v>
      </c>
      <c r="P450" t="s">
        <v>22</v>
      </c>
      <c r="Q450">
        <v>504</v>
      </c>
      <c r="R450" t="s">
        <v>39</v>
      </c>
      <c r="S450">
        <f>IF(support_tickets[[#This Row],[status_cleaned]]="closed",1,0)</f>
        <v>1</v>
      </c>
      <c r="T450" t="str">
        <f>TEXT(support_tickets[[#This Row],[opened_at]],"mmm yyyy")</f>
        <v>Mar 2026</v>
      </c>
      <c r="U450">
        <f>YEAR(support_tickets[[#This Row],[opened_at]])*100+MONTH(support_tickets[[#This Row],[opened_at]])</f>
        <v>202603</v>
      </c>
      <c r="V450" s="29">
        <f>DATE(YEAR(support_tickets[[#This Row],[opened_at]]),MONTH(support_tickets[[#This Row],[opened_at]]),1)</f>
        <v>46082</v>
      </c>
    </row>
    <row r="451" spans="1:22">
      <c r="A451">
        <v>4048500685</v>
      </c>
      <c r="B451">
        <v>712335251</v>
      </c>
      <c r="C451" t="s">
        <v>860</v>
      </c>
      <c r="D451" t="s">
        <v>861</v>
      </c>
      <c r="E451">
        <v>82394227</v>
      </c>
      <c r="G451" s="1">
        <v>45895.47</v>
      </c>
      <c r="H451" s="1">
        <v>45895.824861111112</v>
      </c>
      <c r="I451" t="s">
        <v>56</v>
      </c>
      <c r="J451" t="s">
        <v>25</v>
      </c>
      <c r="K451" t="s">
        <v>26</v>
      </c>
      <c r="L451" t="s">
        <v>39</v>
      </c>
      <c r="M451">
        <v>32</v>
      </c>
      <c r="N451">
        <v>511</v>
      </c>
      <c r="O451">
        <v>0</v>
      </c>
      <c r="P451" t="s">
        <v>27</v>
      </c>
      <c r="Q451">
        <v>531</v>
      </c>
      <c r="R451" t="s">
        <v>39</v>
      </c>
      <c r="S451">
        <f>IF(support_tickets[[#This Row],[status_cleaned]]="closed",1,0)</f>
        <v>1</v>
      </c>
      <c r="T451" t="str">
        <f>TEXT(support_tickets[[#This Row],[opened_at]],"mmm yyyy")</f>
        <v>Aug 2025</v>
      </c>
      <c r="U451">
        <f>YEAR(support_tickets[[#This Row],[opened_at]])*100+MONTH(support_tickets[[#This Row],[opened_at]])</f>
        <v>202508</v>
      </c>
      <c r="V451" s="29">
        <f>DATE(YEAR(support_tickets[[#This Row],[opened_at]]),MONTH(support_tickets[[#This Row],[opened_at]]),1)</f>
        <v>45870</v>
      </c>
    </row>
    <row r="452" spans="1:22">
      <c r="A452">
        <v>4071154464</v>
      </c>
      <c r="B452">
        <v>271092615</v>
      </c>
      <c r="C452" t="s">
        <v>69</v>
      </c>
      <c r="D452" t="s">
        <v>811</v>
      </c>
      <c r="E452">
        <v>17774584</v>
      </c>
      <c r="G452" s="1">
        <v>45928.608483796299</v>
      </c>
      <c r="H452" s="1">
        <v>45928.772372685184</v>
      </c>
      <c r="I452" t="s">
        <v>18</v>
      </c>
      <c r="J452" t="s">
        <v>86</v>
      </c>
      <c r="K452" t="s">
        <v>26</v>
      </c>
      <c r="L452" t="s">
        <v>39</v>
      </c>
      <c r="M452">
        <v>32</v>
      </c>
      <c r="N452">
        <v>236</v>
      </c>
      <c r="O452">
        <v>0</v>
      </c>
      <c r="P452" t="s">
        <v>87</v>
      </c>
      <c r="Q452">
        <v>532</v>
      </c>
      <c r="R452" t="s">
        <v>39</v>
      </c>
      <c r="S452">
        <f>IF(support_tickets[[#This Row],[status_cleaned]]="closed",1,0)</f>
        <v>1</v>
      </c>
      <c r="T452" t="str">
        <f>TEXT(support_tickets[[#This Row],[opened_at]],"mmm yyyy")</f>
        <v>Sep 2025</v>
      </c>
      <c r="U452">
        <f>YEAR(support_tickets[[#This Row],[opened_at]])*100+MONTH(support_tickets[[#This Row],[opened_at]])</f>
        <v>202509</v>
      </c>
      <c r="V452" s="29">
        <f>DATE(YEAR(support_tickets[[#This Row],[opened_at]]),MONTH(support_tickets[[#This Row],[opened_at]]),1)</f>
        <v>45901</v>
      </c>
    </row>
    <row r="453" spans="1:22">
      <c r="A453">
        <v>4311775041</v>
      </c>
      <c r="B453">
        <v>326353775</v>
      </c>
      <c r="C453" t="s">
        <v>144</v>
      </c>
      <c r="D453" t="s">
        <v>145</v>
      </c>
      <c r="E453">
        <v>90048665</v>
      </c>
      <c r="G453" s="1">
        <v>45299.015347222223</v>
      </c>
      <c r="H453" s="1">
        <v>45299.263958333337</v>
      </c>
      <c r="I453" t="s">
        <v>56</v>
      </c>
      <c r="J453" t="s">
        <v>25</v>
      </c>
      <c r="K453" t="s">
        <v>26</v>
      </c>
      <c r="L453" t="s">
        <v>39</v>
      </c>
      <c r="M453">
        <v>52</v>
      </c>
      <c r="N453">
        <v>358</v>
      </c>
      <c r="O453">
        <v>0</v>
      </c>
      <c r="P453" t="s">
        <v>27</v>
      </c>
      <c r="Q453">
        <v>572</v>
      </c>
      <c r="R453" t="s">
        <v>39</v>
      </c>
      <c r="S453">
        <f>IF(support_tickets[[#This Row],[status_cleaned]]="closed",1,0)</f>
        <v>1</v>
      </c>
      <c r="T453" t="str">
        <f>TEXT(support_tickets[[#This Row],[opened_at]],"mmm yyyy")</f>
        <v>Jan 2024</v>
      </c>
      <c r="U453">
        <f>YEAR(support_tickets[[#This Row],[opened_at]])*100+MONTH(support_tickets[[#This Row],[opened_at]])</f>
        <v>202401</v>
      </c>
      <c r="V453" s="29">
        <f>DATE(YEAR(support_tickets[[#This Row],[opened_at]]),MONTH(support_tickets[[#This Row],[opened_at]]),1)</f>
        <v>45292</v>
      </c>
    </row>
    <row r="454" spans="1:22">
      <c r="A454">
        <v>4413598790</v>
      </c>
      <c r="B454">
        <v>461178244</v>
      </c>
      <c r="C454" t="s">
        <v>928</v>
      </c>
      <c r="D454" t="s">
        <v>929</v>
      </c>
      <c r="E454">
        <v>95758349</v>
      </c>
      <c r="G454" s="1">
        <v>45319.615312499998</v>
      </c>
      <c r="H454" s="1">
        <v>45320.151423611111</v>
      </c>
      <c r="I454" t="s">
        <v>52</v>
      </c>
      <c r="J454" t="s">
        <v>19</v>
      </c>
      <c r="K454" t="s">
        <v>26</v>
      </c>
      <c r="L454" t="s">
        <v>39</v>
      </c>
      <c r="M454">
        <v>13</v>
      </c>
      <c r="N454">
        <v>772</v>
      </c>
      <c r="O454">
        <v>0</v>
      </c>
      <c r="P454" t="s">
        <v>22</v>
      </c>
      <c r="Q454">
        <v>596</v>
      </c>
      <c r="R454" t="s">
        <v>39</v>
      </c>
      <c r="S454">
        <f>IF(support_tickets[[#This Row],[status_cleaned]]="closed",1,0)</f>
        <v>1</v>
      </c>
      <c r="T454" t="str">
        <f>TEXT(support_tickets[[#This Row],[opened_at]],"mmm yyyy")</f>
        <v>Jan 2024</v>
      </c>
      <c r="U454">
        <f>YEAR(support_tickets[[#This Row],[opened_at]])*100+MONTH(support_tickets[[#This Row],[opened_at]])</f>
        <v>202401</v>
      </c>
      <c r="V454" s="29">
        <f>DATE(YEAR(support_tickets[[#This Row],[opened_at]]),MONTH(support_tickets[[#This Row],[opened_at]]),1)</f>
        <v>45292</v>
      </c>
    </row>
    <row r="455" spans="1:22">
      <c r="A455">
        <v>4425670637</v>
      </c>
      <c r="B455">
        <v>683246764</v>
      </c>
      <c r="C455" t="s">
        <v>588</v>
      </c>
      <c r="D455" t="s">
        <v>589</v>
      </c>
      <c r="E455">
        <v>59684848</v>
      </c>
      <c r="G455" s="1">
        <v>45648.579097222224</v>
      </c>
      <c r="H455" s="1">
        <v>45648.778402777774</v>
      </c>
      <c r="I455" t="s">
        <v>3</v>
      </c>
      <c r="J455" t="s">
        <v>19</v>
      </c>
      <c r="K455" t="s">
        <v>26</v>
      </c>
      <c r="L455" t="s">
        <v>39</v>
      </c>
      <c r="M455">
        <v>63</v>
      </c>
      <c r="N455">
        <v>287</v>
      </c>
      <c r="O455">
        <v>0</v>
      </c>
      <c r="P455" t="s">
        <v>22</v>
      </c>
      <c r="Q455">
        <v>599</v>
      </c>
      <c r="R455" t="s">
        <v>39</v>
      </c>
      <c r="S455">
        <f>IF(support_tickets[[#This Row],[status_cleaned]]="closed",1,0)</f>
        <v>1</v>
      </c>
      <c r="T455" t="str">
        <f>TEXT(support_tickets[[#This Row],[opened_at]],"mmm yyyy")</f>
        <v>Dec 2024</v>
      </c>
      <c r="U455">
        <f>YEAR(support_tickets[[#This Row],[opened_at]])*100+MONTH(support_tickets[[#This Row],[opened_at]])</f>
        <v>202412</v>
      </c>
      <c r="V455" s="29">
        <f>DATE(YEAR(support_tickets[[#This Row],[opened_at]]),MONTH(support_tickets[[#This Row],[opened_at]]),1)</f>
        <v>45627</v>
      </c>
    </row>
    <row r="456" spans="1:22">
      <c r="A456">
        <v>4601723703</v>
      </c>
      <c r="B456">
        <v>604803700</v>
      </c>
      <c r="C456" t="s">
        <v>502</v>
      </c>
      <c r="D456" t="s">
        <v>503</v>
      </c>
      <c r="E456">
        <v>30514014</v>
      </c>
      <c r="G456" s="1">
        <v>45728.487835648149</v>
      </c>
      <c r="H456" s="1">
        <v>45728.587835648148</v>
      </c>
      <c r="I456" t="s">
        <v>52</v>
      </c>
      <c r="J456" t="s">
        <v>25</v>
      </c>
      <c r="K456" t="s">
        <v>26</v>
      </c>
      <c r="L456" t="s">
        <v>39</v>
      </c>
      <c r="M456">
        <v>33</v>
      </c>
      <c r="N456">
        <v>144</v>
      </c>
      <c r="O456">
        <v>0</v>
      </c>
      <c r="P456" t="s">
        <v>27</v>
      </c>
      <c r="Q456">
        <v>629</v>
      </c>
      <c r="R456" t="s">
        <v>39</v>
      </c>
      <c r="S456">
        <f>IF(support_tickets[[#This Row],[status_cleaned]]="closed",1,0)</f>
        <v>1</v>
      </c>
      <c r="T456" t="str">
        <f>TEXT(support_tickets[[#This Row],[opened_at]],"mmm yyyy")</f>
        <v>Mar 2025</v>
      </c>
      <c r="U456">
        <f>YEAR(support_tickets[[#This Row],[opened_at]])*100+MONTH(support_tickets[[#This Row],[opened_at]])</f>
        <v>202503</v>
      </c>
      <c r="V456" s="29">
        <f>DATE(YEAR(support_tickets[[#This Row],[opened_at]]),MONTH(support_tickets[[#This Row],[opened_at]]),1)</f>
        <v>45717</v>
      </c>
    </row>
    <row r="457" spans="1:22">
      <c r="A457">
        <v>4707372201</v>
      </c>
      <c r="B457">
        <v>686556403</v>
      </c>
      <c r="C457" t="s">
        <v>994</v>
      </c>
      <c r="D457" t="s">
        <v>995</v>
      </c>
      <c r="E457">
        <v>28566572</v>
      </c>
      <c r="G457" s="1">
        <v>45516.565844907411</v>
      </c>
      <c r="H457" s="1">
        <v>45517.079733796294</v>
      </c>
      <c r="I457" t="s">
        <v>43</v>
      </c>
      <c r="J457" t="s">
        <v>25</v>
      </c>
      <c r="K457" t="s">
        <v>26</v>
      </c>
      <c r="L457" t="s">
        <v>39</v>
      </c>
      <c r="M457">
        <v>49</v>
      </c>
      <c r="N457">
        <v>740</v>
      </c>
      <c r="O457">
        <v>0</v>
      </c>
      <c r="P457" t="s">
        <v>27</v>
      </c>
      <c r="Q457">
        <v>649</v>
      </c>
      <c r="R457" t="s">
        <v>39</v>
      </c>
      <c r="S457">
        <f>IF(support_tickets[[#This Row],[status_cleaned]]="closed",1,0)</f>
        <v>1</v>
      </c>
      <c r="T457" t="str">
        <f>TEXT(support_tickets[[#This Row],[opened_at]],"mmm yyyy")</f>
        <v>Aug 2024</v>
      </c>
      <c r="U457">
        <f>YEAR(support_tickets[[#This Row],[opened_at]])*100+MONTH(support_tickets[[#This Row],[opened_at]])</f>
        <v>202408</v>
      </c>
      <c r="V457" s="29">
        <f>DATE(YEAR(support_tickets[[#This Row],[opened_at]]),MONTH(support_tickets[[#This Row],[opened_at]]),1)</f>
        <v>45505</v>
      </c>
    </row>
    <row r="458" spans="1:22">
      <c r="A458">
        <v>4718759226</v>
      </c>
      <c r="B458">
        <v>492566853</v>
      </c>
      <c r="C458" t="s">
        <v>306</v>
      </c>
      <c r="D458" t="s">
        <v>307</v>
      </c>
      <c r="E458">
        <v>85345555</v>
      </c>
      <c r="G458" s="1">
        <v>45412.905960648146</v>
      </c>
      <c r="H458" s="1">
        <v>45413.320543981485</v>
      </c>
      <c r="I458" t="s">
        <v>52</v>
      </c>
      <c r="J458" t="s">
        <v>59</v>
      </c>
      <c r="K458" t="s">
        <v>26</v>
      </c>
      <c r="L458" t="s">
        <v>39</v>
      </c>
      <c r="M458">
        <v>13</v>
      </c>
      <c r="N458">
        <v>597</v>
      </c>
      <c r="O458">
        <v>0</v>
      </c>
      <c r="P458" t="s">
        <v>61</v>
      </c>
      <c r="Q458">
        <v>652</v>
      </c>
      <c r="R458" t="s">
        <v>39</v>
      </c>
      <c r="S458">
        <f>IF(support_tickets[[#This Row],[status_cleaned]]="closed",1,0)</f>
        <v>1</v>
      </c>
      <c r="T458" t="str">
        <f>TEXT(support_tickets[[#This Row],[opened_at]],"mmm yyyy")</f>
        <v>Apr 2024</v>
      </c>
      <c r="U458">
        <f>YEAR(support_tickets[[#This Row],[opened_at]])*100+MONTH(support_tickets[[#This Row],[opened_at]])</f>
        <v>202404</v>
      </c>
      <c r="V458" s="29">
        <f>DATE(YEAR(support_tickets[[#This Row],[opened_at]]),MONTH(support_tickets[[#This Row],[opened_at]]),1)</f>
        <v>45383</v>
      </c>
    </row>
    <row r="459" spans="1:22">
      <c r="A459">
        <v>5178051451</v>
      </c>
      <c r="B459">
        <v>120333847</v>
      </c>
      <c r="C459" t="s">
        <v>168</v>
      </c>
      <c r="D459" t="s">
        <v>169</v>
      </c>
      <c r="E459">
        <v>78387461</v>
      </c>
      <c r="F459">
        <v>7055080408</v>
      </c>
      <c r="G459" s="1">
        <v>46074.227037037039</v>
      </c>
      <c r="H459" s="1">
        <v>46074.719398148147</v>
      </c>
      <c r="I459" t="s">
        <v>43</v>
      </c>
      <c r="J459" t="s">
        <v>38</v>
      </c>
      <c r="K459" t="s">
        <v>26</v>
      </c>
      <c r="L459" t="s">
        <v>39</v>
      </c>
      <c r="M459">
        <v>72</v>
      </c>
      <c r="N459">
        <v>709</v>
      </c>
      <c r="O459">
        <v>0</v>
      </c>
      <c r="P459" t="s">
        <v>40</v>
      </c>
      <c r="Q459">
        <v>726</v>
      </c>
      <c r="R459" t="s">
        <v>39</v>
      </c>
      <c r="S459">
        <f>IF(support_tickets[[#This Row],[status_cleaned]]="closed",1,0)</f>
        <v>1</v>
      </c>
      <c r="T459" t="str">
        <f>TEXT(support_tickets[[#This Row],[opened_at]],"mmm yyyy")</f>
        <v>Feb 2026</v>
      </c>
      <c r="U459">
        <f>YEAR(support_tickets[[#This Row],[opened_at]])*100+MONTH(support_tickets[[#This Row],[opened_at]])</f>
        <v>202602</v>
      </c>
      <c r="V459" s="29">
        <f>DATE(YEAR(support_tickets[[#This Row],[opened_at]]),MONTH(support_tickets[[#This Row],[opened_at]]),1)</f>
        <v>46054</v>
      </c>
    </row>
    <row r="460" spans="1:22">
      <c r="A460">
        <v>6097417358</v>
      </c>
      <c r="B460">
        <v>601873197</v>
      </c>
      <c r="C460" t="s">
        <v>1068</v>
      </c>
      <c r="D460" t="s">
        <v>1069</v>
      </c>
      <c r="E460">
        <v>60806024</v>
      </c>
      <c r="F460">
        <v>8212634244</v>
      </c>
      <c r="G460" s="1">
        <v>45663.361643518518</v>
      </c>
      <c r="H460" s="1">
        <v>45663.403310185182</v>
      </c>
      <c r="I460" t="s">
        <v>18</v>
      </c>
      <c r="J460" t="s">
        <v>59</v>
      </c>
      <c r="K460" t="s">
        <v>26</v>
      </c>
      <c r="L460" t="s">
        <v>39</v>
      </c>
      <c r="M460">
        <v>39</v>
      </c>
      <c r="N460">
        <v>60</v>
      </c>
      <c r="O460">
        <v>0</v>
      </c>
      <c r="P460" t="s">
        <v>61</v>
      </c>
      <c r="Q460">
        <v>912</v>
      </c>
      <c r="R460" t="s">
        <v>39</v>
      </c>
      <c r="S460">
        <f>IF(support_tickets[[#This Row],[status_cleaned]]="closed",1,0)</f>
        <v>1</v>
      </c>
      <c r="T460" t="str">
        <f>TEXT(support_tickets[[#This Row],[opened_at]],"mmm yyyy")</f>
        <v>Jan 2025</v>
      </c>
      <c r="U460">
        <f>YEAR(support_tickets[[#This Row],[opened_at]])*100+MONTH(support_tickets[[#This Row],[opened_at]])</f>
        <v>202501</v>
      </c>
      <c r="V460" s="29">
        <f>DATE(YEAR(support_tickets[[#This Row],[opened_at]]),MONTH(support_tickets[[#This Row],[opened_at]]),1)</f>
        <v>45658</v>
      </c>
    </row>
    <row r="461" spans="1:22">
      <c r="A461">
        <v>6171742010</v>
      </c>
      <c r="B461">
        <v>219032752</v>
      </c>
      <c r="C461" t="s">
        <v>632</v>
      </c>
      <c r="D461" t="s">
        <v>633</v>
      </c>
      <c r="E461">
        <v>21668732</v>
      </c>
      <c r="F461">
        <v>1288372981</v>
      </c>
      <c r="G461" s="1">
        <v>45492.561377314814</v>
      </c>
      <c r="H461" s="1">
        <v>45492.635682870372</v>
      </c>
      <c r="I461" t="s">
        <v>3</v>
      </c>
      <c r="J461" t="s">
        <v>38</v>
      </c>
      <c r="K461" t="s">
        <v>26</v>
      </c>
      <c r="L461" t="s">
        <v>39</v>
      </c>
      <c r="M461">
        <v>12</v>
      </c>
      <c r="N461">
        <v>107</v>
      </c>
      <c r="O461">
        <v>0</v>
      </c>
      <c r="P461" t="s">
        <v>40</v>
      </c>
      <c r="Q461">
        <v>920</v>
      </c>
      <c r="R461" t="s">
        <v>39</v>
      </c>
      <c r="S461">
        <f>IF(support_tickets[[#This Row],[status_cleaned]]="closed",1,0)</f>
        <v>1</v>
      </c>
      <c r="T461" t="str">
        <f>TEXT(support_tickets[[#This Row],[opened_at]],"mmm yyyy")</f>
        <v>Jul 2024</v>
      </c>
      <c r="U461">
        <f>YEAR(support_tickets[[#This Row],[opened_at]])*100+MONTH(support_tickets[[#This Row],[opened_at]])</f>
        <v>202407</v>
      </c>
      <c r="V461" s="29">
        <f>DATE(YEAR(support_tickets[[#This Row],[opened_at]]),MONTH(support_tickets[[#This Row],[opened_at]]),1)</f>
        <v>45474</v>
      </c>
    </row>
    <row r="462" spans="1:22">
      <c r="A462">
        <v>6616324532</v>
      </c>
      <c r="B462">
        <v>392956587</v>
      </c>
      <c r="C462" t="s">
        <v>198</v>
      </c>
      <c r="D462" t="s">
        <v>199</v>
      </c>
      <c r="E462">
        <v>39436733</v>
      </c>
      <c r="F462">
        <v>4684249425</v>
      </c>
      <c r="G462" s="1">
        <v>45520.496527777781</v>
      </c>
      <c r="H462" s="1">
        <v>45521.036111111112</v>
      </c>
      <c r="I462" t="s">
        <v>52</v>
      </c>
      <c r="J462" t="s">
        <v>25</v>
      </c>
      <c r="K462" t="s">
        <v>26</v>
      </c>
      <c r="L462" t="s">
        <v>39</v>
      </c>
      <c r="M462">
        <v>1</v>
      </c>
      <c r="N462">
        <v>777</v>
      </c>
      <c r="O462">
        <v>0</v>
      </c>
      <c r="P462" t="s">
        <v>27</v>
      </c>
      <c r="Q462">
        <v>988</v>
      </c>
      <c r="R462" t="s">
        <v>39</v>
      </c>
      <c r="S462">
        <f>IF(support_tickets[[#This Row],[status_cleaned]]="closed",1,0)</f>
        <v>1</v>
      </c>
      <c r="T462" t="str">
        <f>TEXT(support_tickets[[#This Row],[opened_at]],"mmm yyyy")</f>
        <v>Aug 2024</v>
      </c>
      <c r="U462">
        <f>YEAR(support_tickets[[#This Row],[opened_at]])*100+MONTH(support_tickets[[#This Row],[opened_at]])</f>
        <v>202408</v>
      </c>
      <c r="V462" s="29">
        <f>DATE(YEAR(support_tickets[[#This Row],[opened_at]]),MONTH(support_tickets[[#This Row],[opened_at]]),1)</f>
        <v>45505</v>
      </c>
    </row>
    <row r="463" spans="1:22">
      <c r="A463">
        <v>7531704552</v>
      </c>
      <c r="B463">
        <v>140048684</v>
      </c>
      <c r="C463" t="s">
        <v>1344</v>
      </c>
      <c r="D463" t="s">
        <v>1345</v>
      </c>
      <c r="E463">
        <v>21668732</v>
      </c>
      <c r="F463">
        <v>3747126998</v>
      </c>
      <c r="G463" s="1">
        <v>45935.247025462966</v>
      </c>
      <c r="H463" s="1">
        <v>45935.356053240743</v>
      </c>
      <c r="I463" t="s">
        <v>3</v>
      </c>
      <c r="J463" t="s">
        <v>59</v>
      </c>
      <c r="K463" t="s">
        <v>26</v>
      </c>
      <c r="L463" t="s">
        <v>39</v>
      </c>
      <c r="M463">
        <v>36</v>
      </c>
      <c r="N463">
        <v>157</v>
      </c>
      <c r="O463">
        <v>0</v>
      </c>
      <c r="P463" t="s">
        <v>61</v>
      </c>
      <c r="Q463">
        <v>1112</v>
      </c>
      <c r="R463" t="s">
        <v>39</v>
      </c>
      <c r="S463">
        <f>IF(support_tickets[[#This Row],[status_cleaned]]="closed",1,0)</f>
        <v>1</v>
      </c>
      <c r="T463" t="str">
        <f>TEXT(support_tickets[[#This Row],[opened_at]],"mmm yyyy")</f>
        <v>Oct 2025</v>
      </c>
      <c r="U463">
        <f>YEAR(support_tickets[[#This Row],[opened_at]])*100+MONTH(support_tickets[[#This Row],[opened_at]])</f>
        <v>202510</v>
      </c>
      <c r="V463" s="29">
        <f>DATE(YEAR(support_tickets[[#This Row],[opened_at]]),MONTH(support_tickets[[#This Row],[opened_at]]),1)</f>
        <v>45931</v>
      </c>
    </row>
    <row r="464" spans="1:22">
      <c r="A464">
        <v>7563042060</v>
      </c>
      <c r="B464">
        <v>355046107</v>
      </c>
      <c r="C464" t="s">
        <v>402</v>
      </c>
      <c r="D464" t="s">
        <v>403</v>
      </c>
      <c r="E464">
        <v>82383095</v>
      </c>
      <c r="G464" s="1">
        <v>46066.589236111111</v>
      </c>
      <c r="H464" s="1">
        <v>46066.769097222219</v>
      </c>
      <c r="I464" t="s">
        <v>43</v>
      </c>
      <c r="J464" t="s">
        <v>19</v>
      </c>
      <c r="K464" t="s">
        <v>26</v>
      </c>
      <c r="L464" t="s">
        <v>39</v>
      </c>
      <c r="M464">
        <v>43</v>
      </c>
      <c r="N464">
        <v>259</v>
      </c>
      <c r="O464">
        <v>0</v>
      </c>
      <c r="P464" t="s">
        <v>22</v>
      </c>
      <c r="Q464">
        <v>1118</v>
      </c>
      <c r="R464" t="s">
        <v>39</v>
      </c>
      <c r="S464">
        <f>IF(support_tickets[[#This Row],[status_cleaned]]="closed",1,0)</f>
        <v>1</v>
      </c>
      <c r="T464" t="str">
        <f>TEXT(support_tickets[[#This Row],[opened_at]],"mmm yyyy")</f>
        <v>Feb 2026</v>
      </c>
      <c r="U464">
        <f>YEAR(support_tickets[[#This Row],[opened_at]])*100+MONTH(support_tickets[[#This Row],[opened_at]])</f>
        <v>202602</v>
      </c>
      <c r="V464" s="29">
        <f>DATE(YEAR(support_tickets[[#This Row],[opened_at]]),MONTH(support_tickets[[#This Row],[opened_at]]),1)</f>
        <v>46054</v>
      </c>
    </row>
    <row r="465" spans="1:22">
      <c r="A465">
        <v>7640584556</v>
      </c>
      <c r="B465">
        <v>797889971</v>
      </c>
      <c r="C465" t="s">
        <v>136</v>
      </c>
      <c r="D465" t="s">
        <v>137</v>
      </c>
      <c r="E465">
        <v>45264581</v>
      </c>
      <c r="G465" s="1">
        <v>45742.580567129633</v>
      </c>
      <c r="H465" s="1">
        <v>45742.829872685186</v>
      </c>
      <c r="I465" t="s">
        <v>46</v>
      </c>
      <c r="J465" t="s">
        <v>30</v>
      </c>
      <c r="K465" t="s">
        <v>26</v>
      </c>
      <c r="L465" t="s">
        <v>39</v>
      </c>
      <c r="M465">
        <v>70</v>
      </c>
      <c r="N465">
        <v>359</v>
      </c>
      <c r="O465">
        <v>0</v>
      </c>
      <c r="P465" t="s">
        <v>31</v>
      </c>
      <c r="Q465">
        <v>1133</v>
      </c>
      <c r="R465" t="s">
        <v>39</v>
      </c>
      <c r="S465">
        <f>IF(support_tickets[[#This Row],[status_cleaned]]="closed",1,0)</f>
        <v>1</v>
      </c>
      <c r="T465" t="str">
        <f>TEXT(support_tickets[[#This Row],[opened_at]],"mmm yyyy")</f>
        <v>Mar 2025</v>
      </c>
      <c r="U465">
        <f>YEAR(support_tickets[[#This Row],[opened_at]])*100+MONTH(support_tickets[[#This Row],[opened_at]])</f>
        <v>202503</v>
      </c>
      <c r="V465" s="29">
        <f>DATE(YEAR(support_tickets[[#This Row],[opened_at]]),MONTH(support_tickets[[#This Row],[opened_at]]),1)</f>
        <v>45717</v>
      </c>
    </row>
    <row r="466" spans="1:22">
      <c r="A466">
        <v>7914730523</v>
      </c>
      <c r="B466">
        <v>417440983</v>
      </c>
      <c r="C466" t="s">
        <v>1116</v>
      </c>
      <c r="D466" t="s">
        <v>1117</v>
      </c>
      <c r="E466">
        <v>52235350</v>
      </c>
      <c r="G466" s="1">
        <v>45406.161435185182</v>
      </c>
      <c r="H466" s="1">
        <v>45406.574629629627</v>
      </c>
      <c r="I466" t="s">
        <v>18</v>
      </c>
      <c r="J466" t="s">
        <v>19</v>
      </c>
      <c r="K466" t="s">
        <v>26</v>
      </c>
      <c r="L466" t="s">
        <v>39</v>
      </c>
      <c r="M466">
        <v>64</v>
      </c>
      <c r="N466">
        <v>595</v>
      </c>
      <c r="O466">
        <v>0</v>
      </c>
      <c r="P466" t="s">
        <v>22</v>
      </c>
      <c r="Q466">
        <v>1173</v>
      </c>
      <c r="R466" t="s">
        <v>39</v>
      </c>
      <c r="S466">
        <f>IF(support_tickets[[#This Row],[status_cleaned]]="closed",1,0)</f>
        <v>1</v>
      </c>
      <c r="T466" t="str">
        <f>TEXT(support_tickets[[#This Row],[opened_at]],"mmm yyyy")</f>
        <v>Apr 2024</v>
      </c>
      <c r="U466">
        <f>YEAR(support_tickets[[#This Row],[opened_at]])*100+MONTH(support_tickets[[#This Row],[opened_at]])</f>
        <v>202404</v>
      </c>
      <c r="V466" s="29">
        <f>DATE(YEAR(support_tickets[[#This Row],[opened_at]]),MONTH(support_tickets[[#This Row],[opened_at]]),1)</f>
        <v>45383</v>
      </c>
    </row>
    <row r="467" spans="1:22">
      <c r="A467">
        <v>8247938862</v>
      </c>
      <c r="B467">
        <v>564520346</v>
      </c>
      <c r="C467" t="s">
        <v>184</v>
      </c>
      <c r="D467" t="s">
        <v>185</v>
      </c>
      <c r="E467">
        <v>60929647</v>
      </c>
      <c r="G467" s="1">
        <v>45744.51017361111</v>
      </c>
      <c r="H467" s="1">
        <v>45744.990034722221</v>
      </c>
      <c r="I467" t="s">
        <v>52</v>
      </c>
      <c r="J467" t="s">
        <v>86</v>
      </c>
      <c r="K467" t="s">
        <v>26</v>
      </c>
      <c r="L467" t="s">
        <v>39</v>
      </c>
      <c r="M467">
        <v>60</v>
      </c>
      <c r="N467">
        <v>691</v>
      </c>
      <c r="O467">
        <v>0</v>
      </c>
      <c r="P467" t="s">
        <v>87</v>
      </c>
      <c r="Q467">
        <v>1219</v>
      </c>
      <c r="R467" t="s">
        <v>39</v>
      </c>
      <c r="S467">
        <f>IF(support_tickets[[#This Row],[status_cleaned]]="closed",1,0)</f>
        <v>1</v>
      </c>
      <c r="T467" t="str">
        <f>TEXT(support_tickets[[#This Row],[opened_at]],"mmm yyyy")</f>
        <v>Mar 2025</v>
      </c>
      <c r="U467">
        <f>YEAR(support_tickets[[#This Row],[opened_at]])*100+MONTH(support_tickets[[#This Row],[opened_at]])</f>
        <v>202503</v>
      </c>
      <c r="V467" s="29">
        <f>DATE(YEAR(support_tickets[[#This Row],[opened_at]]),MONTH(support_tickets[[#This Row],[opened_at]]),1)</f>
        <v>45717</v>
      </c>
    </row>
    <row r="468" spans="1:22">
      <c r="A468">
        <v>8259384311</v>
      </c>
      <c r="B468">
        <v>238151258</v>
      </c>
      <c r="C468" t="s">
        <v>1447</v>
      </c>
      <c r="D468" t="s">
        <v>1448</v>
      </c>
      <c r="E468">
        <v>41227216</v>
      </c>
      <c r="G468" s="1">
        <v>45982.834120370368</v>
      </c>
      <c r="H468" s="1">
        <v>45983.312592592592</v>
      </c>
      <c r="I468" t="s">
        <v>52</v>
      </c>
      <c r="J468" t="s">
        <v>30</v>
      </c>
      <c r="K468" t="s">
        <v>26</v>
      </c>
      <c r="L468" t="s">
        <v>39</v>
      </c>
      <c r="M468">
        <v>44</v>
      </c>
      <c r="N468">
        <v>689</v>
      </c>
      <c r="O468">
        <v>0</v>
      </c>
      <c r="P468" t="s">
        <v>31</v>
      </c>
      <c r="Q468">
        <v>1224</v>
      </c>
      <c r="R468" t="s">
        <v>39</v>
      </c>
      <c r="S468">
        <f>IF(support_tickets[[#This Row],[status_cleaned]]="closed",1,0)</f>
        <v>1</v>
      </c>
      <c r="T468" t="str">
        <f>TEXT(support_tickets[[#This Row],[opened_at]],"mmm yyyy")</f>
        <v>Nov 2025</v>
      </c>
      <c r="U468">
        <f>YEAR(support_tickets[[#This Row],[opened_at]])*100+MONTH(support_tickets[[#This Row],[opened_at]])</f>
        <v>202511</v>
      </c>
      <c r="V468" s="29">
        <f>DATE(YEAR(support_tickets[[#This Row],[opened_at]]),MONTH(support_tickets[[#This Row],[opened_at]]),1)</f>
        <v>45962</v>
      </c>
    </row>
    <row r="469" spans="1:22">
      <c r="A469">
        <v>8396845668</v>
      </c>
      <c r="B469">
        <v>226074193</v>
      </c>
      <c r="C469" t="s">
        <v>1453</v>
      </c>
      <c r="D469" t="s">
        <v>1454</v>
      </c>
      <c r="E469">
        <v>24942603</v>
      </c>
      <c r="G469" s="1">
        <v>45474.839097222219</v>
      </c>
      <c r="H469" s="1">
        <v>45474.86409722222</v>
      </c>
      <c r="I469" t="s">
        <v>43</v>
      </c>
      <c r="J469" t="s">
        <v>25</v>
      </c>
      <c r="K469" t="s">
        <v>26</v>
      </c>
      <c r="L469" t="s">
        <v>39</v>
      </c>
      <c r="M469">
        <v>31</v>
      </c>
      <c r="N469">
        <v>36</v>
      </c>
      <c r="O469">
        <v>0</v>
      </c>
      <c r="P469" t="s">
        <v>27</v>
      </c>
      <c r="Q469">
        <v>1236</v>
      </c>
      <c r="R469" t="s">
        <v>39</v>
      </c>
      <c r="S469">
        <f>IF(support_tickets[[#This Row],[status_cleaned]]="closed",1,0)</f>
        <v>1</v>
      </c>
      <c r="T469" t="str">
        <f>TEXT(support_tickets[[#This Row],[opened_at]],"mmm yyyy")</f>
        <v>Jul 2024</v>
      </c>
      <c r="U469">
        <f>YEAR(support_tickets[[#This Row],[opened_at]])*100+MONTH(support_tickets[[#This Row],[opened_at]])</f>
        <v>202407</v>
      </c>
      <c r="V469" s="29">
        <f>DATE(YEAR(support_tickets[[#This Row],[opened_at]]),MONTH(support_tickets[[#This Row],[opened_at]]),1)</f>
        <v>45474</v>
      </c>
    </row>
    <row r="470" spans="1:22">
      <c r="A470">
        <v>8438406597</v>
      </c>
      <c r="B470">
        <v>685698675</v>
      </c>
      <c r="C470" t="s">
        <v>1278</v>
      </c>
      <c r="D470" t="s">
        <v>1279</v>
      </c>
      <c r="E470">
        <v>21668732</v>
      </c>
      <c r="G470" s="1">
        <v>45767.784884259258</v>
      </c>
      <c r="H470" s="1">
        <v>45768.069606481484</v>
      </c>
      <c r="I470" t="s">
        <v>18</v>
      </c>
      <c r="J470" t="s">
        <v>86</v>
      </c>
      <c r="K470" t="s">
        <v>26</v>
      </c>
      <c r="L470" t="s">
        <v>39</v>
      </c>
      <c r="M470">
        <v>44</v>
      </c>
      <c r="N470">
        <v>410</v>
      </c>
      <c r="O470">
        <v>0</v>
      </c>
      <c r="P470" t="s">
        <v>87</v>
      </c>
      <c r="Q470">
        <v>1243</v>
      </c>
      <c r="R470" t="s">
        <v>39</v>
      </c>
      <c r="S470">
        <f>IF(support_tickets[[#This Row],[status_cleaned]]="closed",1,0)</f>
        <v>1</v>
      </c>
      <c r="T470" t="str">
        <f>TEXT(support_tickets[[#This Row],[opened_at]],"mmm yyyy")</f>
        <v>Apr 2025</v>
      </c>
      <c r="U470">
        <f>YEAR(support_tickets[[#This Row],[opened_at]])*100+MONTH(support_tickets[[#This Row],[opened_at]])</f>
        <v>202504</v>
      </c>
      <c r="V470" s="29">
        <f>DATE(YEAR(support_tickets[[#This Row],[opened_at]]),MONTH(support_tickets[[#This Row],[opened_at]]),1)</f>
        <v>45748</v>
      </c>
    </row>
    <row r="471" spans="1:22">
      <c r="A471">
        <v>8818607239</v>
      </c>
      <c r="B471">
        <v>499446327</v>
      </c>
      <c r="C471" t="s">
        <v>1252</v>
      </c>
      <c r="D471" t="s">
        <v>1253</v>
      </c>
      <c r="E471">
        <v>91756179</v>
      </c>
      <c r="G471" s="1">
        <v>45926.702662037038</v>
      </c>
      <c r="H471" s="1">
        <v>45926.761689814812</v>
      </c>
      <c r="I471" t="s">
        <v>52</v>
      </c>
      <c r="J471" t="s">
        <v>30</v>
      </c>
      <c r="K471" t="s">
        <v>26</v>
      </c>
      <c r="L471" t="s">
        <v>39</v>
      </c>
      <c r="M471">
        <v>24</v>
      </c>
      <c r="N471">
        <v>85</v>
      </c>
      <c r="O471">
        <v>0</v>
      </c>
      <c r="P471" t="s">
        <v>31</v>
      </c>
      <c r="Q471">
        <v>1313</v>
      </c>
      <c r="R471" t="s">
        <v>39</v>
      </c>
      <c r="S471">
        <f>IF(support_tickets[[#This Row],[status_cleaned]]="closed",1,0)</f>
        <v>1</v>
      </c>
      <c r="T471" t="str">
        <f>TEXT(support_tickets[[#This Row],[opened_at]],"mmm yyyy")</f>
        <v>Sep 2025</v>
      </c>
      <c r="U471">
        <f>YEAR(support_tickets[[#This Row],[opened_at]])*100+MONTH(support_tickets[[#This Row],[opened_at]])</f>
        <v>202509</v>
      </c>
      <c r="V471" s="29">
        <f>DATE(YEAR(support_tickets[[#This Row],[opened_at]]),MONTH(support_tickets[[#This Row],[opened_at]]),1)</f>
        <v>45901</v>
      </c>
    </row>
    <row r="472" spans="1:22">
      <c r="A472">
        <v>8828157532</v>
      </c>
      <c r="B472">
        <v>287974375</v>
      </c>
      <c r="C472" t="s">
        <v>422</v>
      </c>
      <c r="D472" t="s">
        <v>423</v>
      </c>
      <c r="E472">
        <v>85345555</v>
      </c>
      <c r="F472">
        <v>3803069611</v>
      </c>
      <c r="G472" s="1">
        <v>45615.790682870371</v>
      </c>
      <c r="H472" s="1">
        <v>45616.375405092593</v>
      </c>
      <c r="I472" t="s">
        <v>43</v>
      </c>
      <c r="J472" t="s">
        <v>86</v>
      </c>
      <c r="K472" t="s">
        <v>26</v>
      </c>
      <c r="L472" t="s">
        <v>39</v>
      </c>
      <c r="M472">
        <v>60</v>
      </c>
      <c r="N472">
        <v>842</v>
      </c>
      <c r="O472">
        <v>0</v>
      </c>
      <c r="P472" t="s">
        <v>87</v>
      </c>
      <c r="Q472">
        <v>1315</v>
      </c>
      <c r="R472" t="s">
        <v>39</v>
      </c>
      <c r="S472">
        <f>IF(support_tickets[[#This Row],[status_cleaned]]="closed",1,0)</f>
        <v>1</v>
      </c>
      <c r="T472" t="str">
        <f>TEXT(support_tickets[[#This Row],[opened_at]],"mmm yyyy")</f>
        <v>Nov 2024</v>
      </c>
      <c r="U472">
        <f>YEAR(support_tickets[[#This Row],[opened_at]])*100+MONTH(support_tickets[[#This Row],[opened_at]])</f>
        <v>202411</v>
      </c>
      <c r="V472" s="29">
        <f>DATE(YEAR(support_tickets[[#This Row],[opened_at]]),MONTH(support_tickets[[#This Row],[opened_at]]),1)</f>
        <v>45597</v>
      </c>
    </row>
    <row r="473" spans="1:22">
      <c r="A473">
        <v>8860358355</v>
      </c>
      <c r="B473">
        <v>464090064</v>
      </c>
      <c r="C473" t="s">
        <v>1487</v>
      </c>
      <c r="D473" t="s">
        <v>1488</v>
      </c>
      <c r="E473">
        <v>31682744</v>
      </c>
      <c r="G473" s="1">
        <v>45419.589409722219</v>
      </c>
      <c r="H473" s="1">
        <v>45420.326215277775</v>
      </c>
      <c r="I473" t="s">
        <v>3</v>
      </c>
      <c r="J473" t="s">
        <v>38</v>
      </c>
      <c r="K473" t="s">
        <v>26</v>
      </c>
      <c r="L473" t="s">
        <v>39</v>
      </c>
      <c r="M473">
        <v>1</v>
      </c>
      <c r="N473">
        <v>1061</v>
      </c>
      <c r="O473">
        <v>0</v>
      </c>
      <c r="P473" t="s">
        <v>40</v>
      </c>
      <c r="Q473">
        <v>1320</v>
      </c>
      <c r="R473" t="s">
        <v>39</v>
      </c>
      <c r="S473">
        <f>IF(support_tickets[[#This Row],[status_cleaned]]="closed",1,0)</f>
        <v>1</v>
      </c>
      <c r="T473" t="str">
        <f>TEXT(support_tickets[[#This Row],[opened_at]],"mmm yyyy")</f>
        <v>May 2024</v>
      </c>
      <c r="U473">
        <f>YEAR(support_tickets[[#This Row],[opened_at]])*100+MONTH(support_tickets[[#This Row],[opened_at]])</f>
        <v>202405</v>
      </c>
      <c r="V473" s="29">
        <f>DATE(YEAR(support_tickets[[#This Row],[opened_at]]),MONTH(support_tickets[[#This Row],[opened_at]]),1)</f>
        <v>45413</v>
      </c>
    </row>
    <row r="474" spans="1:22">
      <c r="A474">
        <v>8881826467</v>
      </c>
      <c r="B474">
        <v>572022811</v>
      </c>
      <c r="C474" t="s">
        <v>604</v>
      </c>
      <c r="D474" t="s">
        <v>605</v>
      </c>
      <c r="E474">
        <v>88320463</v>
      </c>
      <c r="G474" s="1">
        <v>45934.006342592591</v>
      </c>
      <c r="H474" s="1">
        <v>45934.05773148148</v>
      </c>
      <c r="I474" t="s">
        <v>56</v>
      </c>
      <c r="J474" t="s">
        <v>59</v>
      </c>
      <c r="K474" t="s">
        <v>26</v>
      </c>
      <c r="L474" t="s">
        <v>39</v>
      </c>
      <c r="M474">
        <v>69</v>
      </c>
      <c r="N474">
        <v>74</v>
      </c>
      <c r="O474">
        <v>0</v>
      </c>
      <c r="P474" t="s">
        <v>61</v>
      </c>
      <c r="Q474">
        <v>1324</v>
      </c>
      <c r="R474" t="s">
        <v>39</v>
      </c>
      <c r="S474">
        <f>IF(support_tickets[[#This Row],[status_cleaned]]="closed",1,0)</f>
        <v>1</v>
      </c>
      <c r="T474" t="str">
        <f>TEXT(support_tickets[[#This Row],[opened_at]],"mmm yyyy")</f>
        <v>Oct 2025</v>
      </c>
      <c r="U474">
        <f>YEAR(support_tickets[[#This Row],[opened_at]])*100+MONTH(support_tickets[[#This Row],[opened_at]])</f>
        <v>202510</v>
      </c>
      <c r="V474" s="29">
        <f>DATE(YEAR(support_tickets[[#This Row],[opened_at]]),MONTH(support_tickets[[#This Row],[opened_at]]),1)</f>
        <v>45931</v>
      </c>
    </row>
    <row r="475" spans="1:22">
      <c r="A475">
        <v>9171872675</v>
      </c>
      <c r="B475">
        <v>595725097</v>
      </c>
      <c r="C475" t="s">
        <v>1521</v>
      </c>
      <c r="D475" t="s">
        <v>1522</v>
      </c>
      <c r="E475">
        <v>60992979</v>
      </c>
      <c r="F475">
        <v>7765563516</v>
      </c>
      <c r="G475" s="1">
        <v>45444.824548611112</v>
      </c>
      <c r="H475" s="1">
        <v>45445.293298611112</v>
      </c>
      <c r="I475" t="s">
        <v>46</v>
      </c>
      <c r="J475" t="s">
        <v>38</v>
      </c>
      <c r="K475" t="s">
        <v>26</v>
      </c>
      <c r="L475" t="s">
        <v>39</v>
      </c>
      <c r="M475">
        <v>51</v>
      </c>
      <c r="N475">
        <v>675</v>
      </c>
      <c r="O475">
        <v>0</v>
      </c>
      <c r="P475" t="s">
        <v>40</v>
      </c>
      <c r="Q475">
        <v>1381</v>
      </c>
      <c r="R475" t="s">
        <v>39</v>
      </c>
      <c r="S475">
        <f>IF(support_tickets[[#This Row],[status_cleaned]]="closed",1,0)</f>
        <v>1</v>
      </c>
      <c r="T475" t="str">
        <f>TEXT(support_tickets[[#This Row],[opened_at]],"mmm yyyy")</f>
        <v>Jun 2024</v>
      </c>
      <c r="U475">
        <f>YEAR(support_tickets[[#This Row],[opened_at]])*100+MONTH(support_tickets[[#This Row],[opened_at]])</f>
        <v>202406</v>
      </c>
      <c r="V475" s="29">
        <f>DATE(YEAR(support_tickets[[#This Row],[opened_at]]),MONTH(support_tickets[[#This Row],[opened_at]]),1)</f>
        <v>45444</v>
      </c>
    </row>
    <row r="476" spans="1:22">
      <c r="A476">
        <v>9388467387</v>
      </c>
      <c r="B476">
        <v>650921917</v>
      </c>
      <c r="C476" t="s">
        <v>1539</v>
      </c>
      <c r="D476" t="s">
        <v>1540</v>
      </c>
      <c r="E476">
        <v>52339391</v>
      </c>
      <c r="G476" s="1">
        <v>46071.169976851852</v>
      </c>
      <c r="H476" s="1">
        <v>46071.590115740742</v>
      </c>
      <c r="I476" t="s">
        <v>37</v>
      </c>
      <c r="J476" t="s">
        <v>30</v>
      </c>
      <c r="K476" t="s">
        <v>26</v>
      </c>
      <c r="L476" t="s">
        <v>39</v>
      </c>
      <c r="M476">
        <v>47</v>
      </c>
      <c r="N476">
        <v>605</v>
      </c>
      <c r="O476">
        <v>0</v>
      </c>
      <c r="P476" t="s">
        <v>31</v>
      </c>
      <c r="Q476">
        <v>1416</v>
      </c>
      <c r="R476" t="s">
        <v>39</v>
      </c>
      <c r="S476">
        <f>IF(support_tickets[[#This Row],[status_cleaned]]="closed",1,0)</f>
        <v>1</v>
      </c>
      <c r="T476" t="str">
        <f>TEXT(support_tickets[[#This Row],[opened_at]],"mmm yyyy")</f>
        <v>Feb 2026</v>
      </c>
      <c r="U476">
        <f>YEAR(support_tickets[[#This Row],[opened_at]])*100+MONTH(support_tickets[[#This Row],[opened_at]])</f>
        <v>202602</v>
      </c>
      <c r="V476" s="29">
        <f>DATE(YEAR(support_tickets[[#This Row],[opened_at]]),MONTH(support_tickets[[#This Row],[opened_at]]),1)</f>
        <v>46054</v>
      </c>
    </row>
    <row r="477" spans="1:22">
      <c r="A477">
        <v>9553143673</v>
      </c>
      <c r="B477">
        <v>447464644</v>
      </c>
      <c r="C477" t="s">
        <v>100</v>
      </c>
      <c r="D477" t="s">
        <v>101</v>
      </c>
      <c r="E477">
        <v>81182864</v>
      </c>
      <c r="G477" s="1">
        <v>45676.716307870367</v>
      </c>
      <c r="H477" s="1">
        <v>45676.926030092596</v>
      </c>
      <c r="I477" t="s">
        <v>56</v>
      </c>
      <c r="J477" t="s">
        <v>86</v>
      </c>
      <c r="K477" t="s">
        <v>26</v>
      </c>
      <c r="L477" t="s">
        <v>39</v>
      </c>
      <c r="M477">
        <v>55</v>
      </c>
      <c r="N477">
        <v>302</v>
      </c>
      <c r="O477">
        <v>0</v>
      </c>
      <c r="P477" t="s">
        <v>87</v>
      </c>
      <c r="Q477">
        <v>1439</v>
      </c>
      <c r="R477" t="s">
        <v>39</v>
      </c>
      <c r="S477">
        <f>IF(support_tickets[[#This Row],[status_cleaned]]="closed",1,0)</f>
        <v>1</v>
      </c>
      <c r="T477" t="str">
        <f>TEXT(support_tickets[[#This Row],[opened_at]],"mmm yyyy")</f>
        <v>Jan 2025</v>
      </c>
      <c r="U477">
        <f>YEAR(support_tickets[[#This Row],[opened_at]])*100+MONTH(support_tickets[[#This Row],[opened_at]])</f>
        <v>202501</v>
      </c>
      <c r="V477" s="29">
        <f>DATE(YEAR(support_tickets[[#This Row],[opened_at]]),MONTH(support_tickets[[#This Row],[opened_at]]),1)</f>
        <v>45658</v>
      </c>
    </row>
    <row r="478" spans="1:22">
      <c r="A478">
        <v>9587096470</v>
      </c>
      <c r="B478">
        <v>369085407</v>
      </c>
      <c r="C478" t="s">
        <v>1232</v>
      </c>
      <c r="D478" t="s">
        <v>1233</v>
      </c>
      <c r="E478">
        <v>81971316</v>
      </c>
      <c r="F478">
        <v>1530443469</v>
      </c>
      <c r="G478" s="1">
        <v>45396.472604166665</v>
      </c>
      <c r="H478" s="1">
        <v>45396.67260416667</v>
      </c>
      <c r="I478" t="s">
        <v>18</v>
      </c>
      <c r="J478" t="s">
        <v>59</v>
      </c>
      <c r="K478" t="s">
        <v>26</v>
      </c>
      <c r="L478" t="s">
        <v>39</v>
      </c>
      <c r="M478">
        <v>36</v>
      </c>
      <c r="N478">
        <v>288</v>
      </c>
      <c r="O478">
        <v>0</v>
      </c>
      <c r="P478" t="s">
        <v>61</v>
      </c>
      <c r="Q478">
        <v>1447</v>
      </c>
      <c r="R478" t="s">
        <v>39</v>
      </c>
      <c r="S478">
        <f>IF(support_tickets[[#This Row],[status_cleaned]]="closed",1,0)</f>
        <v>1</v>
      </c>
      <c r="T478" t="str">
        <f>TEXT(support_tickets[[#This Row],[opened_at]],"mmm yyyy")</f>
        <v>Apr 2024</v>
      </c>
      <c r="U478">
        <f>YEAR(support_tickets[[#This Row],[opened_at]])*100+MONTH(support_tickets[[#This Row],[opened_at]])</f>
        <v>202404</v>
      </c>
      <c r="V478" s="29">
        <f>DATE(YEAR(support_tickets[[#This Row],[opened_at]]),MONTH(support_tickets[[#This Row],[opened_at]]),1)</f>
        <v>45383</v>
      </c>
    </row>
    <row r="479" spans="1:22">
      <c r="A479">
        <v>9916410186</v>
      </c>
      <c r="B479">
        <v>342313086</v>
      </c>
      <c r="C479" t="s">
        <v>1581</v>
      </c>
      <c r="D479" t="s">
        <v>1582</v>
      </c>
      <c r="E479">
        <v>61220073</v>
      </c>
      <c r="G479" s="1">
        <v>45493.187997685185</v>
      </c>
      <c r="H479" s="1">
        <v>45493.614386574074</v>
      </c>
      <c r="I479" t="s">
        <v>56</v>
      </c>
      <c r="J479" t="s">
        <v>25</v>
      </c>
      <c r="K479" t="s">
        <v>26</v>
      </c>
      <c r="L479" t="s">
        <v>39</v>
      </c>
      <c r="M479">
        <v>6</v>
      </c>
      <c r="N479">
        <v>614</v>
      </c>
      <c r="O479">
        <v>0</v>
      </c>
      <c r="P479" t="s">
        <v>27</v>
      </c>
      <c r="Q479">
        <v>1491</v>
      </c>
      <c r="R479" t="s">
        <v>39</v>
      </c>
      <c r="S479">
        <f>IF(support_tickets[[#This Row],[status_cleaned]]="closed",1,0)</f>
        <v>1</v>
      </c>
      <c r="T479" t="str">
        <f>TEXT(support_tickets[[#This Row],[opened_at]],"mmm yyyy")</f>
        <v>Jul 2024</v>
      </c>
      <c r="U479">
        <f>YEAR(support_tickets[[#This Row],[opened_at]])*100+MONTH(support_tickets[[#This Row],[opened_at]])</f>
        <v>202407</v>
      </c>
      <c r="V479" s="29">
        <f>DATE(YEAR(support_tickets[[#This Row],[opened_at]]),MONTH(support_tickets[[#This Row],[opened_at]]),1)</f>
        <v>45474</v>
      </c>
    </row>
    <row r="480" spans="1:22">
      <c r="A480">
        <v>1261819082</v>
      </c>
      <c r="B480">
        <v>260545470</v>
      </c>
      <c r="C480" t="s">
        <v>146</v>
      </c>
      <c r="D480" t="s">
        <v>147</v>
      </c>
      <c r="E480">
        <v>72820592</v>
      </c>
      <c r="G480" s="1">
        <v>45363.397152777776</v>
      </c>
      <c r="I480" t="s">
        <v>56</v>
      </c>
      <c r="J480" t="s">
        <v>30</v>
      </c>
      <c r="K480" t="s">
        <v>26</v>
      </c>
      <c r="L480" t="s">
        <v>60</v>
      </c>
      <c r="M480">
        <v>27</v>
      </c>
      <c r="O480">
        <v>1</v>
      </c>
      <c r="P480" t="s">
        <v>31</v>
      </c>
      <c r="Q480">
        <v>53</v>
      </c>
      <c r="R480" t="s">
        <v>53</v>
      </c>
      <c r="S480">
        <f>IF(support_tickets[[#This Row],[status_cleaned]]="closed",1,0)</f>
        <v>0</v>
      </c>
      <c r="T480" t="str">
        <f>TEXT(support_tickets[[#This Row],[opened_at]],"mmm yyyy")</f>
        <v>Mar 2024</v>
      </c>
      <c r="U480">
        <f>YEAR(support_tickets[[#This Row],[opened_at]])*100+MONTH(support_tickets[[#This Row],[opened_at]])</f>
        <v>202403</v>
      </c>
      <c r="V480" s="29">
        <f>DATE(YEAR(support_tickets[[#This Row],[opened_at]]),MONTH(support_tickets[[#This Row],[opened_at]]),1)</f>
        <v>45352</v>
      </c>
    </row>
    <row r="481" spans="1:22">
      <c r="A481">
        <v>1373690685</v>
      </c>
      <c r="B481">
        <v>352889019</v>
      </c>
      <c r="C481" t="s">
        <v>170</v>
      </c>
      <c r="D481" t="s">
        <v>171</v>
      </c>
      <c r="E481">
        <v>63551839</v>
      </c>
      <c r="F481">
        <v>7167041161</v>
      </c>
      <c r="G481" s="1">
        <v>46085.809293981481</v>
      </c>
      <c r="I481" t="s">
        <v>52</v>
      </c>
      <c r="J481" t="s">
        <v>38</v>
      </c>
      <c r="K481" t="s">
        <v>26</v>
      </c>
      <c r="L481" t="s">
        <v>60</v>
      </c>
      <c r="M481">
        <v>60</v>
      </c>
      <c r="O481">
        <v>1</v>
      </c>
      <c r="P481" t="s">
        <v>40</v>
      </c>
      <c r="Q481">
        <v>67</v>
      </c>
      <c r="R481" t="s">
        <v>53</v>
      </c>
      <c r="S481">
        <f>IF(support_tickets[[#This Row],[status_cleaned]]="closed",1,0)</f>
        <v>0</v>
      </c>
      <c r="T481" t="str">
        <f>TEXT(support_tickets[[#This Row],[opened_at]],"mmm yyyy")</f>
        <v>Mar 2026</v>
      </c>
      <c r="U481">
        <f>YEAR(support_tickets[[#This Row],[opened_at]])*100+MONTH(support_tickets[[#This Row],[opened_at]])</f>
        <v>202603</v>
      </c>
      <c r="V481" s="29">
        <f>DATE(YEAR(support_tickets[[#This Row],[opened_at]]),MONTH(support_tickets[[#This Row],[opened_at]]),1)</f>
        <v>46082</v>
      </c>
    </row>
    <row r="482" spans="1:22">
      <c r="A482">
        <v>1839674756</v>
      </c>
      <c r="B482">
        <v>674615376</v>
      </c>
      <c r="C482" t="s">
        <v>340</v>
      </c>
      <c r="D482" t="s">
        <v>341</v>
      </c>
      <c r="E482">
        <v>77187530</v>
      </c>
      <c r="F482">
        <v>4378559057</v>
      </c>
      <c r="G482" s="1">
        <v>45764.869490740741</v>
      </c>
      <c r="I482" t="s">
        <v>37</v>
      </c>
      <c r="J482" t="s">
        <v>19</v>
      </c>
      <c r="K482" t="s">
        <v>26</v>
      </c>
      <c r="L482" t="s">
        <v>60</v>
      </c>
      <c r="M482">
        <v>83</v>
      </c>
      <c r="O482">
        <v>1</v>
      </c>
      <c r="P482" t="s">
        <v>22</v>
      </c>
      <c r="Q482">
        <v>165</v>
      </c>
      <c r="R482" t="s">
        <v>53</v>
      </c>
      <c r="S482">
        <f>IF(support_tickets[[#This Row],[status_cleaned]]="closed",1,0)</f>
        <v>0</v>
      </c>
      <c r="T482" t="str">
        <f>TEXT(support_tickets[[#This Row],[opened_at]],"mmm yyyy")</f>
        <v>Apr 2025</v>
      </c>
      <c r="U482">
        <f>YEAR(support_tickets[[#This Row],[opened_at]])*100+MONTH(support_tickets[[#This Row],[opened_at]])</f>
        <v>202504</v>
      </c>
      <c r="V482" s="29">
        <f>DATE(YEAR(support_tickets[[#This Row],[opened_at]]),MONTH(support_tickets[[#This Row],[opened_at]]),1)</f>
        <v>45748</v>
      </c>
    </row>
    <row r="483" spans="1:22">
      <c r="A483">
        <v>2853798776</v>
      </c>
      <c r="B483">
        <v>285388355</v>
      </c>
      <c r="C483" t="s">
        <v>586</v>
      </c>
      <c r="D483" t="s">
        <v>587</v>
      </c>
      <c r="E483">
        <v>98550256</v>
      </c>
      <c r="F483">
        <v>7346211863</v>
      </c>
      <c r="G483" s="1">
        <v>45707.045856481483</v>
      </c>
      <c r="H483" s="1">
        <v>45707.743773148148</v>
      </c>
      <c r="I483" t="s">
        <v>56</v>
      </c>
      <c r="J483" t="s">
        <v>59</v>
      </c>
      <c r="K483" t="s">
        <v>26</v>
      </c>
      <c r="L483" t="s">
        <v>60</v>
      </c>
      <c r="M483">
        <v>88</v>
      </c>
      <c r="N483">
        <v>1005</v>
      </c>
      <c r="O483">
        <v>1</v>
      </c>
      <c r="P483" t="s">
        <v>61</v>
      </c>
      <c r="Q483">
        <v>333</v>
      </c>
      <c r="R483" t="s">
        <v>53</v>
      </c>
      <c r="S483">
        <f>IF(support_tickets[[#This Row],[status_cleaned]]="closed",1,0)</f>
        <v>0</v>
      </c>
      <c r="T483" t="str">
        <f>TEXT(support_tickets[[#This Row],[opened_at]],"mmm yyyy")</f>
        <v>Feb 2025</v>
      </c>
      <c r="U483">
        <f>YEAR(support_tickets[[#This Row],[opened_at]])*100+MONTH(support_tickets[[#This Row],[opened_at]])</f>
        <v>202502</v>
      </c>
      <c r="V483" s="29">
        <f>DATE(YEAR(support_tickets[[#This Row],[opened_at]]),MONTH(support_tickets[[#This Row],[opened_at]]),1)</f>
        <v>45689</v>
      </c>
    </row>
    <row r="484" spans="1:22">
      <c r="A484">
        <v>2939053184</v>
      </c>
      <c r="B484">
        <v>494009507</v>
      </c>
      <c r="C484" t="s">
        <v>610</v>
      </c>
      <c r="D484" t="s">
        <v>611</v>
      </c>
      <c r="E484">
        <v>60806024</v>
      </c>
      <c r="F484">
        <v>9213654445</v>
      </c>
      <c r="G484" s="1">
        <v>45702.485324074078</v>
      </c>
      <c r="I484" t="s">
        <v>37</v>
      </c>
      <c r="J484" t="s">
        <v>19</v>
      </c>
      <c r="K484" t="s">
        <v>26</v>
      </c>
      <c r="L484" t="s">
        <v>60</v>
      </c>
      <c r="M484">
        <v>31</v>
      </c>
      <c r="O484">
        <v>1</v>
      </c>
      <c r="P484" t="s">
        <v>22</v>
      </c>
      <c r="Q484">
        <v>346</v>
      </c>
      <c r="R484" t="s">
        <v>53</v>
      </c>
      <c r="S484">
        <f>IF(support_tickets[[#This Row],[status_cleaned]]="closed",1,0)</f>
        <v>0</v>
      </c>
      <c r="T484" t="str">
        <f>TEXT(support_tickets[[#This Row],[opened_at]],"mmm yyyy")</f>
        <v>Feb 2025</v>
      </c>
      <c r="U484">
        <f>YEAR(support_tickets[[#This Row],[opened_at]])*100+MONTH(support_tickets[[#This Row],[opened_at]])</f>
        <v>202502</v>
      </c>
      <c r="V484" s="29">
        <f>DATE(YEAR(support_tickets[[#This Row],[opened_at]]),MONTH(support_tickets[[#This Row],[opened_at]]),1)</f>
        <v>45689</v>
      </c>
    </row>
    <row r="485" spans="1:22">
      <c r="A485">
        <v>2962956522</v>
      </c>
      <c r="B485">
        <v>353398109</v>
      </c>
      <c r="C485" t="s">
        <v>618</v>
      </c>
      <c r="D485" t="s">
        <v>619</v>
      </c>
      <c r="E485">
        <v>91734598</v>
      </c>
      <c r="F485">
        <v>4991586232</v>
      </c>
      <c r="G485" s="1">
        <v>45491.73238425926</v>
      </c>
      <c r="I485" t="s">
        <v>18</v>
      </c>
      <c r="J485" t="s">
        <v>19</v>
      </c>
      <c r="K485" t="s">
        <v>26</v>
      </c>
      <c r="L485" t="s">
        <v>60</v>
      </c>
      <c r="M485">
        <v>28</v>
      </c>
      <c r="O485">
        <v>1</v>
      </c>
      <c r="P485" t="s">
        <v>22</v>
      </c>
      <c r="Q485">
        <v>351</v>
      </c>
      <c r="R485" t="s">
        <v>53</v>
      </c>
      <c r="S485">
        <f>IF(support_tickets[[#This Row],[status_cleaned]]="closed",1,0)</f>
        <v>0</v>
      </c>
      <c r="T485" t="str">
        <f>TEXT(support_tickets[[#This Row],[opened_at]],"mmm yyyy")</f>
        <v>Jul 2024</v>
      </c>
      <c r="U485">
        <f>YEAR(support_tickets[[#This Row],[opened_at]])*100+MONTH(support_tickets[[#This Row],[opened_at]])</f>
        <v>202407</v>
      </c>
      <c r="V485" s="29">
        <f>DATE(YEAR(support_tickets[[#This Row],[opened_at]]),MONTH(support_tickets[[#This Row],[opened_at]]),1)</f>
        <v>45474</v>
      </c>
    </row>
    <row r="486" spans="1:22">
      <c r="A486">
        <v>3063480704</v>
      </c>
      <c r="B486">
        <v>902874167</v>
      </c>
      <c r="C486" t="s">
        <v>246</v>
      </c>
      <c r="D486" t="s">
        <v>247</v>
      </c>
      <c r="E486">
        <v>17774584</v>
      </c>
      <c r="G486" s="1">
        <v>45832.747453703705</v>
      </c>
      <c r="I486" t="s">
        <v>52</v>
      </c>
      <c r="J486" t="s">
        <v>30</v>
      </c>
      <c r="K486" t="s">
        <v>26</v>
      </c>
      <c r="L486" t="s">
        <v>60</v>
      </c>
      <c r="M486">
        <v>30</v>
      </c>
      <c r="O486">
        <v>1</v>
      </c>
      <c r="P486" t="s">
        <v>31</v>
      </c>
      <c r="Q486">
        <v>377</v>
      </c>
      <c r="R486" t="s">
        <v>53</v>
      </c>
      <c r="S486">
        <f>IF(support_tickets[[#This Row],[status_cleaned]]="closed",1,0)</f>
        <v>0</v>
      </c>
      <c r="T486" t="str">
        <f>TEXT(support_tickets[[#This Row],[opened_at]],"mmm yyyy")</f>
        <v>Jun 2025</v>
      </c>
      <c r="U486">
        <f>YEAR(support_tickets[[#This Row],[opened_at]])*100+MONTH(support_tickets[[#This Row],[opened_at]])</f>
        <v>202506</v>
      </c>
      <c r="V486" s="29">
        <f>DATE(YEAR(support_tickets[[#This Row],[opened_at]]),MONTH(support_tickets[[#This Row],[opened_at]]),1)</f>
        <v>45809</v>
      </c>
    </row>
    <row r="487" spans="1:22">
      <c r="A487">
        <v>3555599455</v>
      </c>
      <c r="B487">
        <v>869801588</v>
      </c>
      <c r="C487" t="s">
        <v>554</v>
      </c>
      <c r="D487" t="s">
        <v>555</v>
      </c>
      <c r="E487">
        <v>51837852</v>
      </c>
      <c r="F487">
        <v>9368300034</v>
      </c>
      <c r="G487" s="1">
        <v>45531.595439814817</v>
      </c>
      <c r="I487" t="s">
        <v>43</v>
      </c>
      <c r="J487" t="s">
        <v>38</v>
      </c>
      <c r="K487" t="s">
        <v>26</v>
      </c>
      <c r="L487" t="s">
        <v>60</v>
      </c>
      <c r="M487">
        <v>24</v>
      </c>
      <c r="O487">
        <v>1</v>
      </c>
      <c r="P487" t="s">
        <v>40</v>
      </c>
      <c r="Q487">
        <v>458</v>
      </c>
      <c r="R487" t="s">
        <v>53</v>
      </c>
      <c r="S487">
        <f>IF(support_tickets[[#This Row],[status_cleaned]]="closed",1,0)</f>
        <v>0</v>
      </c>
      <c r="T487" t="str">
        <f>TEXT(support_tickets[[#This Row],[opened_at]],"mmm yyyy")</f>
        <v>Aug 2024</v>
      </c>
      <c r="U487">
        <f>YEAR(support_tickets[[#This Row],[opened_at]])*100+MONTH(support_tickets[[#This Row],[opened_at]])</f>
        <v>202408</v>
      </c>
      <c r="V487" s="29">
        <f>DATE(YEAR(support_tickets[[#This Row],[opened_at]]),MONTH(support_tickets[[#This Row],[opened_at]]),1)</f>
        <v>45505</v>
      </c>
    </row>
    <row r="488" spans="1:22">
      <c r="A488">
        <v>5065207415</v>
      </c>
      <c r="B488">
        <v>435775088</v>
      </c>
      <c r="C488" t="s">
        <v>1052</v>
      </c>
      <c r="D488" t="s">
        <v>1053</v>
      </c>
      <c r="E488">
        <v>90801586</v>
      </c>
      <c r="G488" s="1">
        <v>45406.744837962964</v>
      </c>
      <c r="I488" t="s">
        <v>18</v>
      </c>
      <c r="J488" t="s">
        <v>59</v>
      </c>
      <c r="K488" t="s">
        <v>26</v>
      </c>
      <c r="L488" t="s">
        <v>60</v>
      </c>
      <c r="M488">
        <v>13</v>
      </c>
      <c r="O488">
        <v>1</v>
      </c>
      <c r="P488" t="s">
        <v>61</v>
      </c>
      <c r="Q488">
        <v>705</v>
      </c>
      <c r="R488" t="s">
        <v>53</v>
      </c>
      <c r="S488">
        <f>IF(support_tickets[[#This Row],[status_cleaned]]="closed",1,0)</f>
        <v>0</v>
      </c>
      <c r="T488" t="str">
        <f>TEXT(support_tickets[[#This Row],[opened_at]],"mmm yyyy")</f>
        <v>Apr 2024</v>
      </c>
      <c r="U488">
        <f>YEAR(support_tickets[[#This Row],[opened_at]])*100+MONTH(support_tickets[[#This Row],[opened_at]])</f>
        <v>202404</v>
      </c>
      <c r="V488" s="29">
        <f>DATE(YEAR(support_tickets[[#This Row],[opened_at]]),MONTH(support_tickets[[#This Row],[opened_at]]),1)</f>
        <v>45383</v>
      </c>
    </row>
    <row r="489" spans="1:22">
      <c r="A489">
        <v>5158155350</v>
      </c>
      <c r="B489">
        <v>871336275</v>
      </c>
      <c r="C489" t="s">
        <v>1028</v>
      </c>
      <c r="D489" t="s">
        <v>1029</v>
      </c>
      <c r="E489">
        <v>21668732</v>
      </c>
      <c r="F489">
        <v>1912575226</v>
      </c>
      <c r="G489" s="1">
        <v>45976.344178240739</v>
      </c>
      <c r="I489" t="s">
        <v>56</v>
      </c>
      <c r="J489" t="s">
        <v>86</v>
      </c>
      <c r="K489" t="s">
        <v>26</v>
      </c>
      <c r="L489" t="s">
        <v>60</v>
      </c>
      <c r="M489">
        <v>11</v>
      </c>
      <c r="O489">
        <v>1</v>
      </c>
      <c r="P489" t="s">
        <v>87</v>
      </c>
      <c r="Q489">
        <v>721</v>
      </c>
      <c r="R489" t="s">
        <v>53</v>
      </c>
      <c r="S489">
        <f>IF(support_tickets[[#This Row],[status_cleaned]]="closed",1,0)</f>
        <v>0</v>
      </c>
      <c r="T489" t="str">
        <f>TEXT(support_tickets[[#This Row],[opened_at]],"mmm yyyy")</f>
        <v>Nov 2025</v>
      </c>
      <c r="U489">
        <f>YEAR(support_tickets[[#This Row],[opened_at]])*100+MONTH(support_tickets[[#This Row],[opened_at]])</f>
        <v>202511</v>
      </c>
      <c r="V489" s="29">
        <f>DATE(YEAR(support_tickets[[#This Row],[opened_at]]),MONTH(support_tickets[[#This Row],[opened_at]]),1)</f>
        <v>45962</v>
      </c>
    </row>
    <row r="490" spans="1:22">
      <c r="A490">
        <v>5179636703</v>
      </c>
      <c r="B490">
        <v>230833665</v>
      </c>
      <c r="C490" t="s">
        <v>1022</v>
      </c>
      <c r="D490" t="s">
        <v>1023</v>
      </c>
      <c r="E490">
        <v>16150444</v>
      </c>
      <c r="F490">
        <v>9948318521</v>
      </c>
      <c r="G490" s="1">
        <v>45611.424942129626</v>
      </c>
      <c r="I490" t="s">
        <v>18</v>
      </c>
      <c r="J490" t="s">
        <v>86</v>
      </c>
      <c r="K490" t="s">
        <v>26</v>
      </c>
      <c r="L490" t="s">
        <v>60</v>
      </c>
      <c r="M490">
        <v>40</v>
      </c>
      <c r="O490">
        <v>1</v>
      </c>
      <c r="P490" t="s">
        <v>87</v>
      </c>
      <c r="Q490">
        <v>727</v>
      </c>
      <c r="R490" t="s">
        <v>53</v>
      </c>
      <c r="S490">
        <f>IF(support_tickets[[#This Row],[status_cleaned]]="closed",1,0)</f>
        <v>0</v>
      </c>
      <c r="T490" t="str">
        <f>TEXT(support_tickets[[#This Row],[opened_at]],"mmm yyyy")</f>
        <v>Nov 2024</v>
      </c>
      <c r="U490">
        <f>YEAR(support_tickets[[#This Row],[opened_at]])*100+MONTH(support_tickets[[#This Row],[opened_at]])</f>
        <v>202411</v>
      </c>
      <c r="V490" s="29">
        <f>DATE(YEAR(support_tickets[[#This Row],[opened_at]]),MONTH(support_tickets[[#This Row],[opened_at]]),1)</f>
        <v>45597</v>
      </c>
    </row>
    <row r="491" spans="1:22">
      <c r="A491">
        <v>5373507418</v>
      </c>
      <c r="B491">
        <v>769200551</v>
      </c>
      <c r="C491" t="s">
        <v>1110</v>
      </c>
      <c r="D491" t="s">
        <v>1111</v>
      </c>
      <c r="E491">
        <v>66661351</v>
      </c>
      <c r="G491" s="1">
        <v>45946.937488425923</v>
      </c>
      <c r="I491" t="s">
        <v>3</v>
      </c>
      <c r="J491" t="s">
        <v>25</v>
      </c>
      <c r="K491" t="s">
        <v>26</v>
      </c>
      <c r="L491" t="s">
        <v>60</v>
      </c>
      <c r="M491">
        <v>35</v>
      </c>
      <c r="O491">
        <v>1</v>
      </c>
      <c r="P491" t="s">
        <v>27</v>
      </c>
      <c r="Q491">
        <v>773</v>
      </c>
      <c r="R491" t="s">
        <v>53</v>
      </c>
      <c r="S491">
        <f>IF(support_tickets[[#This Row],[status_cleaned]]="closed",1,0)</f>
        <v>0</v>
      </c>
      <c r="T491" t="str">
        <f>TEXT(support_tickets[[#This Row],[opened_at]],"mmm yyyy")</f>
        <v>Oct 2025</v>
      </c>
      <c r="U491">
        <f>YEAR(support_tickets[[#This Row],[opened_at]])*100+MONTH(support_tickets[[#This Row],[opened_at]])</f>
        <v>202510</v>
      </c>
      <c r="V491" s="29">
        <f>DATE(YEAR(support_tickets[[#This Row],[opened_at]]),MONTH(support_tickets[[#This Row],[opened_at]]),1)</f>
        <v>45931</v>
      </c>
    </row>
    <row r="492" spans="1:22">
      <c r="A492">
        <v>5421237457</v>
      </c>
      <c r="B492">
        <v>341096660</v>
      </c>
      <c r="C492" t="s">
        <v>1048</v>
      </c>
      <c r="D492" t="s">
        <v>1049</v>
      </c>
      <c r="E492">
        <v>57683626</v>
      </c>
      <c r="G492" s="1">
        <v>45603.474178240744</v>
      </c>
      <c r="I492" t="s">
        <v>18</v>
      </c>
      <c r="J492" t="s">
        <v>38</v>
      </c>
      <c r="K492" t="s">
        <v>26</v>
      </c>
      <c r="L492" t="s">
        <v>60</v>
      </c>
      <c r="M492">
        <v>2</v>
      </c>
      <c r="O492">
        <v>1</v>
      </c>
      <c r="P492" t="s">
        <v>40</v>
      </c>
      <c r="Q492">
        <v>783</v>
      </c>
      <c r="R492" t="s">
        <v>53</v>
      </c>
      <c r="S492">
        <f>IF(support_tickets[[#This Row],[status_cleaned]]="closed",1,0)</f>
        <v>0</v>
      </c>
      <c r="T492" t="str">
        <f>TEXT(support_tickets[[#This Row],[opened_at]],"mmm yyyy")</f>
        <v>Nov 2024</v>
      </c>
      <c r="U492">
        <f>YEAR(support_tickets[[#This Row],[opened_at]])*100+MONTH(support_tickets[[#This Row],[opened_at]])</f>
        <v>202411</v>
      </c>
      <c r="V492" s="29">
        <f>DATE(YEAR(support_tickets[[#This Row],[opened_at]]),MONTH(support_tickets[[#This Row],[opened_at]]),1)</f>
        <v>45597</v>
      </c>
    </row>
    <row r="493" spans="1:22">
      <c r="A493">
        <v>5495872589</v>
      </c>
      <c r="B493">
        <v>514642708</v>
      </c>
      <c r="C493" t="s">
        <v>1136</v>
      </c>
      <c r="D493" t="s">
        <v>1137</v>
      </c>
      <c r="E493">
        <v>55657579</v>
      </c>
      <c r="G493" s="1">
        <v>45466.425787037035</v>
      </c>
      <c r="I493" t="s">
        <v>18</v>
      </c>
      <c r="J493" t="s">
        <v>38</v>
      </c>
      <c r="K493" t="s">
        <v>26</v>
      </c>
      <c r="L493" t="s">
        <v>60</v>
      </c>
      <c r="M493">
        <v>58</v>
      </c>
      <c r="O493">
        <v>1</v>
      </c>
      <c r="P493" t="s">
        <v>40</v>
      </c>
      <c r="Q493">
        <v>803</v>
      </c>
      <c r="R493" t="s">
        <v>53</v>
      </c>
      <c r="S493">
        <f>IF(support_tickets[[#This Row],[status_cleaned]]="closed",1,0)</f>
        <v>0</v>
      </c>
      <c r="T493" t="str">
        <f>TEXT(support_tickets[[#This Row],[opened_at]],"mmm yyyy")</f>
        <v>Jun 2024</v>
      </c>
      <c r="U493">
        <f>YEAR(support_tickets[[#This Row],[opened_at]])*100+MONTH(support_tickets[[#This Row],[opened_at]])</f>
        <v>202406</v>
      </c>
      <c r="V493" s="29">
        <f>DATE(YEAR(support_tickets[[#This Row],[opened_at]]),MONTH(support_tickets[[#This Row],[opened_at]]),1)</f>
        <v>45444</v>
      </c>
    </row>
    <row r="494" spans="1:22">
      <c r="A494">
        <v>5546169804</v>
      </c>
      <c r="B494">
        <v>470838810</v>
      </c>
      <c r="C494" t="s">
        <v>364</v>
      </c>
      <c r="D494" t="s">
        <v>365</v>
      </c>
      <c r="E494">
        <v>95758349</v>
      </c>
      <c r="G494" s="1">
        <v>45312.726851851854</v>
      </c>
      <c r="H494" s="1">
        <v>45313.551157407404</v>
      </c>
      <c r="I494" t="s">
        <v>43</v>
      </c>
      <c r="J494" t="s">
        <v>38</v>
      </c>
      <c r="K494" t="s">
        <v>26</v>
      </c>
      <c r="L494" t="s">
        <v>60</v>
      </c>
      <c r="M494">
        <v>63</v>
      </c>
      <c r="N494">
        <v>1187</v>
      </c>
      <c r="O494">
        <v>1</v>
      </c>
      <c r="P494" t="s">
        <v>40</v>
      </c>
      <c r="Q494">
        <v>810</v>
      </c>
      <c r="R494" t="s">
        <v>53</v>
      </c>
      <c r="S494">
        <f>IF(support_tickets[[#This Row],[status_cleaned]]="closed",1,0)</f>
        <v>0</v>
      </c>
      <c r="T494" t="str">
        <f>TEXT(support_tickets[[#This Row],[opened_at]],"mmm yyyy")</f>
        <v>Jan 2024</v>
      </c>
      <c r="U494">
        <f>YEAR(support_tickets[[#This Row],[opened_at]])*100+MONTH(support_tickets[[#This Row],[opened_at]])</f>
        <v>202401</v>
      </c>
      <c r="V494" s="29">
        <f>DATE(YEAR(support_tickets[[#This Row],[opened_at]]),MONTH(support_tickets[[#This Row],[opened_at]]),1)</f>
        <v>45292</v>
      </c>
    </row>
    <row r="495" spans="1:22">
      <c r="A495">
        <v>6949721083</v>
      </c>
      <c r="B495">
        <v>852178601</v>
      </c>
      <c r="C495" t="s">
        <v>596</v>
      </c>
      <c r="D495" t="s">
        <v>597</v>
      </c>
      <c r="E495">
        <v>53524491</v>
      </c>
      <c r="F495">
        <v>4078487866</v>
      </c>
      <c r="G495" s="1">
        <v>45582.31962962963</v>
      </c>
      <c r="I495" t="s">
        <v>43</v>
      </c>
      <c r="J495" t="s">
        <v>59</v>
      </c>
      <c r="K495" t="s">
        <v>26</v>
      </c>
      <c r="L495" t="s">
        <v>60</v>
      </c>
      <c r="M495">
        <v>44</v>
      </c>
      <c r="O495">
        <v>1</v>
      </c>
      <c r="P495" t="s">
        <v>61</v>
      </c>
      <c r="Q495">
        <v>1021</v>
      </c>
      <c r="R495" t="s">
        <v>53</v>
      </c>
      <c r="S495">
        <f>IF(support_tickets[[#This Row],[status_cleaned]]="closed",1,0)</f>
        <v>0</v>
      </c>
      <c r="T495" t="str">
        <f>TEXT(support_tickets[[#This Row],[opened_at]],"mmm yyyy")</f>
        <v>Oct 2024</v>
      </c>
      <c r="U495">
        <f>YEAR(support_tickets[[#This Row],[opened_at]])*100+MONTH(support_tickets[[#This Row],[opened_at]])</f>
        <v>202410</v>
      </c>
      <c r="V495" s="29">
        <f>DATE(YEAR(support_tickets[[#This Row],[opened_at]]),MONTH(support_tickets[[#This Row],[opened_at]]),1)</f>
        <v>45566</v>
      </c>
    </row>
    <row r="496" spans="1:22">
      <c r="A496">
        <v>8505081222</v>
      </c>
      <c r="B496">
        <v>953514394</v>
      </c>
      <c r="C496" t="s">
        <v>880</v>
      </c>
      <c r="D496" t="s">
        <v>881</v>
      </c>
      <c r="E496">
        <v>47308985</v>
      </c>
      <c r="G496" s="1">
        <v>46078.611192129632</v>
      </c>
      <c r="H496" s="1">
        <v>46079.227164351854</v>
      </c>
      <c r="I496" t="s">
        <v>43</v>
      </c>
      <c r="J496" t="s">
        <v>19</v>
      </c>
      <c r="K496" t="s">
        <v>26</v>
      </c>
      <c r="L496" t="s">
        <v>60</v>
      </c>
      <c r="M496">
        <v>31</v>
      </c>
      <c r="N496">
        <v>887</v>
      </c>
      <c r="O496">
        <v>1</v>
      </c>
      <c r="P496" t="s">
        <v>22</v>
      </c>
      <c r="Q496">
        <v>1255</v>
      </c>
      <c r="R496" t="s">
        <v>53</v>
      </c>
      <c r="S496">
        <f>IF(support_tickets[[#This Row],[status_cleaned]]="closed",1,0)</f>
        <v>0</v>
      </c>
      <c r="T496" t="str">
        <f>TEXT(support_tickets[[#This Row],[opened_at]],"mmm yyyy")</f>
        <v>Feb 2026</v>
      </c>
      <c r="U496">
        <f>YEAR(support_tickets[[#This Row],[opened_at]])*100+MONTH(support_tickets[[#This Row],[opened_at]])</f>
        <v>202602</v>
      </c>
      <c r="V496" s="29">
        <f>DATE(YEAR(support_tickets[[#This Row],[opened_at]]),MONTH(support_tickets[[#This Row],[opened_at]]),1)</f>
        <v>46054</v>
      </c>
    </row>
    <row r="497" spans="1:22">
      <c r="A497">
        <v>8683503318</v>
      </c>
      <c r="B497">
        <v>763606238</v>
      </c>
      <c r="C497" t="s">
        <v>1471</v>
      </c>
      <c r="D497" t="s">
        <v>1472</v>
      </c>
      <c r="E497">
        <v>38427073</v>
      </c>
      <c r="F497">
        <v>3623404941</v>
      </c>
      <c r="G497" s="1">
        <v>45396.624016203707</v>
      </c>
      <c r="H497" s="1">
        <v>45397.084432870368</v>
      </c>
      <c r="I497" t="s">
        <v>52</v>
      </c>
      <c r="J497" t="s">
        <v>30</v>
      </c>
      <c r="K497" t="s">
        <v>26</v>
      </c>
      <c r="L497" t="s">
        <v>60</v>
      </c>
      <c r="M497">
        <v>63</v>
      </c>
      <c r="N497">
        <v>663</v>
      </c>
      <c r="O497">
        <v>1</v>
      </c>
      <c r="P497" t="s">
        <v>31</v>
      </c>
      <c r="Q497">
        <v>1295</v>
      </c>
      <c r="R497" t="s">
        <v>53</v>
      </c>
      <c r="S497">
        <f>IF(support_tickets[[#This Row],[status_cleaned]]="closed",1,0)</f>
        <v>0</v>
      </c>
      <c r="T497" t="str">
        <f>TEXT(support_tickets[[#This Row],[opened_at]],"mmm yyyy")</f>
        <v>Apr 2024</v>
      </c>
      <c r="U497">
        <f>YEAR(support_tickets[[#This Row],[opened_at]])*100+MONTH(support_tickets[[#This Row],[opened_at]])</f>
        <v>202404</v>
      </c>
      <c r="V497" s="29">
        <f>DATE(YEAR(support_tickets[[#This Row],[opened_at]]),MONTH(support_tickets[[#This Row],[opened_at]]),1)</f>
        <v>45383</v>
      </c>
    </row>
    <row r="498" spans="1:22">
      <c r="A498">
        <v>9480639850</v>
      </c>
      <c r="B498">
        <v>933409017</v>
      </c>
      <c r="C498" t="s">
        <v>1286</v>
      </c>
      <c r="D498" t="s">
        <v>1287</v>
      </c>
      <c r="E498">
        <v>45551614</v>
      </c>
      <c r="G498" s="1">
        <v>45549.297881944447</v>
      </c>
      <c r="I498" t="s">
        <v>46</v>
      </c>
      <c r="J498" t="s">
        <v>19</v>
      </c>
      <c r="K498" t="s">
        <v>26</v>
      </c>
      <c r="L498" t="s">
        <v>60</v>
      </c>
      <c r="M498">
        <v>22</v>
      </c>
      <c r="O498">
        <v>1</v>
      </c>
      <c r="P498" t="s">
        <v>22</v>
      </c>
      <c r="Q498">
        <v>1429</v>
      </c>
      <c r="R498" t="s">
        <v>53</v>
      </c>
      <c r="S498">
        <f>IF(support_tickets[[#This Row],[status_cleaned]]="closed",1,0)</f>
        <v>0</v>
      </c>
      <c r="T498" t="str">
        <f>TEXT(support_tickets[[#This Row],[opened_at]],"mmm yyyy")</f>
        <v>Sep 2024</v>
      </c>
      <c r="U498">
        <f>YEAR(support_tickets[[#This Row],[opened_at]])*100+MONTH(support_tickets[[#This Row],[opened_at]])</f>
        <v>202409</v>
      </c>
      <c r="V498" s="29">
        <f>DATE(YEAR(support_tickets[[#This Row],[opened_at]]),MONTH(support_tickets[[#This Row],[opened_at]]),1)</f>
        <v>45536</v>
      </c>
    </row>
    <row r="499" spans="1:22">
      <c r="A499">
        <v>1136181174</v>
      </c>
      <c r="B499">
        <v>572163615</v>
      </c>
      <c r="C499" t="s">
        <v>94</v>
      </c>
      <c r="D499" t="s">
        <v>95</v>
      </c>
      <c r="E499">
        <v>70291817</v>
      </c>
      <c r="G499" s="1">
        <v>45330.094768518517</v>
      </c>
      <c r="I499" t="s">
        <v>46</v>
      </c>
      <c r="J499" t="s">
        <v>25</v>
      </c>
      <c r="K499" t="s">
        <v>26</v>
      </c>
      <c r="L499" t="s">
        <v>34</v>
      </c>
      <c r="M499">
        <v>27</v>
      </c>
      <c r="O499">
        <v>0</v>
      </c>
      <c r="P499" t="s">
        <v>27</v>
      </c>
      <c r="Q499">
        <v>26</v>
      </c>
      <c r="R499" t="s">
        <v>53</v>
      </c>
      <c r="S499">
        <f>IF(support_tickets[[#This Row],[status_cleaned]]="closed",1,0)</f>
        <v>0</v>
      </c>
      <c r="T499" t="str">
        <f>TEXT(support_tickets[[#This Row],[opened_at]],"mmm yyyy")</f>
        <v>Feb 2024</v>
      </c>
      <c r="U499">
        <f>YEAR(support_tickets[[#This Row],[opened_at]])*100+MONTH(support_tickets[[#This Row],[opened_at]])</f>
        <v>202402</v>
      </c>
      <c r="V499" s="29">
        <f>DATE(YEAR(support_tickets[[#This Row],[opened_at]]),MONTH(support_tickets[[#This Row],[opened_at]]),1)</f>
        <v>45323</v>
      </c>
    </row>
    <row r="500" spans="1:22">
      <c r="A500">
        <v>1242049785</v>
      </c>
      <c r="B500">
        <v>463512350</v>
      </c>
      <c r="C500" t="s">
        <v>134</v>
      </c>
      <c r="D500" t="s">
        <v>135</v>
      </c>
      <c r="E500">
        <v>38317637</v>
      </c>
      <c r="G500" s="1">
        <v>45814.170474537037</v>
      </c>
      <c r="I500" t="s">
        <v>3</v>
      </c>
      <c r="J500" t="s">
        <v>19</v>
      </c>
      <c r="K500" t="s">
        <v>26</v>
      </c>
      <c r="L500" t="s">
        <v>34</v>
      </c>
      <c r="M500">
        <v>14</v>
      </c>
      <c r="O500">
        <v>0</v>
      </c>
      <c r="P500" t="s">
        <v>22</v>
      </c>
      <c r="Q500">
        <v>46</v>
      </c>
      <c r="R500" t="s">
        <v>53</v>
      </c>
      <c r="S500">
        <f>IF(support_tickets[[#This Row],[status_cleaned]]="closed",1,0)</f>
        <v>0</v>
      </c>
      <c r="T500" t="str">
        <f>TEXT(support_tickets[[#This Row],[opened_at]],"mmm yyyy")</f>
        <v>Jun 2025</v>
      </c>
      <c r="U500">
        <f>YEAR(support_tickets[[#This Row],[opened_at]])*100+MONTH(support_tickets[[#This Row],[opened_at]])</f>
        <v>202506</v>
      </c>
      <c r="V500" s="29">
        <f>DATE(YEAR(support_tickets[[#This Row],[opened_at]]),MONTH(support_tickets[[#This Row],[opened_at]]),1)</f>
        <v>45809</v>
      </c>
    </row>
    <row r="501" spans="1:22">
      <c r="A501">
        <v>1261415673</v>
      </c>
      <c r="B501">
        <v>326353775</v>
      </c>
      <c r="C501" t="s">
        <v>144</v>
      </c>
      <c r="D501" t="s">
        <v>145</v>
      </c>
      <c r="E501">
        <v>61642594</v>
      </c>
      <c r="G501" s="1">
        <v>45527.106273148151</v>
      </c>
      <c r="H501" s="1">
        <v>45528.212523148148</v>
      </c>
      <c r="I501" t="s">
        <v>3</v>
      </c>
      <c r="J501" t="s">
        <v>19</v>
      </c>
      <c r="K501" t="s">
        <v>26</v>
      </c>
      <c r="L501" t="s">
        <v>34</v>
      </c>
      <c r="M501">
        <v>81</v>
      </c>
      <c r="N501">
        <v>1593</v>
      </c>
      <c r="O501">
        <v>0</v>
      </c>
      <c r="P501" t="s">
        <v>22</v>
      </c>
      <c r="Q501">
        <v>52</v>
      </c>
      <c r="R501" t="s">
        <v>53</v>
      </c>
      <c r="S501">
        <f>IF(support_tickets[[#This Row],[status_cleaned]]="closed",1,0)</f>
        <v>0</v>
      </c>
      <c r="T501" t="str">
        <f>TEXT(support_tickets[[#This Row],[opened_at]],"mmm yyyy")</f>
        <v>Aug 2024</v>
      </c>
      <c r="U501">
        <f>YEAR(support_tickets[[#This Row],[opened_at]])*100+MONTH(support_tickets[[#This Row],[opened_at]])</f>
        <v>202408</v>
      </c>
      <c r="V501" s="29">
        <f>DATE(YEAR(support_tickets[[#This Row],[opened_at]]),MONTH(support_tickets[[#This Row],[opened_at]]),1)</f>
        <v>45505</v>
      </c>
    </row>
    <row r="502" spans="1:22">
      <c r="A502">
        <v>1574757802</v>
      </c>
      <c r="B502">
        <v>127824235</v>
      </c>
      <c r="C502" t="s">
        <v>224</v>
      </c>
      <c r="D502" t="s">
        <v>225</v>
      </c>
      <c r="E502">
        <v>96028436</v>
      </c>
      <c r="F502">
        <v>9301891589</v>
      </c>
      <c r="G502" s="1">
        <v>45877.584560185183</v>
      </c>
      <c r="I502" t="s">
        <v>18</v>
      </c>
      <c r="J502" t="s">
        <v>19</v>
      </c>
      <c r="K502" t="s">
        <v>26</v>
      </c>
      <c r="L502" t="s">
        <v>34</v>
      </c>
      <c r="M502">
        <v>33</v>
      </c>
      <c r="O502">
        <v>0</v>
      </c>
      <c r="P502" t="s">
        <v>22</v>
      </c>
      <c r="Q502">
        <v>97</v>
      </c>
      <c r="R502" t="s">
        <v>53</v>
      </c>
      <c r="S502">
        <f>IF(support_tickets[[#This Row],[status_cleaned]]="closed",1,0)</f>
        <v>0</v>
      </c>
      <c r="T502" t="str">
        <f>TEXT(support_tickets[[#This Row],[opened_at]],"mmm yyyy")</f>
        <v>Aug 2025</v>
      </c>
      <c r="U502">
        <f>YEAR(support_tickets[[#This Row],[opened_at]])*100+MONTH(support_tickets[[#This Row],[opened_at]])</f>
        <v>202508</v>
      </c>
      <c r="V502" s="29">
        <f>DATE(YEAR(support_tickets[[#This Row],[opened_at]]),MONTH(support_tickets[[#This Row],[opened_at]]),1)</f>
        <v>45870</v>
      </c>
    </row>
    <row r="503" spans="1:22">
      <c r="A503">
        <v>1734015716</v>
      </c>
      <c r="B503">
        <v>946237594</v>
      </c>
      <c r="C503" t="s">
        <v>288</v>
      </c>
      <c r="D503" t="s">
        <v>289</v>
      </c>
      <c r="E503">
        <v>31931511</v>
      </c>
      <c r="F503">
        <v>7482301234</v>
      </c>
      <c r="G503" s="1">
        <v>45476.058958333335</v>
      </c>
      <c r="I503" t="s">
        <v>37</v>
      </c>
      <c r="J503" t="s">
        <v>19</v>
      </c>
      <c r="K503" t="s">
        <v>26</v>
      </c>
      <c r="L503" t="s">
        <v>34</v>
      </c>
      <c r="M503">
        <v>55</v>
      </c>
      <c r="O503">
        <v>0</v>
      </c>
      <c r="P503" t="s">
        <v>22</v>
      </c>
      <c r="Q503">
        <v>133</v>
      </c>
      <c r="R503" t="s">
        <v>53</v>
      </c>
      <c r="S503">
        <f>IF(support_tickets[[#This Row],[status_cleaned]]="closed",1,0)</f>
        <v>0</v>
      </c>
      <c r="T503" t="str">
        <f>TEXT(support_tickets[[#This Row],[opened_at]],"mmm yyyy")</f>
        <v>Jul 2024</v>
      </c>
      <c r="U503">
        <f>YEAR(support_tickets[[#This Row],[opened_at]])*100+MONTH(support_tickets[[#This Row],[opened_at]])</f>
        <v>202407</v>
      </c>
      <c r="V503" s="29">
        <f>DATE(YEAR(support_tickets[[#This Row],[opened_at]]),MONTH(support_tickets[[#This Row],[opened_at]]),1)</f>
        <v>45474</v>
      </c>
    </row>
    <row r="504" spans="1:22">
      <c r="A504">
        <v>2045373626</v>
      </c>
      <c r="B504">
        <v>851854702</v>
      </c>
      <c r="C504" t="s">
        <v>400</v>
      </c>
      <c r="D504" t="s">
        <v>401</v>
      </c>
      <c r="E504">
        <v>71662963</v>
      </c>
      <c r="G504" s="1">
        <v>46047.203101851854</v>
      </c>
      <c r="I504" t="s">
        <v>46</v>
      </c>
      <c r="J504" t="s">
        <v>38</v>
      </c>
      <c r="K504" t="s">
        <v>26</v>
      </c>
      <c r="L504" t="s">
        <v>34</v>
      </c>
      <c r="M504">
        <v>6</v>
      </c>
      <c r="O504">
        <v>0</v>
      </c>
      <c r="P504" t="s">
        <v>40</v>
      </c>
      <c r="Q504">
        <v>201</v>
      </c>
      <c r="R504" t="s">
        <v>53</v>
      </c>
      <c r="S504">
        <f>IF(support_tickets[[#This Row],[status_cleaned]]="closed",1,0)</f>
        <v>0</v>
      </c>
      <c r="T504" t="str">
        <f>TEXT(support_tickets[[#This Row],[opened_at]],"mmm yyyy")</f>
        <v>Jan 2026</v>
      </c>
      <c r="U504">
        <f>YEAR(support_tickets[[#This Row],[opened_at]])*100+MONTH(support_tickets[[#This Row],[opened_at]])</f>
        <v>202601</v>
      </c>
      <c r="V504" s="29">
        <f>DATE(YEAR(support_tickets[[#This Row],[opened_at]]),MONTH(support_tickets[[#This Row],[opened_at]]),1)</f>
        <v>46023</v>
      </c>
    </row>
    <row r="505" spans="1:22">
      <c r="A505">
        <v>2333121938</v>
      </c>
      <c r="B505">
        <v>178954113</v>
      </c>
      <c r="C505" t="s">
        <v>464</v>
      </c>
      <c r="D505" t="s">
        <v>465</v>
      </c>
      <c r="E505">
        <v>63551839</v>
      </c>
      <c r="G505" s="1">
        <v>46090.563391203701</v>
      </c>
      <c r="I505" t="s">
        <v>37</v>
      </c>
      <c r="J505" t="s">
        <v>86</v>
      </c>
      <c r="K505" t="s">
        <v>26</v>
      </c>
      <c r="L505" t="s">
        <v>34</v>
      </c>
      <c r="M505">
        <v>48</v>
      </c>
      <c r="O505">
        <v>0</v>
      </c>
      <c r="P505" t="s">
        <v>87</v>
      </c>
      <c r="Q505">
        <v>243</v>
      </c>
      <c r="R505" t="s">
        <v>53</v>
      </c>
      <c r="S505">
        <f>IF(support_tickets[[#This Row],[status_cleaned]]="closed",1,0)</f>
        <v>0</v>
      </c>
      <c r="T505" t="str">
        <f>TEXT(support_tickets[[#This Row],[opened_at]],"mmm yyyy")</f>
        <v>Mar 2026</v>
      </c>
      <c r="U505">
        <f>YEAR(support_tickets[[#This Row],[opened_at]])*100+MONTH(support_tickets[[#This Row],[opened_at]])</f>
        <v>202603</v>
      </c>
      <c r="V505" s="29">
        <f>DATE(YEAR(support_tickets[[#This Row],[opened_at]]),MONTH(support_tickets[[#This Row],[opened_at]]),1)</f>
        <v>46082</v>
      </c>
    </row>
    <row r="506" spans="1:22">
      <c r="A506">
        <v>2382352682</v>
      </c>
      <c r="B506">
        <v>973498494</v>
      </c>
      <c r="C506" t="s">
        <v>478</v>
      </c>
      <c r="D506" t="s">
        <v>479</v>
      </c>
      <c r="E506">
        <v>22575562</v>
      </c>
      <c r="G506" s="1">
        <v>45396.571226851855</v>
      </c>
      <c r="I506" t="s">
        <v>43</v>
      </c>
      <c r="J506" t="s">
        <v>30</v>
      </c>
      <c r="K506" t="s">
        <v>26</v>
      </c>
      <c r="L506" t="s">
        <v>34</v>
      </c>
      <c r="M506">
        <v>35</v>
      </c>
      <c r="O506">
        <v>0</v>
      </c>
      <c r="P506" t="s">
        <v>31</v>
      </c>
      <c r="Q506">
        <v>252</v>
      </c>
      <c r="R506" t="s">
        <v>53</v>
      </c>
      <c r="S506">
        <f>IF(support_tickets[[#This Row],[status_cleaned]]="closed",1,0)</f>
        <v>0</v>
      </c>
      <c r="T506" t="str">
        <f>TEXT(support_tickets[[#This Row],[opened_at]],"mmm yyyy")</f>
        <v>Apr 2024</v>
      </c>
      <c r="U506">
        <f>YEAR(support_tickets[[#This Row],[opened_at]])*100+MONTH(support_tickets[[#This Row],[opened_at]])</f>
        <v>202404</v>
      </c>
      <c r="V506" s="29">
        <f>DATE(YEAR(support_tickets[[#This Row],[opened_at]]),MONTH(support_tickets[[#This Row],[opened_at]]),1)</f>
        <v>45383</v>
      </c>
    </row>
    <row r="507" spans="1:22">
      <c r="A507">
        <v>2667326002</v>
      </c>
      <c r="B507">
        <v>356805216</v>
      </c>
      <c r="C507" t="s">
        <v>538</v>
      </c>
      <c r="D507" t="s">
        <v>539</v>
      </c>
      <c r="E507">
        <v>31931511</v>
      </c>
      <c r="F507">
        <v>5551462938</v>
      </c>
      <c r="G507" s="1">
        <v>46103.02853009259</v>
      </c>
      <c r="H507" s="1">
        <v>46103.721585648149</v>
      </c>
      <c r="I507" t="s">
        <v>3</v>
      </c>
      <c r="J507" t="s">
        <v>86</v>
      </c>
      <c r="K507" t="s">
        <v>26</v>
      </c>
      <c r="L507" t="s">
        <v>34</v>
      </c>
      <c r="M507">
        <v>65</v>
      </c>
      <c r="N507">
        <v>998</v>
      </c>
      <c r="O507">
        <v>0</v>
      </c>
      <c r="P507" t="s">
        <v>87</v>
      </c>
      <c r="Q507">
        <v>297</v>
      </c>
      <c r="R507" t="s">
        <v>53</v>
      </c>
      <c r="S507">
        <f>IF(support_tickets[[#This Row],[status_cleaned]]="closed",1,0)</f>
        <v>0</v>
      </c>
      <c r="T507" t="str">
        <f>TEXT(support_tickets[[#This Row],[opened_at]],"mmm yyyy")</f>
        <v>Mar 2026</v>
      </c>
      <c r="U507">
        <f>YEAR(support_tickets[[#This Row],[opened_at]])*100+MONTH(support_tickets[[#This Row],[opened_at]])</f>
        <v>202603</v>
      </c>
      <c r="V507" s="29">
        <f>DATE(YEAR(support_tickets[[#This Row],[opened_at]]),MONTH(support_tickets[[#This Row],[opened_at]]),1)</f>
        <v>46082</v>
      </c>
    </row>
    <row r="508" spans="1:22">
      <c r="A508">
        <v>3276801413</v>
      </c>
      <c r="B508">
        <v>455665802</v>
      </c>
      <c r="C508" t="s">
        <v>684</v>
      </c>
      <c r="D508" t="s">
        <v>685</v>
      </c>
      <c r="E508">
        <v>70291817</v>
      </c>
      <c r="G508" s="1">
        <v>45683.910393518519</v>
      </c>
      <c r="I508" t="s">
        <v>18</v>
      </c>
      <c r="J508" t="s">
        <v>38</v>
      </c>
      <c r="K508" t="s">
        <v>26</v>
      </c>
      <c r="L508" t="s">
        <v>34</v>
      </c>
      <c r="M508">
        <v>51</v>
      </c>
      <c r="O508">
        <v>0</v>
      </c>
      <c r="P508" t="s">
        <v>40</v>
      </c>
      <c r="Q508">
        <v>404</v>
      </c>
      <c r="R508" t="s">
        <v>53</v>
      </c>
      <c r="S508">
        <f>IF(support_tickets[[#This Row],[status_cleaned]]="closed",1,0)</f>
        <v>0</v>
      </c>
      <c r="T508" t="str">
        <f>TEXT(support_tickets[[#This Row],[opened_at]],"mmm yyyy")</f>
        <v>Jan 2025</v>
      </c>
      <c r="U508">
        <f>YEAR(support_tickets[[#This Row],[opened_at]])*100+MONTH(support_tickets[[#This Row],[opened_at]])</f>
        <v>202501</v>
      </c>
      <c r="V508" s="29">
        <f>DATE(YEAR(support_tickets[[#This Row],[opened_at]]),MONTH(support_tickets[[#This Row],[opened_at]]),1)</f>
        <v>45658</v>
      </c>
    </row>
    <row r="509" spans="1:22">
      <c r="A509">
        <v>3360311082</v>
      </c>
      <c r="B509">
        <v>422076028</v>
      </c>
      <c r="C509" t="s">
        <v>718</v>
      </c>
      <c r="D509" t="s">
        <v>719</v>
      </c>
      <c r="E509">
        <v>83140807</v>
      </c>
      <c r="F509">
        <v>8850124241</v>
      </c>
      <c r="G509" s="1">
        <v>45321.642013888886</v>
      </c>
      <c r="H509" s="1">
        <v>45322.227430555555</v>
      </c>
      <c r="I509" t="s">
        <v>18</v>
      </c>
      <c r="J509" t="s">
        <v>38</v>
      </c>
      <c r="K509" t="s">
        <v>26</v>
      </c>
      <c r="L509" t="s">
        <v>34</v>
      </c>
      <c r="M509">
        <v>47</v>
      </c>
      <c r="N509">
        <v>843</v>
      </c>
      <c r="O509">
        <v>0</v>
      </c>
      <c r="P509" t="s">
        <v>40</v>
      </c>
      <c r="Q509">
        <v>427</v>
      </c>
      <c r="R509" t="s">
        <v>53</v>
      </c>
      <c r="S509">
        <f>IF(support_tickets[[#This Row],[status_cleaned]]="closed",1,0)</f>
        <v>0</v>
      </c>
      <c r="T509" t="str">
        <f>TEXT(support_tickets[[#This Row],[opened_at]],"mmm yyyy")</f>
        <v>Jan 2024</v>
      </c>
      <c r="U509">
        <f>YEAR(support_tickets[[#This Row],[opened_at]])*100+MONTH(support_tickets[[#This Row],[opened_at]])</f>
        <v>202401</v>
      </c>
      <c r="V509" s="29">
        <f>DATE(YEAR(support_tickets[[#This Row],[opened_at]]),MONTH(support_tickets[[#This Row],[opened_at]]),1)</f>
        <v>45292</v>
      </c>
    </row>
    <row r="510" spans="1:22">
      <c r="A510">
        <v>4160236431</v>
      </c>
      <c r="B510">
        <v>141127742</v>
      </c>
      <c r="C510" t="s">
        <v>656</v>
      </c>
      <c r="D510" t="s">
        <v>657</v>
      </c>
      <c r="E510">
        <v>95320121</v>
      </c>
      <c r="G510" s="1">
        <v>45751.215370370373</v>
      </c>
      <c r="I510" t="s">
        <v>52</v>
      </c>
      <c r="J510" t="s">
        <v>19</v>
      </c>
      <c r="K510" t="s">
        <v>26</v>
      </c>
      <c r="L510" t="s">
        <v>34</v>
      </c>
      <c r="M510">
        <v>49</v>
      </c>
      <c r="O510">
        <v>0</v>
      </c>
      <c r="P510" t="s">
        <v>22</v>
      </c>
      <c r="Q510">
        <v>543</v>
      </c>
      <c r="R510" t="s">
        <v>53</v>
      </c>
      <c r="S510">
        <f>IF(support_tickets[[#This Row],[status_cleaned]]="closed",1,0)</f>
        <v>0</v>
      </c>
      <c r="T510" t="str">
        <f>TEXT(support_tickets[[#This Row],[opened_at]],"mmm yyyy")</f>
        <v>Apr 2025</v>
      </c>
      <c r="U510">
        <f>YEAR(support_tickets[[#This Row],[opened_at]])*100+MONTH(support_tickets[[#This Row],[opened_at]])</f>
        <v>202504</v>
      </c>
      <c r="V510" s="29">
        <f>DATE(YEAR(support_tickets[[#This Row],[opened_at]]),MONTH(support_tickets[[#This Row],[opened_at]]),1)</f>
        <v>45748</v>
      </c>
    </row>
    <row r="511" spans="1:22">
      <c r="A511">
        <v>4165559286</v>
      </c>
      <c r="B511">
        <v>473045064</v>
      </c>
      <c r="C511" t="s">
        <v>872</v>
      </c>
      <c r="D511" t="s">
        <v>873</v>
      </c>
      <c r="E511">
        <v>58966946</v>
      </c>
      <c r="F511">
        <v>4990891827</v>
      </c>
      <c r="G511" s="1">
        <v>45695.321817129632</v>
      </c>
      <c r="I511" t="s">
        <v>3</v>
      </c>
      <c r="J511" t="s">
        <v>59</v>
      </c>
      <c r="K511" t="s">
        <v>26</v>
      </c>
      <c r="L511" t="s">
        <v>34</v>
      </c>
      <c r="M511">
        <v>54</v>
      </c>
      <c r="O511">
        <v>0</v>
      </c>
      <c r="P511" t="s">
        <v>61</v>
      </c>
      <c r="Q511">
        <v>544</v>
      </c>
      <c r="R511" t="s">
        <v>53</v>
      </c>
      <c r="S511">
        <f>IF(support_tickets[[#This Row],[status_cleaned]]="closed",1,0)</f>
        <v>0</v>
      </c>
      <c r="T511" t="str">
        <f>TEXT(support_tickets[[#This Row],[opened_at]],"mmm yyyy")</f>
        <v>Feb 2025</v>
      </c>
      <c r="U511">
        <f>YEAR(support_tickets[[#This Row],[opened_at]])*100+MONTH(support_tickets[[#This Row],[opened_at]])</f>
        <v>202502</v>
      </c>
      <c r="V511" s="29">
        <f>DATE(YEAR(support_tickets[[#This Row],[opened_at]]),MONTH(support_tickets[[#This Row],[opened_at]]),1)</f>
        <v>45689</v>
      </c>
    </row>
    <row r="512" spans="1:22">
      <c r="A512">
        <v>4182666653</v>
      </c>
      <c r="B512">
        <v>133436988</v>
      </c>
      <c r="C512" t="s">
        <v>874</v>
      </c>
      <c r="D512" t="s">
        <v>875</v>
      </c>
      <c r="E512">
        <v>88320463</v>
      </c>
      <c r="F512">
        <v>1244313440</v>
      </c>
      <c r="G512" s="1">
        <v>45370.894745370373</v>
      </c>
      <c r="I512" t="s">
        <v>52</v>
      </c>
      <c r="J512" t="s">
        <v>38</v>
      </c>
      <c r="K512" t="s">
        <v>26</v>
      </c>
      <c r="L512" t="s">
        <v>34</v>
      </c>
      <c r="M512">
        <v>28</v>
      </c>
      <c r="O512">
        <v>0</v>
      </c>
      <c r="P512" t="s">
        <v>40</v>
      </c>
      <c r="Q512">
        <v>546</v>
      </c>
      <c r="R512" t="s">
        <v>53</v>
      </c>
      <c r="S512">
        <f>IF(support_tickets[[#This Row],[status_cleaned]]="closed",1,0)</f>
        <v>0</v>
      </c>
      <c r="T512" t="str">
        <f>TEXT(support_tickets[[#This Row],[opened_at]],"mmm yyyy")</f>
        <v>Mar 2024</v>
      </c>
      <c r="U512">
        <f>YEAR(support_tickets[[#This Row],[opened_at]])*100+MONTH(support_tickets[[#This Row],[opened_at]])</f>
        <v>202403</v>
      </c>
      <c r="V512" s="29">
        <f>DATE(YEAR(support_tickets[[#This Row],[opened_at]]),MONTH(support_tickets[[#This Row],[opened_at]]),1)</f>
        <v>45352</v>
      </c>
    </row>
    <row r="513" spans="1:22">
      <c r="A513">
        <v>4221741859</v>
      </c>
      <c r="B513">
        <v>352889019</v>
      </c>
      <c r="C513" t="s">
        <v>170</v>
      </c>
      <c r="D513" t="s">
        <v>171</v>
      </c>
      <c r="E513">
        <v>23718431</v>
      </c>
      <c r="F513">
        <v>5421658597</v>
      </c>
      <c r="G513" s="1">
        <v>45410.158773148149</v>
      </c>
      <c r="I513" t="s">
        <v>3</v>
      </c>
      <c r="J513" t="s">
        <v>19</v>
      </c>
      <c r="K513" t="s">
        <v>26</v>
      </c>
      <c r="L513" t="s">
        <v>34</v>
      </c>
      <c r="M513">
        <v>60</v>
      </c>
      <c r="O513">
        <v>0</v>
      </c>
      <c r="P513" t="s">
        <v>22</v>
      </c>
      <c r="Q513">
        <v>555</v>
      </c>
      <c r="R513" t="s">
        <v>53</v>
      </c>
      <c r="S513">
        <f>IF(support_tickets[[#This Row],[status_cleaned]]="closed",1,0)</f>
        <v>0</v>
      </c>
      <c r="T513" t="str">
        <f>TEXT(support_tickets[[#This Row],[opened_at]],"mmm yyyy")</f>
        <v>Apr 2024</v>
      </c>
      <c r="U513">
        <f>YEAR(support_tickets[[#This Row],[opened_at]])*100+MONTH(support_tickets[[#This Row],[opened_at]])</f>
        <v>202404</v>
      </c>
      <c r="V513" s="29">
        <f>DATE(YEAR(support_tickets[[#This Row],[opened_at]]),MONTH(support_tickets[[#This Row],[opened_at]]),1)</f>
        <v>45383</v>
      </c>
    </row>
    <row r="514" spans="1:22">
      <c r="A514">
        <v>5030218650</v>
      </c>
      <c r="B514">
        <v>341096660</v>
      </c>
      <c r="C514" t="s">
        <v>1048</v>
      </c>
      <c r="D514" t="s">
        <v>1049</v>
      </c>
      <c r="E514">
        <v>31931511</v>
      </c>
      <c r="F514">
        <v>4910446704</v>
      </c>
      <c r="G514" s="1">
        <v>45692.990520833337</v>
      </c>
      <c r="I514" t="s">
        <v>52</v>
      </c>
      <c r="J514" t="s">
        <v>38</v>
      </c>
      <c r="K514" t="s">
        <v>26</v>
      </c>
      <c r="L514" t="s">
        <v>34</v>
      </c>
      <c r="M514">
        <v>80</v>
      </c>
      <c r="O514">
        <v>0</v>
      </c>
      <c r="P514" t="s">
        <v>40</v>
      </c>
      <c r="Q514">
        <v>701</v>
      </c>
      <c r="R514" t="s">
        <v>53</v>
      </c>
      <c r="S514">
        <f>IF(support_tickets[[#This Row],[status_cleaned]]="closed",1,0)</f>
        <v>0</v>
      </c>
      <c r="T514" t="str">
        <f>TEXT(support_tickets[[#This Row],[opened_at]],"mmm yyyy")</f>
        <v>Feb 2025</v>
      </c>
      <c r="U514">
        <f>YEAR(support_tickets[[#This Row],[opened_at]])*100+MONTH(support_tickets[[#This Row],[opened_at]])</f>
        <v>202502</v>
      </c>
      <c r="V514" s="29">
        <f>DATE(YEAR(support_tickets[[#This Row],[opened_at]]),MONTH(support_tickets[[#This Row],[opened_at]]),1)</f>
        <v>45689</v>
      </c>
    </row>
    <row r="515" spans="1:22">
      <c r="A515">
        <v>5321195124</v>
      </c>
      <c r="B515">
        <v>178954113</v>
      </c>
      <c r="C515" t="s">
        <v>464</v>
      </c>
      <c r="D515" t="s">
        <v>465</v>
      </c>
      <c r="E515">
        <v>66792612</v>
      </c>
      <c r="F515">
        <v>1851049558</v>
      </c>
      <c r="G515" s="1">
        <v>46066.042569444442</v>
      </c>
      <c r="I515" t="s">
        <v>37</v>
      </c>
      <c r="J515" t="s">
        <v>19</v>
      </c>
      <c r="K515" t="s">
        <v>26</v>
      </c>
      <c r="L515" t="s">
        <v>34</v>
      </c>
      <c r="M515">
        <v>86</v>
      </c>
      <c r="O515">
        <v>0</v>
      </c>
      <c r="P515" t="s">
        <v>22</v>
      </c>
      <c r="Q515">
        <v>759</v>
      </c>
      <c r="R515" t="s">
        <v>53</v>
      </c>
      <c r="S515">
        <f>IF(support_tickets[[#This Row],[status_cleaned]]="closed",1,0)</f>
        <v>0</v>
      </c>
      <c r="T515" t="str">
        <f>TEXT(support_tickets[[#This Row],[opened_at]],"mmm yyyy")</f>
        <v>Feb 2026</v>
      </c>
      <c r="U515">
        <f>YEAR(support_tickets[[#This Row],[opened_at]])*100+MONTH(support_tickets[[#This Row],[opened_at]])</f>
        <v>202602</v>
      </c>
      <c r="V515" s="29">
        <f>DATE(YEAR(support_tickets[[#This Row],[opened_at]]),MONTH(support_tickets[[#This Row],[opened_at]]),1)</f>
        <v>46054</v>
      </c>
    </row>
    <row r="516" spans="1:22">
      <c r="A516">
        <v>5682080072</v>
      </c>
      <c r="B516">
        <v>797460535</v>
      </c>
      <c r="C516" t="s">
        <v>1160</v>
      </c>
      <c r="D516" t="s">
        <v>1161</v>
      </c>
      <c r="E516">
        <v>81971316</v>
      </c>
      <c r="G516" s="1">
        <v>45370.260127314818</v>
      </c>
      <c r="H516" s="1">
        <v>45370.426793981482</v>
      </c>
      <c r="I516" t="s">
        <v>52</v>
      </c>
      <c r="J516" t="s">
        <v>25</v>
      </c>
      <c r="K516" t="s">
        <v>26</v>
      </c>
      <c r="L516" t="s">
        <v>34</v>
      </c>
      <c r="M516">
        <v>27</v>
      </c>
      <c r="N516">
        <v>240</v>
      </c>
      <c r="O516">
        <v>0</v>
      </c>
      <c r="P516" t="s">
        <v>27</v>
      </c>
      <c r="Q516">
        <v>833</v>
      </c>
      <c r="R516" t="s">
        <v>53</v>
      </c>
      <c r="S516">
        <f>IF(support_tickets[[#This Row],[status_cleaned]]="closed",1,0)</f>
        <v>0</v>
      </c>
      <c r="T516" t="str">
        <f>TEXT(support_tickets[[#This Row],[opened_at]],"mmm yyyy")</f>
        <v>Mar 2024</v>
      </c>
      <c r="U516">
        <f>YEAR(support_tickets[[#This Row],[opened_at]])*100+MONTH(support_tickets[[#This Row],[opened_at]])</f>
        <v>202403</v>
      </c>
      <c r="V516" s="29">
        <f>DATE(YEAR(support_tickets[[#This Row],[opened_at]]),MONTH(support_tickets[[#This Row],[opened_at]]),1)</f>
        <v>45352</v>
      </c>
    </row>
    <row r="517" spans="1:22">
      <c r="A517">
        <v>5693308941</v>
      </c>
      <c r="B517">
        <v>788460744</v>
      </c>
      <c r="C517" t="s">
        <v>1162</v>
      </c>
      <c r="D517" t="s">
        <v>1163</v>
      </c>
      <c r="E517">
        <v>61220073</v>
      </c>
      <c r="G517" s="1">
        <v>45890.246446759258</v>
      </c>
      <c r="I517" t="s">
        <v>37</v>
      </c>
      <c r="J517" t="s">
        <v>86</v>
      </c>
      <c r="K517" t="s">
        <v>26</v>
      </c>
      <c r="L517" t="s">
        <v>34</v>
      </c>
      <c r="M517">
        <v>46</v>
      </c>
      <c r="O517">
        <v>0</v>
      </c>
      <c r="P517" t="s">
        <v>87</v>
      </c>
      <c r="Q517">
        <v>835</v>
      </c>
      <c r="R517" t="s">
        <v>53</v>
      </c>
      <c r="S517">
        <f>IF(support_tickets[[#This Row],[status_cleaned]]="closed",1,0)</f>
        <v>0</v>
      </c>
      <c r="T517" t="str">
        <f>TEXT(support_tickets[[#This Row],[opened_at]],"mmm yyyy")</f>
        <v>Aug 2025</v>
      </c>
      <c r="U517">
        <f>YEAR(support_tickets[[#This Row],[opened_at]])*100+MONTH(support_tickets[[#This Row],[opened_at]])</f>
        <v>202508</v>
      </c>
      <c r="V517" s="29">
        <f>DATE(YEAR(support_tickets[[#This Row],[opened_at]]),MONTH(support_tickets[[#This Row],[opened_at]]),1)</f>
        <v>45870</v>
      </c>
    </row>
    <row r="518" spans="1:22">
      <c r="A518">
        <v>5878838809</v>
      </c>
      <c r="B518">
        <v>644725317</v>
      </c>
      <c r="C518" t="s">
        <v>1036</v>
      </c>
      <c r="D518" t="s">
        <v>1037</v>
      </c>
      <c r="E518">
        <v>73791320</v>
      </c>
      <c r="F518">
        <v>7664019331</v>
      </c>
      <c r="G518" s="1">
        <v>45488.289942129632</v>
      </c>
      <c r="I518" t="s">
        <v>18</v>
      </c>
      <c r="J518" t="s">
        <v>30</v>
      </c>
      <c r="K518" t="s">
        <v>26</v>
      </c>
      <c r="L518" t="s">
        <v>34</v>
      </c>
      <c r="M518">
        <v>61</v>
      </c>
      <c r="O518">
        <v>0</v>
      </c>
      <c r="P518" t="s">
        <v>31</v>
      </c>
      <c r="Q518">
        <v>869</v>
      </c>
      <c r="R518" t="s">
        <v>53</v>
      </c>
      <c r="S518">
        <f>IF(support_tickets[[#This Row],[status_cleaned]]="closed",1,0)</f>
        <v>0</v>
      </c>
      <c r="T518" t="str">
        <f>TEXT(support_tickets[[#This Row],[opened_at]],"mmm yyyy")</f>
        <v>Jul 2024</v>
      </c>
      <c r="U518">
        <f>YEAR(support_tickets[[#This Row],[opened_at]])*100+MONTH(support_tickets[[#This Row],[opened_at]])</f>
        <v>202407</v>
      </c>
      <c r="V518" s="29">
        <f>DATE(YEAR(support_tickets[[#This Row],[opened_at]]),MONTH(support_tickets[[#This Row],[opened_at]]),1)</f>
        <v>45474</v>
      </c>
    </row>
    <row r="519" spans="1:22">
      <c r="A519">
        <v>6930579497</v>
      </c>
      <c r="B519">
        <v>271092615</v>
      </c>
      <c r="C519" t="s">
        <v>69</v>
      </c>
      <c r="D519" t="s">
        <v>811</v>
      </c>
      <c r="E519">
        <v>24716857</v>
      </c>
      <c r="G519" s="1">
        <v>45440.251932870371</v>
      </c>
      <c r="I519" t="s">
        <v>52</v>
      </c>
      <c r="J519" t="s">
        <v>59</v>
      </c>
      <c r="K519" t="s">
        <v>26</v>
      </c>
      <c r="L519" t="s">
        <v>34</v>
      </c>
      <c r="M519">
        <v>27</v>
      </c>
      <c r="O519">
        <v>0</v>
      </c>
      <c r="P519" t="s">
        <v>61</v>
      </c>
      <c r="Q519">
        <v>1020</v>
      </c>
      <c r="R519" t="s">
        <v>53</v>
      </c>
      <c r="S519">
        <f>IF(support_tickets[[#This Row],[status_cleaned]]="closed",1,0)</f>
        <v>0</v>
      </c>
      <c r="T519" t="str">
        <f>TEXT(support_tickets[[#This Row],[opened_at]],"mmm yyyy")</f>
        <v>May 2024</v>
      </c>
      <c r="U519">
        <f>YEAR(support_tickets[[#This Row],[opened_at]])*100+MONTH(support_tickets[[#This Row],[opened_at]])</f>
        <v>202405</v>
      </c>
      <c r="V519" s="29">
        <f>DATE(YEAR(support_tickets[[#This Row],[opened_at]]),MONTH(support_tickets[[#This Row],[opened_at]]),1)</f>
        <v>45413</v>
      </c>
    </row>
    <row r="520" spans="1:22">
      <c r="A520">
        <v>7139154182</v>
      </c>
      <c r="B520">
        <v>442863363</v>
      </c>
      <c r="C520" t="s">
        <v>1304</v>
      </c>
      <c r="D520" t="s">
        <v>1305</v>
      </c>
      <c r="E520">
        <v>91030736</v>
      </c>
      <c r="F520">
        <v>3484110392</v>
      </c>
      <c r="G520" s="1">
        <v>45434.27853009259</v>
      </c>
      <c r="H520" s="1">
        <v>45434.856307870374</v>
      </c>
      <c r="I520" t="s">
        <v>37</v>
      </c>
      <c r="J520" t="s">
        <v>59</v>
      </c>
      <c r="K520" t="s">
        <v>26</v>
      </c>
      <c r="L520" t="s">
        <v>34</v>
      </c>
      <c r="M520">
        <v>42</v>
      </c>
      <c r="N520">
        <v>832</v>
      </c>
      <c r="O520">
        <v>0</v>
      </c>
      <c r="P520" t="s">
        <v>61</v>
      </c>
      <c r="Q520">
        <v>1051</v>
      </c>
      <c r="R520" t="s">
        <v>53</v>
      </c>
      <c r="S520">
        <f>IF(support_tickets[[#This Row],[status_cleaned]]="closed",1,0)</f>
        <v>0</v>
      </c>
      <c r="T520" t="str">
        <f>TEXT(support_tickets[[#This Row],[opened_at]],"mmm yyyy")</f>
        <v>May 2024</v>
      </c>
      <c r="U520">
        <f>YEAR(support_tickets[[#This Row],[opened_at]])*100+MONTH(support_tickets[[#This Row],[opened_at]])</f>
        <v>202405</v>
      </c>
      <c r="V520" s="29">
        <f>DATE(YEAR(support_tickets[[#This Row],[opened_at]]),MONTH(support_tickets[[#This Row],[opened_at]]),1)</f>
        <v>45413</v>
      </c>
    </row>
    <row r="521" spans="1:22">
      <c r="A521">
        <v>7411008763</v>
      </c>
      <c r="B521">
        <v>689274064</v>
      </c>
      <c r="C521" t="s">
        <v>282</v>
      </c>
      <c r="D521" t="s">
        <v>283</v>
      </c>
      <c r="E521">
        <v>28740864</v>
      </c>
      <c r="G521" s="1">
        <v>45842.520868055559</v>
      </c>
      <c r="H521" s="1">
        <v>45843.120173611111</v>
      </c>
      <c r="I521" t="s">
        <v>52</v>
      </c>
      <c r="J521" t="s">
        <v>86</v>
      </c>
      <c r="K521" t="s">
        <v>26</v>
      </c>
      <c r="L521" t="s">
        <v>34</v>
      </c>
      <c r="M521">
        <v>84</v>
      </c>
      <c r="N521">
        <v>863</v>
      </c>
      <c r="O521">
        <v>0</v>
      </c>
      <c r="P521" t="s">
        <v>87</v>
      </c>
      <c r="Q521">
        <v>1091</v>
      </c>
      <c r="R521" t="s">
        <v>53</v>
      </c>
      <c r="S521">
        <f>IF(support_tickets[[#This Row],[status_cleaned]]="closed",1,0)</f>
        <v>0</v>
      </c>
      <c r="T521" t="str">
        <f>TEXT(support_tickets[[#This Row],[opened_at]],"mmm yyyy")</f>
        <v>Jul 2025</v>
      </c>
      <c r="U521">
        <f>YEAR(support_tickets[[#This Row],[opened_at]])*100+MONTH(support_tickets[[#This Row],[opened_at]])</f>
        <v>202507</v>
      </c>
      <c r="V521" s="29">
        <f>DATE(YEAR(support_tickets[[#This Row],[opened_at]]),MONTH(support_tickets[[#This Row],[opened_at]]),1)</f>
        <v>45839</v>
      </c>
    </row>
    <row r="522" spans="1:22">
      <c r="A522">
        <v>7851714074</v>
      </c>
      <c r="B522">
        <v>609912042</v>
      </c>
      <c r="C522" t="s">
        <v>1406</v>
      </c>
      <c r="D522" t="s">
        <v>1407</v>
      </c>
      <c r="E522">
        <v>67503414</v>
      </c>
      <c r="G522" s="1">
        <v>45998.171307870369</v>
      </c>
      <c r="I522" t="s">
        <v>52</v>
      </c>
      <c r="J522" t="s">
        <v>19</v>
      </c>
      <c r="K522" t="s">
        <v>26</v>
      </c>
      <c r="L522" t="s">
        <v>34</v>
      </c>
      <c r="M522">
        <v>65</v>
      </c>
      <c r="O522">
        <v>0</v>
      </c>
      <c r="P522" t="s">
        <v>22</v>
      </c>
      <c r="Q522">
        <v>1166</v>
      </c>
      <c r="R522" t="s">
        <v>53</v>
      </c>
      <c r="S522">
        <f>IF(support_tickets[[#This Row],[status_cleaned]]="closed",1,0)</f>
        <v>0</v>
      </c>
      <c r="T522" t="str">
        <f>TEXT(support_tickets[[#This Row],[opened_at]],"mmm yyyy")</f>
        <v>Dec 2025</v>
      </c>
      <c r="U522">
        <f>YEAR(support_tickets[[#This Row],[opened_at]])*100+MONTH(support_tickets[[#This Row],[opened_at]])</f>
        <v>202512</v>
      </c>
      <c r="V522" s="29">
        <f>DATE(YEAR(support_tickets[[#This Row],[opened_at]]),MONTH(support_tickets[[#This Row],[opened_at]]),1)</f>
        <v>45992</v>
      </c>
    </row>
    <row r="523" spans="1:22">
      <c r="A523">
        <v>8608515791</v>
      </c>
      <c r="B523">
        <v>933397627</v>
      </c>
      <c r="C523" t="s">
        <v>262</v>
      </c>
      <c r="D523" t="s">
        <v>263</v>
      </c>
      <c r="E523">
        <v>66792612</v>
      </c>
      <c r="F523">
        <v>6975857369</v>
      </c>
      <c r="G523" s="1">
        <v>45716.595983796295</v>
      </c>
      <c r="H523" s="1">
        <v>45717.182789351849</v>
      </c>
      <c r="I523" t="s">
        <v>18</v>
      </c>
      <c r="J523" t="s">
        <v>25</v>
      </c>
      <c r="K523" t="s">
        <v>26</v>
      </c>
      <c r="L523" t="s">
        <v>34</v>
      </c>
      <c r="M523">
        <v>53</v>
      </c>
      <c r="N523">
        <v>845</v>
      </c>
      <c r="O523">
        <v>0</v>
      </c>
      <c r="P523" t="s">
        <v>27</v>
      </c>
      <c r="Q523">
        <v>1283</v>
      </c>
      <c r="R523" t="s">
        <v>53</v>
      </c>
      <c r="S523">
        <f>IF(support_tickets[[#This Row],[status_cleaned]]="closed",1,0)</f>
        <v>0</v>
      </c>
      <c r="T523" t="str">
        <f>TEXT(support_tickets[[#This Row],[opened_at]],"mmm yyyy")</f>
        <v>Feb 2025</v>
      </c>
      <c r="U523">
        <f>YEAR(support_tickets[[#This Row],[opened_at]])*100+MONTH(support_tickets[[#This Row],[opened_at]])</f>
        <v>202502</v>
      </c>
      <c r="V523" s="29">
        <f>DATE(YEAR(support_tickets[[#This Row],[opened_at]]),MONTH(support_tickets[[#This Row],[opened_at]]),1)</f>
        <v>45689</v>
      </c>
    </row>
    <row r="524" spans="1:22">
      <c r="A524">
        <v>8934110333</v>
      </c>
      <c r="B524">
        <v>148644109</v>
      </c>
      <c r="C524" t="s">
        <v>1300</v>
      </c>
      <c r="D524" t="s">
        <v>1301</v>
      </c>
      <c r="E524">
        <v>84752529</v>
      </c>
      <c r="G524" s="1">
        <v>45964.389699074076</v>
      </c>
      <c r="I524" t="s">
        <v>46</v>
      </c>
      <c r="J524" t="s">
        <v>59</v>
      </c>
      <c r="K524" t="s">
        <v>26</v>
      </c>
      <c r="L524" t="s">
        <v>34</v>
      </c>
      <c r="M524">
        <v>24</v>
      </c>
      <c r="O524">
        <v>0</v>
      </c>
      <c r="P524" t="s">
        <v>61</v>
      </c>
      <c r="Q524">
        <v>1334</v>
      </c>
      <c r="R524" t="s">
        <v>53</v>
      </c>
      <c r="S524">
        <f>IF(support_tickets[[#This Row],[status_cleaned]]="closed",1,0)</f>
        <v>0</v>
      </c>
      <c r="T524" t="str">
        <f>TEXT(support_tickets[[#This Row],[opened_at]],"mmm yyyy")</f>
        <v>Nov 2025</v>
      </c>
      <c r="U524">
        <f>YEAR(support_tickets[[#This Row],[opened_at]])*100+MONTH(support_tickets[[#This Row],[opened_at]])</f>
        <v>202511</v>
      </c>
      <c r="V524" s="29">
        <f>DATE(YEAR(support_tickets[[#This Row],[opened_at]]),MONTH(support_tickets[[#This Row],[opened_at]]),1)</f>
        <v>45962</v>
      </c>
    </row>
    <row r="525" spans="1:22">
      <c r="A525">
        <v>9030430078</v>
      </c>
      <c r="B525">
        <v>670201461</v>
      </c>
      <c r="C525" t="s">
        <v>1066</v>
      </c>
      <c r="D525" t="s">
        <v>1067</v>
      </c>
      <c r="E525">
        <v>18883684</v>
      </c>
      <c r="G525" s="1">
        <v>45521.159236111111</v>
      </c>
      <c r="I525" t="s">
        <v>3</v>
      </c>
      <c r="J525" t="s">
        <v>38</v>
      </c>
      <c r="K525" t="s">
        <v>26</v>
      </c>
      <c r="L525" t="s">
        <v>34</v>
      </c>
      <c r="M525">
        <v>21</v>
      </c>
      <c r="O525">
        <v>0</v>
      </c>
      <c r="P525" t="s">
        <v>40</v>
      </c>
      <c r="Q525">
        <v>1350</v>
      </c>
      <c r="R525" t="s">
        <v>53</v>
      </c>
      <c r="S525">
        <f>IF(support_tickets[[#This Row],[status_cleaned]]="closed",1,0)</f>
        <v>0</v>
      </c>
      <c r="T525" t="str">
        <f>TEXT(support_tickets[[#This Row],[opened_at]],"mmm yyyy")</f>
        <v>Aug 2024</v>
      </c>
      <c r="U525">
        <f>YEAR(support_tickets[[#This Row],[opened_at]])*100+MONTH(support_tickets[[#This Row],[opened_at]])</f>
        <v>202408</v>
      </c>
      <c r="V525" s="29">
        <f>DATE(YEAR(support_tickets[[#This Row],[opened_at]]),MONTH(support_tickets[[#This Row],[opened_at]]),1)</f>
        <v>45505</v>
      </c>
    </row>
    <row r="526" spans="1:22">
      <c r="A526">
        <v>9084427417</v>
      </c>
      <c r="B526">
        <v>818608005</v>
      </c>
      <c r="C526" t="s">
        <v>1515</v>
      </c>
      <c r="D526" t="s">
        <v>1516</v>
      </c>
      <c r="E526">
        <v>82383095</v>
      </c>
      <c r="F526">
        <v>8478761088</v>
      </c>
      <c r="G526" s="1">
        <v>45548.251805555556</v>
      </c>
      <c r="H526" s="1">
        <v>45549.283055555556</v>
      </c>
      <c r="I526" t="s">
        <v>37</v>
      </c>
      <c r="J526" t="s">
        <v>30</v>
      </c>
      <c r="K526" t="s">
        <v>26</v>
      </c>
      <c r="L526" t="s">
        <v>34</v>
      </c>
      <c r="M526">
        <v>11</v>
      </c>
      <c r="N526">
        <v>1485</v>
      </c>
      <c r="O526">
        <v>0</v>
      </c>
      <c r="P526" t="s">
        <v>31</v>
      </c>
      <c r="Q526">
        <v>1365</v>
      </c>
      <c r="R526" t="s">
        <v>53</v>
      </c>
      <c r="S526">
        <f>IF(support_tickets[[#This Row],[status_cleaned]]="closed",1,0)</f>
        <v>0</v>
      </c>
      <c r="T526" t="str">
        <f>TEXT(support_tickets[[#This Row],[opened_at]],"mmm yyyy")</f>
        <v>Sep 2024</v>
      </c>
      <c r="U526">
        <f>YEAR(support_tickets[[#This Row],[opened_at]])*100+MONTH(support_tickets[[#This Row],[opened_at]])</f>
        <v>202409</v>
      </c>
      <c r="V526" s="29">
        <f>DATE(YEAR(support_tickets[[#This Row],[opened_at]]),MONTH(support_tickets[[#This Row],[opened_at]]),1)</f>
        <v>45536</v>
      </c>
    </row>
    <row r="527" spans="1:22">
      <c r="A527">
        <v>9111727831</v>
      </c>
      <c r="B527">
        <v>394801573</v>
      </c>
      <c r="C527" t="s">
        <v>442</v>
      </c>
      <c r="D527" t="s">
        <v>443</v>
      </c>
      <c r="E527">
        <v>42329237</v>
      </c>
      <c r="G527" s="1">
        <v>45773.402268518519</v>
      </c>
      <c r="I527" t="s">
        <v>52</v>
      </c>
      <c r="J527" t="s">
        <v>59</v>
      </c>
      <c r="K527" t="s">
        <v>26</v>
      </c>
      <c r="L527" t="s">
        <v>34</v>
      </c>
      <c r="M527">
        <v>66</v>
      </c>
      <c r="O527">
        <v>0</v>
      </c>
      <c r="P527" t="s">
        <v>61</v>
      </c>
      <c r="Q527">
        <v>1370</v>
      </c>
      <c r="R527" t="s">
        <v>53</v>
      </c>
      <c r="S527">
        <f>IF(support_tickets[[#This Row],[status_cleaned]]="closed",1,0)</f>
        <v>0</v>
      </c>
      <c r="T527" t="str">
        <f>TEXT(support_tickets[[#This Row],[opened_at]],"mmm yyyy")</f>
        <v>Apr 2025</v>
      </c>
      <c r="U527">
        <f>YEAR(support_tickets[[#This Row],[opened_at]])*100+MONTH(support_tickets[[#This Row],[opened_at]])</f>
        <v>202504</v>
      </c>
      <c r="V527" s="29">
        <f>DATE(YEAR(support_tickets[[#This Row],[opened_at]]),MONTH(support_tickets[[#This Row],[opened_at]]),1)</f>
        <v>45748</v>
      </c>
    </row>
    <row r="528" spans="1:22">
      <c r="A528">
        <v>9285531461</v>
      </c>
      <c r="B528">
        <v>768737754</v>
      </c>
      <c r="C528" t="s">
        <v>622</v>
      </c>
      <c r="D528" t="s">
        <v>623</v>
      </c>
      <c r="E528">
        <v>36687537</v>
      </c>
      <c r="G528" s="1">
        <v>46045.564155092594</v>
      </c>
      <c r="I528" t="s">
        <v>43</v>
      </c>
      <c r="J528" t="s">
        <v>38</v>
      </c>
      <c r="K528" t="s">
        <v>26</v>
      </c>
      <c r="L528" t="s">
        <v>34</v>
      </c>
      <c r="M528">
        <v>38</v>
      </c>
      <c r="O528">
        <v>0</v>
      </c>
      <c r="P528" t="s">
        <v>40</v>
      </c>
      <c r="Q528">
        <v>1400</v>
      </c>
      <c r="R528" t="s">
        <v>53</v>
      </c>
      <c r="S528">
        <f>IF(support_tickets[[#This Row],[status_cleaned]]="closed",1,0)</f>
        <v>0</v>
      </c>
      <c r="T528" t="str">
        <f>TEXT(support_tickets[[#This Row],[opened_at]],"mmm yyyy")</f>
        <v>Jan 2026</v>
      </c>
      <c r="U528">
        <f>YEAR(support_tickets[[#This Row],[opened_at]])*100+MONTH(support_tickets[[#This Row],[opened_at]])</f>
        <v>202601</v>
      </c>
      <c r="V528" s="29">
        <f>DATE(YEAR(support_tickets[[#This Row],[opened_at]]),MONTH(support_tickets[[#This Row],[opened_at]]),1)</f>
        <v>46023</v>
      </c>
    </row>
    <row r="529" spans="1:22">
      <c r="A529">
        <v>9974034663</v>
      </c>
      <c r="B529">
        <v>548700579</v>
      </c>
      <c r="C529" t="s">
        <v>1356</v>
      </c>
      <c r="D529" t="s">
        <v>1357</v>
      </c>
      <c r="E529">
        <v>86125617</v>
      </c>
      <c r="F529">
        <v>3602111250</v>
      </c>
      <c r="G529" s="1">
        <v>45410.540138888886</v>
      </c>
      <c r="I529" t="s">
        <v>3</v>
      </c>
      <c r="J529" t="s">
        <v>59</v>
      </c>
      <c r="K529" t="s">
        <v>26</v>
      </c>
      <c r="L529" t="s">
        <v>34</v>
      </c>
      <c r="M529">
        <v>31</v>
      </c>
      <c r="O529">
        <v>0</v>
      </c>
      <c r="P529" t="s">
        <v>61</v>
      </c>
      <c r="Q529">
        <v>1498</v>
      </c>
      <c r="R529" t="s">
        <v>53</v>
      </c>
      <c r="S529">
        <f>IF(support_tickets[[#This Row],[status_cleaned]]="closed",1,0)</f>
        <v>0</v>
      </c>
      <c r="T529" t="str">
        <f>TEXT(support_tickets[[#This Row],[opened_at]],"mmm yyyy")</f>
        <v>Apr 2024</v>
      </c>
      <c r="U529">
        <f>YEAR(support_tickets[[#This Row],[opened_at]])*100+MONTH(support_tickets[[#This Row],[opened_at]])</f>
        <v>202404</v>
      </c>
      <c r="V529" s="29">
        <f>DATE(YEAR(support_tickets[[#This Row],[opened_at]]),MONTH(support_tickets[[#This Row],[opened_at]]),1)</f>
        <v>45383</v>
      </c>
    </row>
    <row r="530" spans="1:22">
      <c r="A530">
        <v>1150816869</v>
      </c>
      <c r="B530">
        <v>416794215</v>
      </c>
      <c r="C530" t="s">
        <v>98</v>
      </c>
      <c r="D530" t="s">
        <v>99</v>
      </c>
      <c r="E530">
        <v>82383095</v>
      </c>
      <c r="F530">
        <v>9312541476</v>
      </c>
      <c r="G530" s="1">
        <v>45837.534456018519</v>
      </c>
      <c r="I530" t="s">
        <v>56</v>
      </c>
      <c r="J530" t="s">
        <v>38</v>
      </c>
      <c r="K530" t="s">
        <v>26</v>
      </c>
      <c r="L530" t="s">
        <v>53</v>
      </c>
      <c r="M530">
        <v>40</v>
      </c>
      <c r="O530">
        <v>1</v>
      </c>
      <c r="P530" t="s">
        <v>40</v>
      </c>
      <c r="Q530">
        <v>28</v>
      </c>
      <c r="R530" t="s">
        <v>53</v>
      </c>
      <c r="S530">
        <f>IF(support_tickets[[#This Row],[status_cleaned]]="closed",1,0)</f>
        <v>0</v>
      </c>
      <c r="T530" t="str">
        <f>TEXT(support_tickets[[#This Row],[opened_at]],"mmm yyyy")</f>
        <v>Jun 2025</v>
      </c>
      <c r="U530">
        <f>YEAR(support_tickets[[#This Row],[opened_at]])*100+MONTH(support_tickets[[#This Row],[opened_at]])</f>
        <v>202506</v>
      </c>
      <c r="V530" s="29">
        <f>DATE(YEAR(support_tickets[[#This Row],[opened_at]]),MONTH(support_tickets[[#This Row],[opened_at]]),1)</f>
        <v>45809</v>
      </c>
    </row>
    <row r="531" spans="1:22">
      <c r="A531">
        <v>1366159068</v>
      </c>
      <c r="B531">
        <v>120333847</v>
      </c>
      <c r="C531" t="s">
        <v>168</v>
      </c>
      <c r="D531" t="s">
        <v>169</v>
      </c>
      <c r="E531">
        <v>96028436</v>
      </c>
      <c r="G531" s="1">
        <v>45645.553541666668</v>
      </c>
      <c r="I531" t="s">
        <v>56</v>
      </c>
      <c r="J531" t="s">
        <v>25</v>
      </c>
      <c r="K531" t="s">
        <v>26</v>
      </c>
      <c r="L531" t="s">
        <v>53</v>
      </c>
      <c r="M531">
        <v>20</v>
      </c>
      <c r="O531">
        <v>1</v>
      </c>
      <c r="P531" t="s">
        <v>27</v>
      </c>
      <c r="Q531">
        <v>66</v>
      </c>
      <c r="R531" t="s">
        <v>53</v>
      </c>
      <c r="S531">
        <f>IF(support_tickets[[#This Row],[status_cleaned]]="closed",1,0)</f>
        <v>0</v>
      </c>
      <c r="T531" t="str">
        <f>TEXT(support_tickets[[#This Row],[opened_at]],"mmm yyyy")</f>
        <v>Dec 2024</v>
      </c>
      <c r="U531">
        <f>YEAR(support_tickets[[#This Row],[opened_at]])*100+MONTH(support_tickets[[#This Row],[opened_at]])</f>
        <v>202412</v>
      </c>
      <c r="V531" s="29">
        <f>DATE(YEAR(support_tickets[[#This Row],[opened_at]]),MONTH(support_tickets[[#This Row],[opened_at]]),1)</f>
        <v>45627</v>
      </c>
    </row>
    <row r="532" spans="1:22">
      <c r="A532">
        <v>1923900025</v>
      </c>
      <c r="B532">
        <v>408427014</v>
      </c>
      <c r="C532" t="s">
        <v>366</v>
      </c>
      <c r="D532" t="s">
        <v>367</v>
      </c>
      <c r="E532">
        <v>14265799</v>
      </c>
      <c r="F532">
        <v>6526012592</v>
      </c>
      <c r="G532" s="1">
        <v>45660.870243055557</v>
      </c>
      <c r="I532" t="s">
        <v>52</v>
      </c>
      <c r="J532" t="s">
        <v>86</v>
      </c>
      <c r="K532" t="s">
        <v>26</v>
      </c>
      <c r="L532" t="s">
        <v>53</v>
      </c>
      <c r="M532">
        <v>39</v>
      </c>
      <c r="O532">
        <v>1</v>
      </c>
      <c r="P532" t="s">
        <v>87</v>
      </c>
      <c r="Q532">
        <v>182</v>
      </c>
      <c r="R532" t="s">
        <v>53</v>
      </c>
      <c r="S532">
        <f>IF(support_tickets[[#This Row],[status_cleaned]]="closed",1,0)</f>
        <v>0</v>
      </c>
      <c r="T532" t="str">
        <f>TEXT(support_tickets[[#This Row],[opened_at]],"mmm yyyy")</f>
        <v>Jan 2025</v>
      </c>
      <c r="U532">
        <f>YEAR(support_tickets[[#This Row],[opened_at]])*100+MONTH(support_tickets[[#This Row],[opened_at]])</f>
        <v>202501</v>
      </c>
      <c r="V532" s="29">
        <f>DATE(YEAR(support_tickets[[#This Row],[opened_at]]),MONTH(support_tickets[[#This Row],[opened_at]]),1)</f>
        <v>45658</v>
      </c>
    </row>
    <row r="533" spans="1:22">
      <c r="A533">
        <v>1943200696</v>
      </c>
      <c r="B533">
        <v>699240979</v>
      </c>
      <c r="C533" t="s">
        <v>380</v>
      </c>
      <c r="D533" t="s">
        <v>381</v>
      </c>
      <c r="E533">
        <v>31931511</v>
      </c>
      <c r="G533" s="1">
        <v>45887.341932870368</v>
      </c>
      <c r="I533" t="s">
        <v>18</v>
      </c>
      <c r="J533" t="s">
        <v>59</v>
      </c>
      <c r="K533" t="s">
        <v>26</v>
      </c>
      <c r="L533" t="s">
        <v>53</v>
      </c>
      <c r="M533">
        <v>9</v>
      </c>
      <c r="O533">
        <v>1</v>
      </c>
      <c r="P533" t="s">
        <v>61</v>
      </c>
      <c r="Q533">
        <v>190</v>
      </c>
      <c r="R533" t="s">
        <v>53</v>
      </c>
      <c r="S533">
        <f>IF(support_tickets[[#This Row],[status_cleaned]]="closed",1,0)</f>
        <v>0</v>
      </c>
      <c r="T533" t="str">
        <f>TEXT(support_tickets[[#This Row],[opened_at]],"mmm yyyy")</f>
        <v>Aug 2025</v>
      </c>
      <c r="U533">
        <f>YEAR(support_tickets[[#This Row],[opened_at]])*100+MONTH(support_tickets[[#This Row],[opened_at]])</f>
        <v>202508</v>
      </c>
      <c r="V533" s="29">
        <f>DATE(YEAR(support_tickets[[#This Row],[opened_at]]),MONTH(support_tickets[[#This Row],[opened_at]]),1)</f>
        <v>45870</v>
      </c>
    </row>
    <row r="534" spans="1:22">
      <c r="A534">
        <v>2461065744</v>
      </c>
      <c r="B534">
        <v>683364453</v>
      </c>
      <c r="C534" t="s">
        <v>178</v>
      </c>
      <c r="D534" t="s">
        <v>179</v>
      </c>
      <c r="E534">
        <v>85329037</v>
      </c>
      <c r="G534" s="1">
        <v>45872.095393518517</v>
      </c>
      <c r="I534" t="s">
        <v>37</v>
      </c>
      <c r="J534" t="s">
        <v>25</v>
      </c>
      <c r="K534" t="s">
        <v>26</v>
      </c>
      <c r="L534" t="s">
        <v>53</v>
      </c>
      <c r="M534">
        <v>48</v>
      </c>
      <c r="O534">
        <v>1</v>
      </c>
      <c r="P534" t="s">
        <v>27</v>
      </c>
      <c r="Q534">
        <v>266</v>
      </c>
      <c r="R534" t="s">
        <v>53</v>
      </c>
      <c r="S534">
        <f>IF(support_tickets[[#This Row],[status_cleaned]]="closed",1,0)</f>
        <v>0</v>
      </c>
      <c r="T534" t="str">
        <f>TEXT(support_tickets[[#This Row],[opened_at]],"mmm yyyy")</f>
        <v>Aug 2025</v>
      </c>
      <c r="U534">
        <f>YEAR(support_tickets[[#This Row],[opened_at]])*100+MONTH(support_tickets[[#This Row],[opened_at]])</f>
        <v>202508</v>
      </c>
      <c r="V534" s="29">
        <f>DATE(YEAR(support_tickets[[#This Row],[opened_at]]),MONTH(support_tickets[[#This Row],[opened_at]]),1)</f>
        <v>45870</v>
      </c>
    </row>
    <row r="535" spans="1:22">
      <c r="A535">
        <v>2881369290</v>
      </c>
      <c r="B535">
        <v>644738967</v>
      </c>
      <c r="C535" t="s">
        <v>594</v>
      </c>
      <c r="D535" t="s">
        <v>595</v>
      </c>
      <c r="E535">
        <v>86125617</v>
      </c>
      <c r="F535">
        <v>6717968085</v>
      </c>
      <c r="G535" s="1">
        <v>45753.892199074071</v>
      </c>
      <c r="I535" t="s">
        <v>18</v>
      </c>
      <c r="J535" t="s">
        <v>86</v>
      </c>
      <c r="K535" t="s">
        <v>26</v>
      </c>
      <c r="L535" t="s">
        <v>53</v>
      </c>
      <c r="M535">
        <v>20</v>
      </c>
      <c r="O535">
        <v>1</v>
      </c>
      <c r="P535" t="s">
        <v>87</v>
      </c>
      <c r="Q535">
        <v>337</v>
      </c>
      <c r="R535" t="s">
        <v>53</v>
      </c>
      <c r="S535">
        <f>IF(support_tickets[[#This Row],[status_cleaned]]="closed",1,0)</f>
        <v>0</v>
      </c>
      <c r="T535" t="str">
        <f>TEXT(support_tickets[[#This Row],[opened_at]],"mmm yyyy")</f>
        <v>Apr 2025</v>
      </c>
      <c r="U535">
        <f>YEAR(support_tickets[[#This Row],[opened_at]])*100+MONTH(support_tickets[[#This Row],[opened_at]])</f>
        <v>202504</v>
      </c>
      <c r="V535" s="29">
        <f>DATE(YEAR(support_tickets[[#This Row],[opened_at]]),MONTH(support_tickets[[#This Row],[opened_at]]),1)</f>
        <v>45748</v>
      </c>
    </row>
    <row r="536" spans="1:22">
      <c r="A536">
        <v>2886303290</v>
      </c>
      <c r="B536">
        <v>852178601</v>
      </c>
      <c r="C536" t="s">
        <v>596</v>
      </c>
      <c r="D536" t="s">
        <v>597</v>
      </c>
      <c r="E536">
        <v>19289546</v>
      </c>
      <c r="F536">
        <v>4078487866</v>
      </c>
      <c r="G536" s="1">
        <v>46094.058032407411</v>
      </c>
      <c r="I536" t="s">
        <v>3</v>
      </c>
      <c r="J536" t="s">
        <v>19</v>
      </c>
      <c r="K536" t="s">
        <v>26</v>
      </c>
      <c r="L536" t="s">
        <v>53</v>
      </c>
      <c r="M536">
        <v>41</v>
      </c>
      <c r="O536">
        <v>1</v>
      </c>
      <c r="P536" t="s">
        <v>22</v>
      </c>
      <c r="Q536">
        <v>338</v>
      </c>
      <c r="R536" t="s">
        <v>53</v>
      </c>
      <c r="S536">
        <f>IF(support_tickets[[#This Row],[status_cleaned]]="closed",1,0)</f>
        <v>0</v>
      </c>
      <c r="T536" t="str">
        <f>TEXT(support_tickets[[#This Row],[opened_at]],"mmm yyyy")</f>
        <v>Mar 2026</v>
      </c>
      <c r="U536">
        <f>YEAR(support_tickets[[#This Row],[opened_at]])*100+MONTH(support_tickets[[#This Row],[opened_at]])</f>
        <v>202603</v>
      </c>
      <c r="V536" s="29">
        <f>DATE(YEAR(support_tickets[[#This Row],[opened_at]]),MONTH(support_tickets[[#This Row],[opened_at]]),1)</f>
        <v>46082</v>
      </c>
    </row>
    <row r="537" spans="1:22">
      <c r="A537">
        <v>3247857318</v>
      </c>
      <c r="B537">
        <v>785826598</v>
      </c>
      <c r="C537" t="s">
        <v>682</v>
      </c>
      <c r="D537" t="s">
        <v>683</v>
      </c>
      <c r="E537">
        <v>99949389</v>
      </c>
      <c r="G537" s="1">
        <v>45479.576898148145</v>
      </c>
      <c r="I537" t="s">
        <v>43</v>
      </c>
      <c r="J537" t="s">
        <v>38</v>
      </c>
      <c r="K537" t="s">
        <v>26</v>
      </c>
      <c r="L537" t="s">
        <v>53</v>
      </c>
      <c r="M537">
        <v>65</v>
      </c>
      <c r="O537">
        <v>1</v>
      </c>
      <c r="P537" t="s">
        <v>40</v>
      </c>
      <c r="Q537">
        <v>403</v>
      </c>
      <c r="R537" t="s">
        <v>53</v>
      </c>
      <c r="S537">
        <f>IF(support_tickets[[#This Row],[status_cleaned]]="closed",1,0)</f>
        <v>0</v>
      </c>
      <c r="T537" t="str">
        <f>TEXT(support_tickets[[#This Row],[opened_at]],"mmm yyyy")</f>
        <v>Jul 2024</v>
      </c>
      <c r="U537">
        <f>YEAR(support_tickets[[#This Row],[opened_at]])*100+MONTH(support_tickets[[#This Row],[opened_at]])</f>
        <v>202407</v>
      </c>
      <c r="V537" s="29">
        <f>DATE(YEAR(support_tickets[[#This Row],[opened_at]]),MONTH(support_tickets[[#This Row],[opened_at]]),1)</f>
        <v>45474</v>
      </c>
    </row>
    <row r="538" spans="1:22">
      <c r="A538">
        <v>3605959759</v>
      </c>
      <c r="B538">
        <v>709844411</v>
      </c>
      <c r="C538" t="s">
        <v>770</v>
      </c>
      <c r="D538" t="s">
        <v>771</v>
      </c>
      <c r="E538">
        <v>43101783</v>
      </c>
      <c r="G538" s="1">
        <v>45358.207442129627</v>
      </c>
      <c r="I538" t="s">
        <v>3</v>
      </c>
      <c r="J538" t="s">
        <v>19</v>
      </c>
      <c r="K538" t="s">
        <v>26</v>
      </c>
      <c r="L538" t="s">
        <v>53</v>
      </c>
      <c r="M538">
        <v>1</v>
      </c>
      <c r="O538">
        <v>1</v>
      </c>
      <c r="P538" t="s">
        <v>22</v>
      </c>
      <c r="Q538">
        <v>465</v>
      </c>
      <c r="R538" t="s">
        <v>53</v>
      </c>
      <c r="S538">
        <f>IF(support_tickets[[#This Row],[status_cleaned]]="closed",1,0)</f>
        <v>0</v>
      </c>
      <c r="T538" t="str">
        <f>TEXT(support_tickets[[#This Row],[opened_at]],"mmm yyyy")</f>
        <v>Mar 2024</v>
      </c>
      <c r="U538">
        <f>YEAR(support_tickets[[#This Row],[opened_at]])*100+MONTH(support_tickets[[#This Row],[opened_at]])</f>
        <v>202403</v>
      </c>
      <c r="V538" s="29">
        <f>DATE(YEAR(support_tickets[[#This Row],[opened_at]]),MONTH(support_tickets[[#This Row],[opened_at]]),1)</f>
        <v>45352</v>
      </c>
    </row>
    <row r="539" spans="1:22">
      <c r="A539">
        <v>4137153076</v>
      </c>
      <c r="B539">
        <v>932120169</v>
      </c>
      <c r="C539" t="s">
        <v>870</v>
      </c>
      <c r="D539" t="s">
        <v>871</v>
      </c>
      <c r="E539">
        <v>95822412</v>
      </c>
      <c r="G539" s="1">
        <v>45320.150023148148</v>
      </c>
      <c r="I539" t="s">
        <v>52</v>
      </c>
      <c r="J539" t="s">
        <v>19</v>
      </c>
      <c r="K539" t="s">
        <v>26</v>
      </c>
      <c r="L539" t="s">
        <v>53</v>
      </c>
      <c r="M539">
        <v>22</v>
      </c>
      <c r="O539">
        <v>1</v>
      </c>
      <c r="P539" t="s">
        <v>22</v>
      </c>
      <c r="Q539">
        <v>542</v>
      </c>
      <c r="R539" t="s">
        <v>53</v>
      </c>
      <c r="S539">
        <f>IF(support_tickets[[#This Row],[status_cleaned]]="closed",1,0)</f>
        <v>0</v>
      </c>
      <c r="T539" t="str">
        <f>TEXT(support_tickets[[#This Row],[opened_at]],"mmm yyyy")</f>
        <v>Jan 2024</v>
      </c>
      <c r="U539">
        <f>YEAR(support_tickets[[#This Row],[opened_at]])*100+MONTH(support_tickets[[#This Row],[opened_at]])</f>
        <v>202401</v>
      </c>
      <c r="V539" s="29">
        <f>DATE(YEAR(support_tickets[[#This Row],[opened_at]]),MONTH(support_tickets[[#This Row],[opened_at]]),1)</f>
        <v>45292</v>
      </c>
    </row>
    <row r="540" spans="1:22">
      <c r="A540">
        <v>4217795669</v>
      </c>
      <c r="B540">
        <v>831424323</v>
      </c>
      <c r="C540" t="s">
        <v>882</v>
      </c>
      <c r="D540" t="s">
        <v>883</v>
      </c>
      <c r="E540">
        <v>75579548</v>
      </c>
      <c r="F540">
        <v>5571870428</v>
      </c>
      <c r="G540" s="1">
        <v>45515.420983796299</v>
      </c>
      <c r="I540" t="s">
        <v>56</v>
      </c>
      <c r="J540" t="s">
        <v>30</v>
      </c>
      <c r="K540" t="s">
        <v>26</v>
      </c>
      <c r="L540" t="s">
        <v>53</v>
      </c>
      <c r="M540">
        <v>30</v>
      </c>
      <c r="O540">
        <v>1</v>
      </c>
      <c r="P540" t="s">
        <v>31</v>
      </c>
      <c r="Q540">
        <v>554</v>
      </c>
      <c r="R540" t="s">
        <v>53</v>
      </c>
      <c r="S540">
        <f>IF(support_tickets[[#This Row],[status_cleaned]]="closed",1,0)</f>
        <v>0</v>
      </c>
      <c r="T540" t="str">
        <f>TEXT(support_tickets[[#This Row],[opened_at]],"mmm yyyy")</f>
        <v>Aug 2024</v>
      </c>
      <c r="U540">
        <f>YEAR(support_tickets[[#This Row],[opened_at]])*100+MONTH(support_tickets[[#This Row],[opened_at]])</f>
        <v>202408</v>
      </c>
      <c r="V540" s="29">
        <f>DATE(YEAR(support_tickets[[#This Row],[opened_at]]),MONTH(support_tickets[[#This Row],[opened_at]]),1)</f>
        <v>45505</v>
      </c>
    </row>
    <row r="541" spans="1:22">
      <c r="A541">
        <v>4384696270</v>
      </c>
      <c r="B541">
        <v>416779880</v>
      </c>
      <c r="C541" t="s">
        <v>710</v>
      </c>
      <c r="D541" t="s">
        <v>711</v>
      </c>
      <c r="E541">
        <v>84252722</v>
      </c>
      <c r="G541" s="1">
        <v>45806.395949074074</v>
      </c>
      <c r="I541" t="s">
        <v>18</v>
      </c>
      <c r="J541" t="s">
        <v>25</v>
      </c>
      <c r="K541" t="s">
        <v>26</v>
      </c>
      <c r="L541" t="s">
        <v>53</v>
      </c>
      <c r="M541">
        <v>77</v>
      </c>
      <c r="O541">
        <v>1</v>
      </c>
      <c r="P541" t="s">
        <v>27</v>
      </c>
      <c r="Q541">
        <v>585</v>
      </c>
      <c r="R541" t="s">
        <v>53</v>
      </c>
      <c r="S541">
        <f>IF(support_tickets[[#This Row],[status_cleaned]]="closed",1,0)</f>
        <v>0</v>
      </c>
      <c r="T541" t="str">
        <f>TEXT(support_tickets[[#This Row],[opened_at]],"mmm yyyy")</f>
        <v>May 2025</v>
      </c>
      <c r="U541">
        <f>YEAR(support_tickets[[#This Row],[opened_at]])*100+MONTH(support_tickets[[#This Row],[opened_at]])</f>
        <v>202505</v>
      </c>
      <c r="V541" s="29">
        <f>DATE(YEAR(support_tickets[[#This Row],[opened_at]]),MONTH(support_tickets[[#This Row],[opened_at]]),1)</f>
        <v>45778</v>
      </c>
    </row>
    <row r="542" spans="1:22">
      <c r="A542">
        <v>5202070490</v>
      </c>
      <c r="B542">
        <v>483426624</v>
      </c>
      <c r="C542" t="s">
        <v>916</v>
      </c>
      <c r="D542" t="s">
        <v>917</v>
      </c>
      <c r="E542">
        <v>36697396</v>
      </c>
      <c r="G542" s="1">
        <v>46100.563506944447</v>
      </c>
      <c r="I542" t="s">
        <v>3</v>
      </c>
      <c r="J542" t="s">
        <v>19</v>
      </c>
      <c r="K542" t="s">
        <v>26</v>
      </c>
      <c r="L542" t="s">
        <v>53</v>
      </c>
      <c r="M542">
        <v>49</v>
      </c>
      <c r="O542">
        <v>1</v>
      </c>
      <c r="P542" t="s">
        <v>22</v>
      </c>
      <c r="Q542">
        <v>732</v>
      </c>
      <c r="R542" t="s">
        <v>53</v>
      </c>
      <c r="S542">
        <f>IF(support_tickets[[#This Row],[status_cleaned]]="closed",1,0)</f>
        <v>0</v>
      </c>
      <c r="T542" t="str">
        <f>TEXT(support_tickets[[#This Row],[opened_at]],"mmm yyyy")</f>
        <v>Mar 2026</v>
      </c>
      <c r="U542">
        <f>YEAR(support_tickets[[#This Row],[opened_at]])*100+MONTH(support_tickets[[#This Row],[opened_at]])</f>
        <v>202603</v>
      </c>
      <c r="V542" s="29">
        <f>DATE(YEAR(support_tickets[[#This Row],[opened_at]]),MONTH(support_tickets[[#This Row],[opened_at]]),1)</f>
        <v>46082</v>
      </c>
    </row>
    <row r="543" spans="1:22">
      <c r="A543">
        <v>5214501853</v>
      </c>
      <c r="B543">
        <v>645055605</v>
      </c>
      <c r="C543" t="s">
        <v>504</v>
      </c>
      <c r="D543" t="s">
        <v>505</v>
      </c>
      <c r="E543">
        <v>31682744</v>
      </c>
      <c r="F543">
        <v>6249418877</v>
      </c>
      <c r="G543" s="1">
        <v>45497.973668981482</v>
      </c>
      <c r="I543" t="s">
        <v>3</v>
      </c>
      <c r="J543" t="s">
        <v>59</v>
      </c>
      <c r="K543" t="s">
        <v>26</v>
      </c>
      <c r="L543" t="s">
        <v>53</v>
      </c>
      <c r="M543">
        <v>21</v>
      </c>
      <c r="O543">
        <v>1</v>
      </c>
      <c r="P543" t="s">
        <v>61</v>
      </c>
      <c r="Q543">
        <v>736</v>
      </c>
      <c r="R543" t="s">
        <v>53</v>
      </c>
      <c r="S543">
        <f>IF(support_tickets[[#This Row],[status_cleaned]]="closed",1,0)</f>
        <v>0</v>
      </c>
      <c r="T543" t="str">
        <f>TEXT(support_tickets[[#This Row],[opened_at]],"mmm yyyy")</f>
        <v>Jul 2024</v>
      </c>
      <c r="U543">
        <f>YEAR(support_tickets[[#This Row],[opened_at]])*100+MONTH(support_tickets[[#This Row],[opened_at]])</f>
        <v>202407</v>
      </c>
      <c r="V543" s="29">
        <f>DATE(YEAR(support_tickets[[#This Row],[opened_at]]),MONTH(support_tickets[[#This Row],[opened_at]]),1)</f>
        <v>45474</v>
      </c>
    </row>
    <row r="544" spans="1:22">
      <c r="A544">
        <v>5337815589</v>
      </c>
      <c r="B544">
        <v>755064741</v>
      </c>
      <c r="C544" t="s">
        <v>654</v>
      </c>
      <c r="D544" t="s">
        <v>655</v>
      </c>
      <c r="E544">
        <v>60185867</v>
      </c>
      <c r="G544" s="1">
        <v>45650.853750000002</v>
      </c>
      <c r="I544" t="s">
        <v>46</v>
      </c>
      <c r="J544" t="s">
        <v>19</v>
      </c>
      <c r="K544" t="s">
        <v>26</v>
      </c>
      <c r="L544" t="s">
        <v>53</v>
      </c>
      <c r="M544">
        <v>28</v>
      </c>
      <c r="O544">
        <v>1</v>
      </c>
      <c r="P544" t="s">
        <v>22</v>
      </c>
      <c r="Q544">
        <v>766</v>
      </c>
      <c r="R544" t="s">
        <v>53</v>
      </c>
      <c r="S544">
        <f>IF(support_tickets[[#This Row],[status_cleaned]]="closed",1,0)</f>
        <v>0</v>
      </c>
      <c r="T544" t="str">
        <f>TEXT(support_tickets[[#This Row],[opened_at]],"mmm yyyy")</f>
        <v>Dec 2024</v>
      </c>
      <c r="U544">
        <f>YEAR(support_tickets[[#This Row],[opened_at]])*100+MONTH(support_tickets[[#This Row],[opened_at]])</f>
        <v>202412</v>
      </c>
      <c r="V544" s="29">
        <f>DATE(YEAR(support_tickets[[#This Row],[opened_at]]),MONTH(support_tickets[[#This Row],[opened_at]]),1)</f>
        <v>45627</v>
      </c>
    </row>
    <row r="545" spans="1:22">
      <c r="A545">
        <v>5434873419</v>
      </c>
      <c r="B545">
        <v>429430802</v>
      </c>
      <c r="C545" t="s">
        <v>1122</v>
      </c>
      <c r="D545" t="s">
        <v>1123</v>
      </c>
      <c r="E545">
        <v>40587988</v>
      </c>
      <c r="G545" s="1">
        <v>45852.940949074073</v>
      </c>
      <c r="I545" t="s">
        <v>18</v>
      </c>
      <c r="J545" t="s">
        <v>86</v>
      </c>
      <c r="K545" t="s">
        <v>26</v>
      </c>
      <c r="L545" t="s">
        <v>53</v>
      </c>
      <c r="M545">
        <v>45</v>
      </c>
      <c r="O545">
        <v>1</v>
      </c>
      <c r="P545" t="s">
        <v>87</v>
      </c>
      <c r="Q545">
        <v>789</v>
      </c>
      <c r="R545" t="s">
        <v>53</v>
      </c>
      <c r="S545">
        <f>IF(support_tickets[[#This Row],[status_cleaned]]="closed",1,0)</f>
        <v>0</v>
      </c>
      <c r="T545" t="str">
        <f>TEXT(support_tickets[[#This Row],[opened_at]],"mmm yyyy")</f>
        <v>Jul 2025</v>
      </c>
      <c r="U545">
        <f>YEAR(support_tickets[[#This Row],[opened_at]])*100+MONTH(support_tickets[[#This Row],[opened_at]])</f>
        <v>202507</v>
      </c>
      <c r="V545" s="29">
        <f>DATE(YEAR(support_tickets[[#This Row],[opened_at]]),MONTH(support_tickets[[#This Row],[opened_at]]),1)</f>
        <v>45839</v>
      </c>
    </row>
    <row r="546" spans="1:22">
      <c r="A546">
        <v>5581670573</v>
      </c>
      <c r="B546">
        <v>582452834</v>
      </c>
      <c r="C546" t="s">
        <v>1150</v>
      </c>
      <c r="D546" t="s">
        <v>1151</v>
      </c>
      <c r="E546">
        <v>84752529</v>
      </c>
      <c r="G546" s="1">
        <v>45831.629606481481</v>
      </c>
      <c r="I546" t="s">
        <v>46</v>
      </c>
      <c r="J546" t="s">
        <v>25</v>
      </c>
      <c r="K546" t="s">
        <v>26</v>
      </c>
      <c r="L546" t="s">
        <v>53</v>
      </c>
      <c r="M546">
        <v>29</v>
      </c>
      <c r="O546">
        <v>1</v>
      </c>
      <c r="P546" t="s">
        <v>27</v>
      </c>
      <c r="Q546">
        <v>817</v>
      </c>
      <c r="R546" t="s">
        <v>53</v>
      </c>
      <c r="S546">
        <f>IF(support_tickets[[#This Row],[status_cleaned]]="closed",1,0)</f>
        <v>0</v>
      </c>
      <c r="T546" t="str">
        <f>TEXT(support_tickets[[#This Row],[opened_at]],"mmm yyyy")</f>
        <v>Jun 2025</v>
      </c>
      <c r="U546">
        <f>YEAR(support_tickets[[#This Row],[opened_at]])*100+MONTH(support_tickets[[#This Row],[opened_at]])</f>
        <v>202506</v>
      </c>
      <c r="V546" s="29">
        <f>DATE(YEAR(support_tickets[[#This Row],[opened_at]]),MONTH(support_tickets[[#This Row],[opened_at]]),1)</f>
        <v>45809</v>
      </c>
    </row>
    <row r="547" spans="1:22">
      <c r="A547">
        <v>5752844974</v>
      </c>
      <c r="B547">
        <v>154337019</v>
      </c>
      <c r="C547" t="s">
        <v>290</v>
      </c>
      <c r="D547" t="s">
        <v>291</v>
      </c>
      <c r="E547">
        <v>70897765</v>
      </c>
      <c r="G547" s="1">
        <v>45782.683854166666</v>
      </c>
      <c r="I547" t="s">
        <v>18</v>
      </c>
      <c r="J547" t="s">
        <v>59</v>
      </c>
      <c r="K547" t="s">
        <v>26</v>
      </c>
      <c r="L547" t="s">
        <v>53</v>
      </c>
      <c r="M547">
        <v>44</v>
      </c>
      <c r="O547">
        <v>1</v>
      </c>
      <c r="P547" t="s">
        <v>61</v>
      </c>
      <c r="Q547">
        <v>845</v>
      </c>
      <c r="R547" t="s">
        <v>53</v>
      </c>
      <c r="S547">
        <f>IF(support_tickets[[#This Row],[status_cleaned]]="closed",1,0)</f>
        <v>0</v>
      </c>
      <c r="T547" t="str">
        <f>TEXT(support_tickets[[#This Row],[opened_at]],"mmm yyyy")</f>
        <v>May 2025</v>
      </c>
      <c r="U547">
        <f>YEAR(support_tickets[[#This Row],[opened_at]])*100+MONTH(support_tickets[[#This Row],[opened_at]])</f>
        <v>202505</v>
      </c>
      <c r="V547" s="29">
        <f>DATE(YEAR(support_tickets[[#This Row],[opened_at]]),MONTH(support_tickets[[#This Row],[opened_at]]),1)</f>
        <v>45778</v>
      </c>
    </row>
    <row r="548" spans="1:22">
      <c r="A548">
        <v>6072647985</v>
      </c>
      <c r="B548">
        <v>583156434</v>
      </c>
      <c r="C548" t="s">
        <v>420</v>
      </c>
      <c r="D548" t="s">
        <v>421</v>
      </c>
      <c r="E548">
        <v>43744231</v>
      </c>
      <c r="F548">
        <v>6940136692</v>
      </c>
      <c r="G548" s="1">
        <v>46067.053101851852</v>
      </c>
      <c r="I548" t="s">
        <v>37</v>
      </c>
      <c r="J548" t="s">
        <v>30</v>
      </c>
      <c r="K548" t="s">
        <v>26</v>
      </c>
      <c r="L548" t="s">
        <v>53</v>
      </c>
      <c r="M548">
        <v>51</v>
      </c>
      <c r="O548">
        <v>1</v>
      </c>
      <c r="P548" t="s">
        <v>31</v>
      </c>
      <c r="Q548">
        <v>903</v>
      </c>
      <c r="R548" t="s">
        <v>53</v>
      </c>
      <c r="S548">
        <f>IF(support_tickets[[#This Row],[status_cleaned]]="closed",1,0)</f>
        <v>0</v>
      </c>
      <c r="T548" t="str">
        <f>TEXT(support_tickets[[#This Row],[opened_at]],"mmm yyyy")</f>
        <v>Feb 2026</v>
      </c>
      <c r="U548">
        <f>YEAR(support_tickets[[#This Row],[opened_at]])*100+MONTH(support_tickets[[#This Row],[opened_at]])</f>
        <v>202602</v>
      </c>
      <c r="V548" s="29">
        <f>DATE(YEAR(support_tickets[[#This Row],[opened_at]]),MONTH(support_tickets[[#This Row],[opened_at]]),1)</f>
        <v>46054</v>
      </c>
    </row>
    <row r="549" spans="1:22">
      <c r="A549">
        <v>7207494281</v>
      </c>
      <c r="B549">
        <v>478918222</v>
      </c>
      <c r="C549" t="s">
        <v>1132</v>
      </c>
      <c r="D549" t="s">
        <v>1133</v>
      </c>
      <c r="E549">
        <v>96977837</v>
      </c>
      <c r="F549">
        <v>3217337132</v>
      </c>
      <c r="G549" s="1">
        <v>45557.562476851854</v>
      </c>
      <c r="I549" t="s">
        <v>56</v>
      </c>
      <c r="J549" t="s">
        <v>19</v>
      </c>
      <c r="K549" t="s">
        <v>26</v>
      </c>
      <c r="L549" t="s">
        <v>53</v>
      </c>
      <c r="M549">
        <v>24</v>
      </c>
      <c r="O549">
        <v>1</v>
      </c>
      <c r="P549" t="s">
        <v>22</v>
      </c>
      <c r="Q549">
        <v>1064</v>
      </c>
      <c r="R549" t="s">
        <v>53</v>
      </c>
      <c r="S549">
        <f>IF(support_tickets[[#This Row],[status_cleaned]]="closed",1,0)</f>
        <v>0</v>
      </c>
      <c r="T549" t="str">
        <f>TEXT(support_tickets[[#This Row],[opened_at]],"mmm yyyy")</f>
        <v>Sep 2024</v>
      </c>
      <c r="U549">
        <f>YEAR(support_tickets[[#This Row],[opened_at]])*100+MONTH(support_tickets[[#This Row],[opened_at]])</f>
        <v>202409</v>
      </c>
      <c r="V549" s="29">
        <f>DATE(YEAR(support_tickets[[#This Row],[opened_at]]),MONTH(support_tickets[[#This Row],[opened_at]]),1)</f>
        <v>45536</v>
      </c>
    </row>
    <row r="550" spans="1:22">
      <c r="A550">
        <v>7524043085</v>
      </c>
      <c r="B550">
        <v>583100677</v>
      </c>
      <c r="C550" t="s">
        <v>1378</v>
      </c>
      <c r="D550" t="s">
        <v>1379</v>
      </c>
      <c r="E550">
        <v>58966946</v>
      </c>
      <c r="F550">
        <v>7818599399</v>
      </c>
      <c r="G550" s="1">
        <v>45295.094733796293</v>
      </c>
      <c r="I550" t="s">
        <v>52</v>
      </c>
      <c r="J550" t="s">
        <v>25</v>
      </c>
      <c r="K550" t="s">
        <v>26</v>
      </c>
      <c r="L550" t="s">
        <v>53</v>
      </c>
      <c r="M550">
        <v>56</v>
      </c>
      <c r="O550">
        <v>1</v>
      </c>
      <c r="P550" t="s">
        <v>27</v>
      </c>
      <c r="Q550">
        <v>1111</v>
      </c>
      <c r="R550" t="s">
        <v>53</v>
      </c>
      <c r="S550">
        <f>IF(support_tickets[[#This Row],[status_cleaned]]="closed",1,0)</f>
        <v>0</v>
      </c>
      <c r="T550" t="str">
        <f>TEXT(support_tickets[[#This Row],[opened_at]],"mmm yyyy")</f>
        <v>Jan 2024</v>
      </c>
      <c r="U550">
        <f>YEAR(support_tickets[[#This Row],[opened_at]])*100+MONTH(support_tickets[[#This Row],[opened_at]])</f>
        <v>202401</v>
      </c>
      <c r="V550" s="29">
        <f>DATE(YEAR(support_tickets[[#This Row],[opened_at]]),MONTH(support_tickets[[#This Row],[opened_at]]),1)</f>
        <v>45292</v>
      </c>
    </row>
    <row r="551" spans="1:22">
      <c r="A551">
        <v>7945899105</v>
      </c>
      <c r="B551">
        <v>139711044</v>
      </c>
      <c r="C551" t="s">
        <v>154</v>
      </c>
      <c r="D551" t="s">
        <v>155</v>
      </c>
      <c r="E551">
        <v>50056581</v>
      </c>
      <c r="G551" s="1">
        <v>45768.753819444442</v>
      </c>
      <c r="I551" t="s">
        <v>43</v>
      </c>
      <c r="J551" t="s">
        <v>30</v>
      </c>
      <c r="K551" t="s">
        <v>26</v>
      </c>
      <c r="L551" t="s">
        <v>53</v>
      </c>
      <c r="M551">
        <v>25</v>
      </c>
      <c r="O551">
        <v>1</v>
      </c>
      <c r="P551" t="s">
        <v>31</v>
      </c>
      <c r="Q551">
        <v>1179</v>
      </c>
      <c r="R551" t="s">
        <v>53</v>
      </c>
      <c r="S551">
        <f>IF(support_tickets[[#This Row],[status_cleaned]]="closed",1,0)</f>
        <v>0</v>
      </c>
      <c r="T551" t="str">
        <f>TEXT(support_tickets[[#This Row],[opened_at]],"mmm yyyy")</f>
        <v>Apr 2025</v>
      </c>
      <c r="U551">
        <f>YEAR(support_tickets[[#This Row],[opened_at]])*100+MONTH(support_tickets[[#This Row],[opened_at]])</f>
        <v>202504</v>
      </c>
      <c r="V551" s="29">
        <f>DATE(YEAR(support_tickets[[#This Row],[opened_at]]),MONTH(support_tickets[[#This Row],[opened_at]]),1)</f>
        <v>45748</v>
      </c>
    </row>
    <row r="552" spans="1:22">
      <c r="A552">
        <v>8488196081</v>
      </c>
      <c r="B552">
        <v>220483278</v>
      </c>
      <c r="C552" t="s">
        <v>700</v>
      </c>
      <c r="D552" t="s">
        <v>701</v>
      </c>
      <c r="E552">
        <v>16150444</v>
      </c>
      <c r="G552" s="1">
        <v>45972.439479166664</v>
      </c>
      <c r="I552" t="s">
        <v>37</v>
      </c>
      <c r="J552" t="s">
        <v>19</v>
      </c>
      <c r="K552" t="s">
        <v>26</v>
      </c>
      <c r="L552" t="s">
        <v>53</v>
      </c>
      <c r="M552">
        <v>25</v>
      </c>
      <c r="O552">
        <v>1</v>
      </c>
      <c r="P552" t="s">
        <v>22</v>
      </c>
      <c r="Q552">
        <v>1253</v>
      </c>
      <c r="R552" t="s">
        <v>53</v>
      </c>
      <c r="S552">
        <f>IF(support_tickets[[#This Row],[status_cleaned]]="closed",1,0)</f>
        <v>0</v>
      </c>
      <c r="T552" t="str">
        <f>TEXT(support_tickets[[#This Row],[opened_at]],"mmm yyyy")</f>
        <v>Nov 2025</v>
      </c>
      <c r="U552">
        <f>YEAR(support_tickets[[#This Row],[opened_at]])*100+MONTH(support_tickets[[#This Row],[opened_at]])</f>
        <v>202511</v>
      </c>
      <c r="V552" s="29">
        <f>DATE(YEAR(support_tickets[[#This Row],[opened_at]]),MONTH(support_tickets[[#This Row],[opened_at]]),1)</f>
        <v>45962</v>
      </c>
    </row>
    <row r="553" spans="1:22">
      <c r="A553">
        <v>8754233587</v>
      </c>
      <c r="B553">
        <v>973498494</v>
      </c>
      <c r="C553" t="s">
        <v>478</v>
      </c>
      <c r="D553" t="s">
        <v>479</v>
      </c>
      <c r="E553">
        <v>22981052</v>
      </c>
      <c r="G553" s="1">
        <v>45933.271736111114</v>
      </c>
      <c r="I553" t="s">
        <v>56</v>
      </c>
      <c r="J553" t="s">
        <v>38</v>
      </c>
      <c r="K553" t="s">
        <v>26</v>
      </c>
      <c r="L553" t="s">
        <v>53</v>
      </c>
      <c r="M553">
        <v>90</v>
      </c>
      <c r="O553">
        <v>1</v>
      </c>
      <c r="P553" t="s">
        <v>40</v>
      </c>
      <c r="Q553">
        <v>1304</v>
      </c>
      <c r="R553" t="s">
        <v>53</v>
      </c>
      <c r="S553">
        <f>IF(support_tickets[[#This Row],[status_cleaned]]="closed",1,0)</f>
        <v>0</v>
      </c>
      <c r="T553" t="str">
        <f>TEXT(support_tickets[[#This Row],[opened_at]],"mmm yyyy")</f>
        <v>Oct 2025</v>
      </c>
      <c r="U553">
        <f>YEAR(support_tickets[[#This Row],[opened_at]])*100+MONTH(support_tickets[[#This Row],[opened_at]])</f>
        <v>202510</v>
      </c>
      <c r="V553" s="29">
        <f>DATE(YEAR(support_tickets[[#This Row],[opened_at]]),MONTH(support_tickets[[#This Row],[opened_at]]),1)</f>
        <v>45931</v>
      </c>
    </row>
    <row r="554" spans="1:22">
      <c r="A554">
        <v>9167683678</v>
      </c>
      <c r="B554">
        <v>196057712</v>
      </c>
      <c r="C554" t="s">
        <v>780</v>
      </c>
      <c r="D554" t="s">
        <v>781</v>
      </c>
      <c r="E554">
        <v>39587039</v>
      </c>
      <c r="G554" s="1">
        <v>45338.87840277778</v>
      </c>
      <c r="I554" t="s">
        <v>37</v>
      </c>
      <c r="J554" t="s">
        <v>19</v>
      </c>
      <c r="K554" t="s">
        <v>26</v>
      </c>
      <c r="L554" t="s">
        <v>53</v>
      </c>
      <c r="M554">
        <v>66</v>
      </c>
      <c r="O554">
        <v>1</v>
      </c>
      <c r="P554" t="s">
        <v>22</v>
      </c>
      <c r="Q554">
        <v>1380</v>
      </c>
      <c r="R554" t="s">
        <v>53</v>
      </c>
      <c r="S554">
        <f>IF(support_tickets[[#This Row],[status_cleaned]]="closed",1,0)</f>
        <v>0</v>
      </c>
      <c r="T554" t="str">
        <f>TEXT(support_tickets[[#This Row],[opened_at]],"mmm yyyy")</f>
        <v>Feb 2024</v>
      </c>
      <c r="U554">
        <f>YEAR(support_tickets[[#This Row],[opened_at]])*100+MONTH(support_tickets[[#This Row],[opened_at]])</f>
        <v>202402</v>
      </c>
      <c r="V554" s="29">
        <f>DATE(YEAR(support_tickets[[#This Row],[opened_at]]),MONTH(support_tickets[[#This Row],[opened_at]]),1)</f>
        <v>45323</v>
      </c>
    </row>
    <row r="555" spans="1:22">
      <c r="A555">
        <v>9605369769</v>
      </c>
      <c r="B555">
        <v>455069350</v>
      </c>
      <c r="C555" t="s">
        <v>1509</v>
      </c>
      <c r="D555" t="s">
        <v>1510</v>
      </c>
      <c r="E555">
        <v>22575562</v>
      </c>
      <c r="G555" s="1">
        <v>45793.555983796294</v>
      </c>
      <c r="I555" t="s">
        <v>56</v>
      </c>
      <c r="J555" t="s">
        <v>25</v>
      </c>
      <c r="K555" t="s">
        <v>26</v>
      </c>
      <c r="L555" t="s">
        <v>53</v>
      </c>
      <c r="M555">
        <v>19</v>
      </c>
      <c r="O555">
        <v>1</v>
      </c>
      <c r="P555" t="s">
        <v>27</v>
      </c>
      <c r="Q555">
        <v>1451</v>
      </c>
      <c r="R555" t="s">
        <v>53</v>
      </c>
      <c r="S555">
        <f>IF(support_tickets[[#This Row],[status_cleaned]]="closed",1,0)</f>
        <v>0</v>
      </c>
      <c r="T555" t="str">
        <f>TEXT(support_tickets[[#This Row],[opened_at]],"mmm yyyy")</f>
        <v>May 2025</v>
      </c>
      <c r="U555">
        <f>YEAR(support_tickets[[#This Row],[opened_at]])*100+MONTH(support_tickets[[#This Row],[opened_at]])</f>
        <v>202505</v>
      </c>
      <c r="V555" s="29">
        <f>DATE(YEAR(support_tickets[[#This Row],[opened_at]]),MONTH(support_tickets[[#This Row],[opened_at]]),1)</f>
        <v>45778</v>
      </c>
    </row>
    <row r="556" spans="1:22">
      <c r="A556">
        <v>9708004856</v>
      </c>
      <c r="B556">
        <v>889401015</v>
      </c>
      <c r="C556" t="s">
        <v>220</v>
      </c>
      <c r="D556" t="s">
        <v>221</v>
      </c>
      <c r="E556">
        <v>43744231</v>
      </c>
      <c r="F556">
        <v>8242457324</v>
      </c>
      <c r="G556" s="1">
        <v>45389.621018518519</v>
      </c>
      <c r="I556" t="s">
        <v>46</v>
      </c>
      <c r="J556" t="s">
        <v>59</v>
      </c>
      <c r="K556" t="s">
        <v>26</v>
      </c>
      <c r="L556" t="s">
        <v>53</v>
      </c>
      <c r="M556">
        <v>47</v>
      </c>
      <c r="O556">
        <v>1</v>
      </c>
      <c r="P556" t="s">
        <v>61</v>
      </c>
      <c r="Q556">
        <v>1470</v>
      </c>
      <c r="R556" t="s">
        <v>53</v>
      </c>
      <c r="S556">
        <f>IF(support_tickets[[#This Row],[status_cleaned]]="closed",1,0)</f>
        <v>0</v>
      </c>
      <c r="T556" t="str">
        <f>TEXT(support_tickets[[#This Row],[opened_at]],"mmm yyyy")</f>
        <v>Apr 2024</v>
      </c>
      <c r="U556">
        <f>YEAR(support_tickets[[#This Row],[opened_at]])*100+MONTH(support_tickets[[#This Row],[opened_at]])</f>
        <v>202404</v>
      </c>
      <c r="V556" s="29">
        <f>DATE(YEAR(support_tickets[[#This Row],[opened_at]]),MONTH(support_tickets[[#This Row],[opened_at]]),1)</f>
        <v>45383</v>
      </c>
    </row>
    <row r="557" spans="1:22">
      <c r="A557">
        <v>1129738207</v>
      </c>
      <c r="B557">
        <v>992398092</v>
      </c>
      <c r="C557" t="s">
        <v>92</v>
      </c>
      <c r="D557" t="s">
        <v>93</v>
      </c>
      <c r="E557">
        <v>38317637</v>
      </c>
      <c r="G557" s="1">
        <v>45416.316550925927</v>
      </c>
      <c r="I557" t="s">
        <v>3</v>
      </c>
      <c r="J557" t="s">
        <v>19</v>
      </c>
      <c r="K557" t="s">
        <v>26</v>
      </c>
      <c r="L557" t="s">
        <v>66</v>
      </c>
      <c r="M557">
        <v>38</v>
      </c>
      <c r="O557">
        <v>0</v>
      </c>
      <c r="P557" t="s">
        <v>22</v>
      </c>
      <c r="Q557">
        <v>25</v>
      </c>
      <c r="R557" t="s">
        <v>1607</v>
      </c>
      <c r="S557">
        <f>IF(support_tickets[[#This Row],[status_cleaned]]="closed",1,0)</f>
        <v>0</v>
      </c>
      <c r="T557" t="str">
        <f>TEXT(support_tickets[[#This Row],[opened_at]],"mmm yyyy")</f>
        <v>May 2024</v>
      </c>
      <c r="U557">
        <f>YEAR(support_tickets[[#This Row],[opened_at]])*100+MONTH(support_tickets[[#This Row],[opened_at]])</f>
        <v>202405</v>
      </c>
      <c r="V557" s="29">
        <f>DATE(YEAR(support_tickets[[#This Row],[opened_at]]),MONTH(support_tickets[[#This Row],[opened_at]]),1)</f>
        <v>45413</v>
      </c>
    </row>
    <row r="558" spans="1:22">
      <c r="A558">
        <v>1251020894</v>
      </c>
      <c r="B558">
        <v>306442077</v>
      </c>
      <c r="C558" t="s">
        <v>140</v>
      </c>
      <c r="D558" t="s">
        <v>141</v>
      </c>
      <c r="E558">
        <v>31472420</v>
      </c>
      <c r="F558">
        <v>9516613938</v>
      </c>
      <c r="G558" s="1">
        <v>46045.060162037036</v>
      </c>
      <c r="I558" t="s">
        <v>37</v>
      </c>
      <c r="J558" t="s">
        <v>59</v>
      </c>
      <c r="K558" t="s">
        <v>26</v>
      </c>
      <c r="L558" t="s">
        <v>66</v>
      </c>
      <c r="M558">
        <v>37</v>
      </c>
      <c r="O558">
        <v>0</v>
      </c>
      <c r="P558" t="s">
        <v>61</v>
      </c>
      <c r="Q558">
        <v>50</v>
      </c>
      <c r="R558" t="s">
        <v>1607</v>
      </c>
      <c r="S558">
        <f>IF(support_tickets[[#This Row],[status_cleaned]]="closed",1,0)</f>
        <v>0</v>
      </c>
      <c r="T558" t="str">
        <f>TEXT(support_tickets[[#This Row],[opened_at]],"mmm yyyy")</f>
        <v>Jan 2026</v>
      </c>
      <c r="U558">
        <f>YEAR(support_tickets[[#This Row],[opened_at]])*100+MONTH(support_tickets[[#This Row],[opened_at]])</f>
        <v>202601</v>
      </c>
      <c r="V558" s="29">
        <f>DATE(YEAR(support_tickets[[#This Row],[opened_at]]),MONTH(support_tickets[[#This Row],[opened_at]]),1)</f>
        <v>46023</v>
      </c>
    </row>
    <row r="559" spans="1:22">
      <c r="A559">
        <v>1715110804</v>
      </c>
      <c r="B559">
        <v>144996163</v>
      </c>
      <c r="C559" t="s">
        <v>280</v>
      </c>
      <c r="D559" t="s">
        <v>281</v>
      </c>
      <c r="E559">
        <v>28566572</v>
      </c>
      <c r="F559">
        <v>5892956017</v>
      </c>
      <c r="G559" s="1">
        <v>46007.818113425928</v>
      </c>
      <c r="I559" t="s">
        <v>18</v>
      </c>
      <c r="J559" t="s">
        <v>19</v>
      </c>
      <c r="K559" t="s">
        <v>26</v>
      </c>
      <c r="L559" t="s">
        <v>66</v>
      </c>
      <c r="M559">
        <v>29</v>
      </c>
      <c r="O559">
        <v>0</v>
      </c>
      <c r="P559" t="s">
        <v>22</v>
      </c>
      <c r="Q559">
        <v>128</v>
      </c>
      <c r="R559" t="s">
        <v>1607</v>
      </c>
      <c r="S559">
        <f>IF(support_tickets[[#This Row],[status_cleaned]]="closed",1,0)</f>
        <v>0</v>
      </c>
      <c r="T559" t="str">
        <f>TEXT(support_tickets[[#This Row],[opened_at]],"mmm yyyy")</f>
        <v>Dec 2025</v>
      </c>
      <c r="U559">
        <f>YEAR(support_tickets[[#This Row],[opened_at]])*100+MONTH(support_tickets[[#This Row],[opened_at]])</f>
        <v>202512</v>
      </c>
      <c r="V559" s="29">
        <f>DATE(YEAR(support_tickets[[#This Row],[opened_at]]),MONTH(support_tickets[[#This Row],[opened_at]]),1)</f>
        <v>45992</v>
      </c>
    </row>
    <row r="560" spans="1:22">
      <c r="A560">
        <v>1765622731</v>
      </c>
      <c r="B560">
        <v>717294720</v>
      </c>
      <c r="C560" t="s">
        <v>308</v>
      </c>
      <c r="D560" t="s">
        <v>309</v>
      </c>
      <c r="E560">
        <v>40742311</v>
      </c>
      <c r="F560">
        <v>9479858251</v>
      </c>
      <c r="G560" s="1">
        <v>45979.86577546296</v>
      </c>
      <c r="H560" s="1">
        <v>45980.91646990741</v>
      </c>
      <c r="I560" t="s">
        <v>52</v>
      </c>
      <c r="J560" t="s">
        <v>38</v>
      </c>
      <c r="K560" t="s">
        <v>26</v>
      </c>
      <c r="L560" t="s">
        <v>66</v>
      </c>
      <c r="M560">
        <v>67</v>
      </c>
      <c r="N560">
        <v>1513</v>
      </c>
      <c r="O560">
        <v>0</v>
      </c>
      <c r="P560" t="s">
        <v>40</v>
      </c>
      <c r="Q560">
        <v>145</v>
      </c>
      <c r="R560" t="s">
        <v>1607</v>
      </c>
      <c r="S560">
        <f>IF(support_tickets[[#This Row],[status_cleaned]]="closed",1,0)</f>
        <v>0</v>
      </c>
      <c r="T560" t="str">
        <f>TEXT(support_tickets[[#This Row],[opened_at]],"mmm yyyy")</f>
        <v>Nov 2025</v>
      </c>
      <c r="U560">
        <f>YEAR(support_tickets[[#This Row],[opened_at]])*100+MONTH(support_tickets[[#This Row],[opened_at]])</f>
        <v>202511</v>
      </c>
      <c r="V560" s="29">
        <f>DATE(YEAR(support_tickets[[#This Row],[opened_at]]),MONTH(support_tickets[[#This Row],[opened_at]]),1)</f>
        <v>45962</v>
      </c>
    </row>
    <row r="561" spans="1:22">
      <c r="A561">
        <v>2607285191</v>
      </c>
      <c r="B561">
        <v>419367188</v>
      </c>
      <c r="C561" t="s">
        <v>528</v>
      </c>
      <c r="D561" t="s">
        <v>529</v>
      </c>
      <c r="E561">
        <v>38898923</v>
      </c>
      <c r="G561" s="1">
        <v>45537.141331018516</v>
      </c>
      <c r="I561" t="s">
        <v>56</v>
      </c>
      <c r="J561" t="s">
        <v>86</v>
      </c>
      <c r="K561" t="s">
        <v>26</v>
      </c>
      <c r="L561" t="s">
        <v>66</v>
      </c>
      <c r="M561">
        <v>35</v>
      </c>
      <c r="O561">
        <v>0</v>
      </c>
      <c r="P561" t="s">
        <v>87</v>
      </c>
      <c r="Q561">
        <v>287</v>
      </c>
      <c r="R561" t="s">
        <v>1607</v>
      </c>
      <c r="S561">
        <f>IF(support_tickets[[#This Row],[status_cleaned]]="closed",1,0)</f>
        <v>0</v>
      </c>
      <c r="T561" t="str">
        <f>TEXT(support_tickets[[#This Row],[opened_at]],"mmm yyyy")</f>
        <v>Sep 2024</v>
      </c>
      <c r="U561">
        <f>YEAR(support_tickets[[#This Row],[opened_at]])*100+MONTH(support_tickets[[#This Row],[opened_at]])</f>
        <v>202409</v>
      </c>
      <c r="V561" s="29">
        <f>DATE(YEAR(support_tickets[[#This Row],[opened_at]]),MONTH(support_tickets[[#This Row],[opened_at]]),1)</f>
        <v>45536</v>
      </c>
    </row>
    <row r="562" spans="1:22">
      <c r="A562">
        <v>2917760909</v>
      </c>
      <c r="B562">
        <v>221814525</v>
      </c>
      <c r="C562" t="s">
        <v>602</v>
      </c>
      <c r="D562" t="s">
        <v>603</v>
      </c>
      <c r="E562">
        <v>99949389</v>
      </c>
      <c r="F562">
        <v>7382004228</v>
      </c>
      <c r="G562" s="1">
        <v>45956.918854166666</v>
      </c>
      <c r="I562" t="s">
        <v>18</v>
      </c>
      <c r="J562" t="s">
        <v>30</v>
      </c>
      <c r="K562" t="s">
        <v>26</v>
      </c>
      <c r="L562" t="s">
        <v>66</v>
      </c>
      <c r="M562">
        <v>41</v>
      </c>
      <c r="O562">
        <v>0</v>
      </c>
      <c r="P562" t="s">
        <v>31</v>
      </c>
      <c r="Q562">
        <v>342</v>
      </c>
      <c r="R562" t="s">
        <v>1607</v>
      </c>
      <c r="S562">
        <f>IF(support_tickets[[#This Row],[status_cleaned]]="closed",1,0)</f>
        <v>0</v>
      </c>
      <c r="T562" t="str">
        <f>TEXT(support_tickets[[#This Row],[opened_at]],"mmm yyyy")</f>
        <v>Oct 2025</v>
      </c>
      <c r="U562">
        <f>YEAR(support_tickets[[#This Row],[opened_at]])*100+MONTH(support_tickets[[#This Row],[opened_at]])</f>
        <v>202510</v>
      </c>
      <c r="V562" s="29">
        <f>DATE(YEAR(support_tickets[[#This Row],[opened_at]]),MONTH(support_tickets[[#This Row],[opened_at]]),1)</f>
        <v>45931</v>
      </c>
    </row>
    <row r="563" spans="1:22">
      <c r="A563">
        <v>2968302927</v>
      </c>
      <c r="B563">
        <v>341449138</v>
      </c>
      <c r="C563" t="s">
        <v>470</v>
      </c>
      <c r="D563" t="s">
        <v>471</v>
      </c>
      <c r="E563">
        <v>61642594</v>
      </c>
      <c r="G563" s="1">
        <v>46011.604317129626</v>
      </c>
      <c r="I563" t="s">
        <v>43</v>
      </c>
      <c r="J563" t="s">
        <v>59</v>
      </c>
      <c r="K563" t="s">
        <v>26</v>
      </c>
      <c r="L563" t="s">
        <v>66</v>
      </c>
      <c r="M563">
        <v>42</v>
      </c>
      <c r="O563">
        <v>0</v>
      </c>
      <c r="P563" t="s">
        <v>61</v>
      </c>
      <c r="Q563">
        <v>352</v>
      </c>
      <c r="R563" t="s">
        <v>1607</v>
      </c>
      <c r="S563">
        <f>IF(support_tickets[[#This Row],[status_cleaned]]="closed",1,0)</f>
        <v>0</v>
      </c>
      <c r="T563" t="str">
        <f>TEXT(support_tickets[[#This Row],[opened_at]],"mmm yyyy")</f>
        <v>Dec 2025</v>
      </c>
      <c r="U563">
        <f>YEAR(support_tickets[[#This Row],[opened_at]])*100+MONTH(support_tickets[[#This Row],[opened_at]])</f>
        <v>202512</v>
      </c>
      <c r="V563" s="29">
        <f>DATE(YEAR(support_tickets[[#This Row],[opened_at]]),MONTH(support_tickets[[#This Row],[opened_at]]),1)</f>
        <v>45992</v>
      </c>
    </row>
    <row r="564" spans="1:22">
      <c r="A564">
        <v>3152845922</v>
      </c>
      <c r="B564">
        <v>636687537</v>
      </c>
      <c r="C564" t="s">
        <v>668</v>
      </c>
      <c r="D564" t="s">
        <v>669</v>
      </c>
      <c r="E564">
        <v>38119557</v>
      </c>
      <c r="G564" s="1">
        <v>45983.514664351853</v>
      </c>
      <c r="I564" t="s">
        <v>46</v>
      </c>
      <c r="J564" t="s">
        <v>30</v>
      </c>
      <c r="K564" t="s">
        <v>26</v>
      </c>
      <c r="L564" t="s">
        <v>66</v>
      </c>
      <c r="M564">
        <v>11</v>
      </c>
      <c r="O564">
        <v>0</v>
      </c>
      <c r="P564" t="s">
        <v>31</v>
      </c>
      <c r="Q564">
        <v>392</v>
      </c>
      <c r="R564" t="s">
        <v>1607</v>
      </c>
      <c r="S564">
        <f>IF(support_tickets[[#This Row],[status_cleaned]]="closed",1,0)</f>
        <v>0</v>
      </c>
      <c r="T564" t="str">
        <f>TEXT(support_tickets[[#This Row],[opened_at]],"mmm yyyy")</f>
        <v>Nov 2025</v>
      </c>
      <c r="U564">
        <f>YEAR(support_tickets[[#This Row],[opened_at]])*100+MONTH(support_tickets[[#This Row],[opened_at]])</f>
        <v>202511</v>
      </c>
      <c r="V564" s="29">
        <f>DATE(YEAR(support_tickets[[#This Row],[opened_at]]),MONTH(support_tickets[[#This Row],[opened_at]]),1)</f>
        <v>45962</v>
      </c>
    </row>
    <row r="565" spans="1:22">
      <c r="A565">
        <v>4308518686</v>
      </c>
      <c r="B565">
        <v>902448600</v>
      </c>
      <c r="C565" t="s">
        <v>898</v>
      </c>
      <c r="D565" t="s">
        <v>899</v>
      </c>
      <c r="E565">
        <v>28728463</v>
      </c>
      <c r="G565" s="1">
        <v>45946.301921296297</v>
      </c>
      <c r="H565" s="1">
        <v>45946.890115740738</v>
      </c>
      <c r="I565" t="s">
        <v>18</v>
      </c>
      <c r="J565" t="s">
        <v>19</v>
      </c>
      <c r="K565" t="s">
        <v>26</v>
      </c>
      <c r="L565" t="s">
        <v>66</v>
      </c>
      <c r="M565">
        <v>3</v>
      </c>
      <c r="N565">
        <v>847</v>
      </c>
      <c r="O565">
        <v>0</v>
      </c>
      <c r="P565" t="s">
        <v>22</v>
      </c>
      <c r="Q565">
        <v>571</v>
      </c>
      <c r="R565" t="s">
        <v>1607</v>
      </c>
      <c r="S565">
        <f>IF(support_tickets[[#This Row],[status_cleaned]]="closed",1,0)</f>
        <v>0</v>
      </c>
      <c r="T565" t="str">
        <f>TEXT(support_tickets[[#This Row],[opened_at]],"mmm yyyy")</f>
        <v>Oct 2025</v>
      </c>
      <c r="U565">
        <f>YEAR(support_tickets[[#This Row],[opened_at]])*100+MONTH(support_tickets[[#This Row],[opened_at]])</f>
        <v>202510</v>
      </c>
      <c r="V565" s="29">
        <f>DATE(YEAR(support_tickets[[#This Row],[opened_at]]),MONTH(support_tickets[[#This Row],[opened_at]]),1)</f>
        <v>45931</v>
      </c>
    </row>
    <row r="566" spans="1:22">
      <c r="A566">
        <v>4536696963</v>
      </c>
      <c r="B566">
        <v>845156039</v>
      </c>
      <c r="C566" t="s">
        <v>336</v>
      </c>
      <c r="D566" t="s">
        <v>337</v>
      </c>
      <c r="E566">
        <v>77187530</v>
      </c>
      <c r="G566" s="1">
        <v>45734.30945601852</v>
      </c>
      <c r="I566" t="s">
        <v>3</v>
      </c>
      <c r="J566" t="s">
        <v>19</v>
      </c>
      <c r="K566" t="s">
        <v>26</v>
      </c>
      <c r="L566" t="s">
        <v>66</v>
      </c>
      <c r="M566">
        <v>45</v>
      </c>
      <c r="O566">
        <v>0</v>
      </c>
      <c r="P566" t="s">
        <v>22</v>
      </c>
      <c r="Q566">
        <v>618</v>
      </c>
      <c r="R566" t="s">
        <v>1607</v>
      </c>
      <c r="S566">
        <f>IF(support_tickets[[#This Row],[status_cleaned]]="closed",1,0)</f>
        <v>0</v>
      </c>
      <c r="T566" t="str">
        <f>TEXT(support_tickets[[#This Row],[opened_at]],"mmm yyyy")</f>
        <v>Mar 2025</v>
      </c>
      <c r="U566">
        <f>YEAR(support_tickets[[#This Row],[opened_at]])*100+MONTH(support_tickets[[#This Row],[opened_at]])</f>
        <v>202503</v>
      </c>
      <c r="V566" s="29">
        <f>DATE(YEAR(support_tickets[[#This Row],[opened_at]]),MONTH(support_tickets[[#This Row],[opened_at]]),1)</f>
        <v>45717</v>
      </c>
    </row>
    <row r="567" spans="1:22">
      <c r="A567">
        <v>4540086041</v>
      </c>
      <c r="B567">
        <v>928393291</v>
      </c>
      <c r="C567" t="s">
        <v>956</v>
      </c>
      <c r="D567" t="s">
        <v>957</v>
      </c>
      <c r="E567">
        <v>83793389</v>
      </c>
      <c r="G567" s="1">
        <v>46015.066192129627</v>
      </c>
      <c r="I567" t="s">
        <v>43</v>
      </c>
      <c r="J567" t="s">
        <v>86</v>
      </c>
      <c r="K567" t="s">
        <v>26</v>
      </c>
      <c r="L567" t="s">
        <v>66</v>
      </c>
      <c r="M567">
        <v>67</v>
      </c>
      <c r="O567">
        <v>0</v>
      </c>
      <c r="P567" t="s">
        <v>87</v>
      </c>
      <c r="Q567">
        <v>619</v>
      </c>
      <c r="R567" t="s">
        <v>1607</v>
      </c>
      <c r="S567">
        <f>IF(support_tickets[[#This Row],[status_cleaned]]="closed",1,0)</f>
        <v>0</v>
      </c>
      <c r="T567" t="str">
        <f>TEXT(support_tickets[[#This Row],[opened_at]],"mmm yyyy")</f>
        <v>Dec 2025</v>
      </c>
      <c r="U567">
        <f>YEAR(support_tickets[[#This Row],[opened_at]])*100+MONTH(support_tickets[[#This Row],[opened_at]])</f>
        <v>202512</v>
      </c>
      <c r="V567" s="29">
        <f>DATE(YEAR(support_tickets[[#This Row],[opened_at]]),MONTH(support_tickets[[#This Row],[opened_at]]),1)</f>
        <v>45992</v>
      </c>
    </row>
    <row r="568" spans="1:22">
      <c r="A568">
        <v>5065299908</v>
      </c>
      <c r="B568">
        <v>572163615</v>
      </c>
      <c r="C568" t="s">
        <v>94</v>
      </c>
      <c r="D568" t="s">
        <v>95</v>
      </c>
      <c r="E568">
        <v>61220073</v>
      </c>
      <c r="F568">
        <v>6355689517</v>
      </c>
      <c r="G568" s="1">
        <v>46106.576469907406</v>
      </c>
      <c r="I568" t="s">
        <v>37</v>
      </c>
      <c r="J568" t="s">
        <v>38</v>
      </c>
      <c r="K568" t="s">
        <v>26</v>
      </c>
      <c r="L568" t="s">
        <v>66</v>
      </c>
      <c r="M568">
        <v>38</v>
      </c>
      <c r="O568">
        <v>0</v>
      </c>
      <c r="P568" t="s">
        <v>40</v>
      </c>
      <c r="Q568">
        <v>706</v>
      </c>
      <c r="R568" t="s">
        <v>1607</v>
      </c>
      <c r="S568">
        <f>IF(support_tickets[[#This Row],[status_cleaned]]="closed",1,0)</f>
        <v>0</v>
      </c>
      <c r="T568" t="str">
        <f>TEXT(support_tickets[[#This Row],[opened_at]],"mmm yyyy")</f>
        <v>Mar 2026</v>
      </c>
      <c r="U568">
        <f>YEAR(support_tickets[[#This Row],[opened_at]])*100+MONTH(support_tickets[[#This Row],[opened_at]])</f>
        <v>202603</v>
      </c>
      <c r="V568" s="29">
        <f>DATE(YEAR(support_tickets[[#This Row],[opened_at]]),MONTH(support_tickets[[#This Row],[opened_at]]),1)</f>
        <v>46082</v>
      </c>
    </row>
    <row r="569" spans="1:22">
      <c r="A569">
        <v>5119544555</v>
      </c>
      <c r="B569">
        <v>702247585</v>
      </c>
      <c r="C569" t="s">
        <v>734</v>
      </c>
      <c r="D569" t="s">
        <v>735</v>
      </c>
      <c r="E569">
        <v>20709497</v>
      </c>
      <c r="F569">
        <v>7467381113</v>
      </c>
      <c r="G569" s="1">
        <v>45340.564247685186</v>
      </c>
      <c r="I569" t="s">
        <v>56</v>
      </c>
      <c r="J569" t="s">
        <v>86</v>
      </c>
      <c r="K569" t="s">
        <v>26</v>
      </c>
      <c r="L569" t="s">
        <v>66</v>
      </c>
      <c r="M569">
        <v>32</v>
      </c>
      <c r="O569">
        <v>0</v>
      </c>
      <c r="P569" t="s">
        <v>87</v>
      </c>
      <c r="Q569">
        <v>715</v>
      </c>
      <c r="R569" t="s">
        <v>1607</v>
      </c>
      <c r="S569">
        <f>IF(support_tickets[[#This Row],[status_cleaned]]="closed",1,0)</f>
        <v>0</v>
      </c>
      <c r="T569" t="str">
        <f>TEXT(support_tickets[[#This Row],[opened_at]],"mmm yyyy")</f>
        <v>Feb 2024</v>
      </c>
      <c r="U569">
        <f>YEAR(support_tickets[[#This Row],[opened_at]])*100+MONTH(support_tickets[[#This Row],[opened_at]])</f>
        <v>202402</v>
      </c>
      <c r="V569" s="29">
        <f>DATE(YEAR(support_tickets[[#This Row],[opened_at]]),MONTH(support_tickets[[#This Row],[opened_at]]),1)</f>
        <v>45323</v>
      </c>
    </row>
    <row r="570" spans="1:22">
      <c r="A570">
        <v>5162369515</v>
      </c>
      <c r="B570">
        <v>286928799</v>
      </c>
      <c r="C570" t="s">
        <v>690</v>
      </c>
      <c r="D570" t="s">
        <v>691</v>
      </c>
      <c r="E570">
        <v>77005685</v>
      </c>
      <c r="G570" s="1">
        <v>45866.21361111111</v>
      </c>
      <c r="I570" t="s">
        <v>37</v>
      </c>
      <c r="J570" t="s">
        <v>38</v>
      </c>
      <c r="K570" t="s">
        <v>26</v>
      </c>
      <c r="L570" t="s">
        <v>66</v>
      </c>
      <c r="M570">
        <v>36</v>
      </c>
      <c r="O570">
        <v>0</v>
      </c>
      <c r="P570" t="s">
        <v>40</v>
      </c>
      <c r="Q570">
        <v>722</v>
      </c>
      <c r="R570" t="s">
        <v>1607</v>
      </c>
      <c r="S570">
        <f>IF(support_tickets[[#This Row],[status_cleaned]]="closed",1,0)</f>
        <v>0</v>
      </c>
      <c r="T570" t="str">
        <f>TEXT(support_tickets[[#This Row],[opened_at]],"mmm yyyy")</f>
        <v>Jul 2025</v>
      </c>
      <c r="U570">
        <f>YEAR(support_tickets[[#This Row],[opened_at]])*100+MONTH(support_tickets[[#This Row],[opened_at]])</f>
        <v>202507</v>
      </c>
      <c r="V570" s="29">
        <f>DATE(YEAR(support_tickets[[#This Row],[opened_at]]),MONTH(support_tickets[[#This Row],[opened_at]]),1)</f>
        <v>45839</v>
      </c>
    </row>
    <row r="571" spans="1:22">
      <c r="A571">
        <v>5283943124</v>
      </c>
      <c r="B571">
        <v>886989426</v>
      </c>
      <c r="C571" t="s">
        <v>1082</v>
      </c>
      <c r="D571" t="s">
        <v>1083</v>
      </c>
      <c r="E571">
        <v>61642594</v>
      </c>
      <c r="G571" s="1">
        <v>46048.542812500003</v>
      </c>
      <c r="I571" t="s">
        <v>18</v>
      </c>
      <c r="J571" t="s">
        <v>59</v>
      </c>
      <c r="K571" t="s">
        <v>26</v>
      </c>
      <c r="L571" t="s">
        <v>66</v>
      </c>
      <c r="M571">
        <v>15</v>
      </c>
      <c r="O571">
        <v>0</v>
      </c>
      <c r="P571" t="s">
        <v>61</v>
      </c>
      <c r="Q571">
        <v>747</v>
      </c>
      <c r="R571" t="s">
        <v>1607</v>
      </c>
      <c r="S571">
        <f>IF(support_tickets[[#This Row],[status_cleaned]]="closed",1,0)</f>
        <v>0</v>
      </c>
      <c r="T571" t="str">
        <f>TEXT(support_tickets[[#This Row],[opened_at]],"mmm yyyy")</f>
        <v>Jan 2026</v>
      </c>
      <c r="U571">
        <f>YEAR(support_tickets[[#This Row],[opened_at]])*100+MONTH(support_tickets[[#This Row],[opened_at]])</f>
        <v>202601</v>
      </c>
      <c r="V571" s="29">
        <f>DATE(YEAR(support_tickets[[#This Row],[opened_at]]),MONTH(support_tickets[[#This Row],[opened_at]]),1)</f>
        <v>46023</v>
      </c>
    </row>
    <row r="572" spans="1:22">
      <c r="A572">
        <v>5318934866</v>
      </c>
      <c r="B572">
        <v>581682167</v>
      </c>
      <c r="C572" t="s">
        <v>1094</v>
      </c>
      <c r="D572" t="s">
        <v>1095</v>
      </c>
      <c r="E572">
        <v>89254563</v>
      </c>
      <c r="G572" s="1">
        <v>45604.871203703704</v>
      </c>
      <c r="I572" t="s">
        <v>37</v>
      </c>
      <c r="J572" t="s">
        <v>19</v>
      </c>
      <c r="K572" t="s">
        <v>26</v>
      </c>
      <c r="L572" t="s">
        <v>66</v>
      </c>
      <c r="M572">
        <v>30</v>
      </c>
      <c r="O572">
        <v>0</v>
      </c>
      <c r="P572" t="s">
        <v>22</v>
      </c>
      <c r="Q572">
        <v>758</v>
      </c>
      <c r="R572" t="s">
        <v>1607</v>
      </c>
      <c r="S572">
        <f>IF(support_tickets[[#This Row],[status_cleaned]]="closed",1,0)</f>
        <v>0</v>
      </c>
      <c r="T572" t="str">
        <f>TEXT(support_tickets[[#This Row],[opened_at]],"mmm yyyy")</f>
        <v>Nov 2024</v>
      </c>
      <c r="U572">
        <f>YEAR(support_tickets[[#This Row],[opened_at]])*100+MONTH(support_tickets[[#This Row],[opened_at]])</f>
        <v>202411</v>
      </c>
      <c r="V572" s="29">
        <f>DATE(YEAR(support_tickets[[#This Row],[opened_at]]),MONTH(support_tickets[[#This Row],[opened_at]]),1)</f>
        <v>45597</v>
      </c>
    </row>
    <row r="573" spans="1:22">
      <c r="A573">
        <v>5477637780</v>
      </c>
      <c r="B573">
        <v>641440255</v>
      </c>
      <c r="C573" t="s">
        <v>1130</v>
      </c>
      <c r="D573" t="s">
        <v>1131</v>
      </c>
      <c r="E573">
        <v>45575298</v>
      </c>
      <c r="G573" s="1">
        <v>45606.416215277779</v>
      </c>
      <c r="I573" t="s">
        <v>37</v>
      </c>
      <c r="J573" t="s">
        <v>19</v>
      </c>
      <c r="K573" t="s">
        <v>26</v>
      </c>
      <c r="L573" t="s">
        <v>66</v>
      </c>
      <c r="M573">
        <v>82</v>
      </c>
      <c r="O573">
        <v>0</v>
      </c>
      <c r="P573" t="s">
        <v>22</v>
      </c>
      <c r="Q573">
        <v>796</v>
      </c>
      <c r="R573" t="s">
        <v>1607</v>
      </c>
      <c r="S573">
        <f>IF(support_tickets[[#This Row],[status_cleaned]]="closed",1,0)</f>
        <v>0</v>
      </c>
      <c r="T573" t="str">
        <f>TEXT(support_tickets[[#This Row],[opened_at]],"mmm yyyy")</f>
        <v>Nov 2024</v>
      </c>
      <c r="U573">
        <f>YEAR(support_tickets[[#This Row],[opened_at]])*100+MONTH(support_tickets[[#This Row],[opened_at]])</f>
        <v>202411</v>
      </c>
      <c r="V573" s="29">
        <f>DATE(YEAR(support_tickets[[#This Row],[opened_at]]),MONTH(support_tickets[[#This Row],[opened_at]]),1)</f>
        <v>45597</v>
      </c>
    </row>
    <row r="574" spans="1:22">
      <c r="A574">
        <v>6005817882</v>
      </c>
      <c r="B574">
        <v>154267347</v>
      </c>
      <c r="C574" t="s">
        <v>1204</v>
      </c>
      <c r="D574" t="s">
        <v>1205</v>
      </c>
      <c r="E574">
        <v>63100814</v>
      </c>
      <c r="F574">
        <v>4604328146</v>
      </c>
      <c r="G574" s="1">
        <v>45666.872210648151</v>
      </c>
      <c r="I574" t="s">
        <v>3</v>
      </c>
      <c r="J574" t="s">
        <v>30</v>
      </c>
      <c r="K574" t="s">
        <v>26</v>
      </c>
      <c r="L574" t="s">
        <v>66</v>
      </c>
      <c r="M574">
        <v>74</v>
      </c>
      <c r="O574">
        <v>0</v>
      </c>
      <c r="P574" t="s">
        <v>31</v>
      </c>
      <c r="Q574">
        <v>892</v>
      </c>
      <c r="R574" t="s">
        <v>1607</v>
      </c>
      <c r="S574">
        <f>IF(support_tickets[[#This Row],[status_cleaned]]="closed",1,0)</f>
        <v>0</v>
      </c>
      <c r="T574" t="str">
        <f>TEXT(support_tickets[[#This Row],[opened_at]],"mmm yyyy")</f>
        <v>Jan 2025</v>
      </c>
      <c r="U574">
        <f>YEAR(support_tickets[[#This Row],[opened_at]])*100+MONTH(support_tickets[[#This Row],[opened_at]])</f>
        <v>202501</v>
      </c>
      <c r="V574" s="29">
        <f>DATE(YEAR(support_tickets[[#This Row],[opened_at]]),MONTH(support_tickets[[#This Row],[opened_at]]),1)</f>
        <v>45658</v>
      </c>
    </row>
    <row r="575" spans="1:22">
      <c r="A575">
        <v>6392453535</v>
      </c>
      <c r="B575">
        <v>802506364</v>
      </c>
      <c r="C575" t="s">
        <v>1152</v>
      </c>
      <c r="D575" t="s">
        <v>1153</v>
      </c>
      <c r="E575">
        <v>61220073</v>
      </c>
      <c r="G575" s="1">
        <v>45906.160462962966</v>
      </c>
      <c r="I575" t="s">
        <v>56</v>
      </c>
      <c r="J575" t="s">
        <v>19</v>
      </c>
      <c r="K575" t="s">
        <v>26</v>
      </c>
      <c r="L575" t="s">
        <v>66</v>
      </c>
      <c r="M575">
        <v>22</v>
      </c>
      <c r="O575">
        <v>0</v>
      </c>
      <c r="P575" t="s">
        <v>22</v>
      </c>
      <c r="Q575">
        <v>959</v>
      </c>
      <c r="R575" t="s">
        <v>1607</v>
      </c>
      <c r="S575">
        <f>IF(support_tickets[[#This Row],[status_cleaned]]="closed",1,0)</f>
        <v>0</v>
      </c>
      <c r="T575" t="str">
        <f>TEXT(support_tickets[[#This Row],[opened_at]],"mmm yyyy")</f>
        <v>Sep 2025</v>
      </c>
      <c r="U575">
        <f>YEAR(support_tickets[[#This Row],[opened_at]])*100+MONTH(support_tickets[[#This Row],[opened_at]])</f>
        <v>202509</v>
      </c>
      <c r="V575" s="29">
        <f>DATE(YEAR(support_tickets[[#This Row],[opened_at]]),MONTH(support_tickets[[#This Row],[opened_at]]),1)</f>
        <v>45901</v>
      </c>
    </row>
    <row r="576" spans="1:22">
      <c r="A576">
        <v>6603749922</v>
      </c>
      <c r="B576">
        <v>973498494</v>
      </c>
      <c r="C576" t="s">
        <v>478</v>
      </c>
      <c r="D576" t="s">
        <v>479</v>
      </c>
      <c r="E576">
        <v>28728463</v>
      </c>
      <c r="G576" s="1">
        <v>46066.017395833333</v>
      </c>
      <c r="I576" t="s">
        <v>18</v>
      </c>
      <c r="J576" t="s">
        <v>38</v>
      </c>
      <c r="K576" t="s">
        <v>26</v>
      </c>
      <c r="L576" t="s">
        <v>66</v>
      </c>
      <c r="M576">
        <v>8</v>
      </c>
      <c r="O576">
        <v>0</v>
      </c>
      <c r="P576" t="s">
        <v>40</v>
      </c>
      <c r="Q576">
        <v>985</v>
      </c>
      <c r="R576" t="s">
        <v>1607</v>
      </c>
      <c r="S576">
        <f>IF(support_tickets[[#This Row],[status_cleaned]]="closed",1,0)</f>
        <v>0</v>
      </c>
      <c r="T576" t="str">
        <f>TEXT(support_tickets[[#This Row],[opened_at]],"mmm yyyy")</f>
        <v>Feb 2026</v>
      </c>
      <c r="U576">
        <f>YEAR(support_tickets[[#This Row],[opened_at]])*100+MONTH(support_tickets[[#This Row],[opened_at]])</f>
        <v>202602</v>
      </c>
      <c r="V576" s="29">
        <f>DATE(YEAR(support_tickets[[#This Row],[opened_at]]),MONTH(support_tickets[[#This Row],[opened_at]]),1)</f>
        <v>46054</v>
      </c>
    </row>
    <row r="577" spans="1:22">
      <c r="A577">
        <v>7428858209</v>
      </c>
      <c r="B577">
        <v>298407302</v>
      </c>
      <c r="C577" t="s">
        <v>568</v>
      </c>
      <c r="D577" t="s">
        <v>569</v>
      </c>
      <c r="E577">
        <v>81691040</v>
      </c>
      <c r="F577">
        <v>8572011492</v>
      </c>
      <c r="G577" s="1">
        <v>46022.378321759257</v>
      </c>
      <c r="I577" t="s">
        <v>46</v>
      </c>
      <c r="J577" t="s">
        <v>30</v>
      </c>
      <c r="K577" t="s">
        <v>26</v>
      </c>
      <c r="L577" t="s">
        <v>66</v>
      </c>
      <c r="M577">
        <v>6</v>
      </c>
      <c r="O577">
        <v>0</v>
      </c>
      <c r="P577" t="s">
        <v>31</v>
      </c>
      <c r="Q577">
        <v>1094</v>
      </c>
      <c r="R577" t="s">
        <v>1607</v>
      </c>
      <c r="S577">
        <f>IF(support_tickets[[#This Row],[status_cleaned]]="closed",1,0)</f>
        <v>0</v>
      </c>
      <c r="T577" t="str">
        <f>TEXT(support_tickets[[#This Row],[opened_at]],"mmm yyyy")</f>
        <v>Dec 2025</v>
      </c>
      <c r="U577">
        <f>YEAR(support_tickets[[#This Row],[opened_at]])*100+MONTH(support_tickets[[#This Row],[opened_at]])</f>
        <v>202512</v>
      </c>
      <c r="V577" s="29">
        <f>DATE(YEAR(support_tickets[[#This Row],[opened_at]]),MONTH(support_tickets[[#This Row],[opened_at]]),1)</f>
        <v>45992</v>
      </c>
    </row>
    <row r="578" spans="1:22">
      <c r="A578">
        <v>8078166989</v>
      </c>
      <c r="B578">
        <v>604803700</v>
      </c>
      <c r="C578" t="s">
        <v>502</v>
      </c>
      <c r="D578" t="s">
        <v>503</v>
      </c>
      <c r="E578">
        <v>42138745</v>
      </c>
      <c r="G578" s="1">
        <v>45846.860474537039</v>
      </c>
      <c r="I578" t="s">
        <v>37</v>
      </c>
      <c r="J578" t="s">
        <v>86</v>
      </c>
      <c r="K578" t="s">
        <v>26</v>
      </c>
      <c r="L578" t="s">
        <v>66</v>
      </c>
      <c r="M578">
        <v>49</v>
      </c>
      <c r="O578">
        <v>0</v>
      </c>
      <c r="P578" t="s">
        <v>87</v>
      </c>
      <c r="Q578">
        <v>1193</v>
      </c>
      <c r="R578" t="s">
        <v>1607</v>
      </c>
      <c r="S578">
        <f>IF(support_tickets[[#This Row],[status_cleaned]]="closed",1,0)</f>
        <v>0</v>
      </c>
      <c r="T578" t="str">
        <f>TEXT(support_tickets[[#This Row],[opened_at]],"mmm yyyy")</f>
        <v>Jul 2025</v>
      </c>
      <c r="U578">
        <f>YEAR(support_tickets[[#This Row],[opened_at]])*100+MONTH(support_tickets[[#This Row],[opened_at]])</f>
        <v>202507</v>
      </c>
      <c r="V578" s="29">
        <f>DATE(YEAR(support_tickets[[#This Row],[opened_at]]),MONTH(support_tickets[[#This Row],[opened_at]]),1)</f>
        <v>45839</v>
      </c>
    </row>
    <row r="579" spans="1:22">
      <c r="A579">
        <v>8452716021</v>
      </c>
      <c r="B579">
        <v>999371401</v>
      </c>
      <c r="C579" t="s">
        <v>434</v>
      </c>
      <c r="D579" t="s">
        <v>435</v>
      </c>
      <c r="E579">
        <v>55657579</v>
      </c>
      <c r="G579" s="1">
        <v>45647.432442129626</v>
      </c>
      <c r="I579" t="s">
        <v>52</v>
      </c>
      <c r="J579" t="s">
        <v>38</v>
      </c>
      <c r="K579" t="s">
        <v>26</v>
      </c>
      <c r="L579" t="s">
        <v>66</v>
      </c>
      <c r="M579">
        <v>41</v>
      </c>
      <c r="O579">
        <v>0</v>
      </c>
      <c r="P579" t="s">
        <v>40</v>
      </c>
      <c r="Q579">
        <v>1247</v>
      </c>
      <c r="R579" t="s">
        <v>1607</v>
      </c>
      <c r="S579">
        <f>IF(support_tickets[[#This Row],[status_cleaned]]="closed",1,0)</f>
        <v>0</v>
      </c>
      <c r="T579" t="str">
        <f>TEXT(support_tickets[[#This Row],[opened_at]],"mmm yyyy")</f>
        <v>Dec 2024</v>
      </c>
      <c r="U579">
        <f>YEAR(support_tickets[[#This Row],[opened_at]])*100+MONTH(support_tickets[[#This Row],[opened_at]])</f>
        <v>202412</v>
      </c>
      <c r="V579" s="29">
        <f>DATE(YEAR(support_tickets[[#This Row],[opened_at]]),MONTH(support_tickets[[#This Row],[opened_at]]),1)</f>
        <v>45627</v>
      </c>
    </row>
    <row r="580" spans="1:22">
      <c r="A580">
        <v>8612403881</v>
      </c>
      <c r="B580">
        <v>372354893</v>
      </c>
      <c r="C580" t="s">
        <v>510</v>
      </c>
      <c r="D580" t="s">
        <v>511</v>
      </c>
      <c r="E580">
        <v>45812670</v>
      </c>
      <c r="F580">
        <v>3747921408</v>
      </c>
      <c r="G580" s="1">
        <v>45908.293680555558</v>
      </c>
      <c r="H580" s="1">
        <v>45909.133958333332</v>
      </c>
      <c r="I580" t="s">
        <v>46</v>
      </c>
      <c r="J580" t="s">
        <v>30</v>
      </c>
      <c r="K580" t="s">
        <v>26</v>
      </c>
      <c r="L580" t="s">
        <v>66</v>
      </c>
      <c r="M580">
        <v>11</v>
      </c>
      <c r="N580">
        <v>1210</v>
      </c>
      <c r="O580">
        <v>0</v>
      </c>
      <c r="P580" t="s">
        <v>31</v>
      </c>
      <c r="Q580">
        <v>1285</v>
      </c>
      <c r="R580" t="s">
        <v>1607</v>
      </c>
      <c r="S580">
        <f>IF(support_tickets[[#This Row],[status_cleaned]]="closed",1,0)</f>
        <v>0</v>
      </c>
      <c r="T580" t="str">
        <f>TEXT(support_tickets[[#This Row],[opened_at]],"mmm yyyy")</f>
        <v>Sep 2025</v>
      </c>
      <c r="U580">
        <f>YEAR(support_tickets[[#This Row],[opened_at]])*100+MONTH(support_tickets[[#This Row],[opened_at]])</f>
        <v>202509</v>
      </c>
      <c r="V580" s="29">
        <f>DATE(YEAR(support_tickets[[#This Row],[opened_at]]),MONTH(support_tickets[[#This Row],[opened_at]]),1)</f>
        <v>45901</v>
      </c>
    </row>
    <row r="581" spans="1:22">
      <c r="A581">
        <v>9350078367</v>
      </c>
      <c r="B581">
        <v>880697625</v>
      </c>
      <c r="C581" t="s">
        <v>1497</v>
      </c>
      <c r="D581" t="s">
        <v>1498</v>
      </c>
      <c r="E581">
        <v>71586053</v>
      </c>
      <c r="F581">
        <v>1691934899</v>
      </c>
      <c r="G581" s="1">
        <v>45300.223078703704</v>
      </c>
      <c r="I581" t="s">
        <v>3</v>
      </c>
      <c r="J581" t="s">
        <v>19</v>
      </c>
      <c r="K581" t="s">
        <v>26</v>
      </c>
      <c r="L581" t="s">
        <v>66</v>
      </c>
      <c r="M581">
        <v>32</v>
      </c>
      <c r="O581">
        <v>0</v>
      </c>
      <c r="P581" t="s">
        <v>22</v>
      </c>
      <c r="Q581">
        <v>1408</v>
      </c>
      <c r="R581" t="s">
        <v>1607</v>
      </c>
      <c r="S581">
        <f>IF(support_tickets[[#This Row],[status_cleaned]]="closed",1,0)</f>
        <v>0</v>
      </c>
      <c r="T581" t="str">
        <f>TEXT(support_tickets[[#This Row],[opened_at]],"mmm yyyy")</f>
        <v>Jan 2024</v>
      </c>
      <c r="U581">
        <f>YEAR(support_tickets[[#This Row],[opened_at]])*100+MONTH(support_tickets[[#This Row],[opened_at]])</f>
        <v>202401</v>
      </c>
      <c r="V581" s="29">
        <f>DATE(YEAR(support_tickets[[#This Row],[opened_at]]),MONTH(support_tickets[[#This Row],[opened_at]]),1)</f>
        <v>45292</v>
      </c>
    </row>
    <row r="582" spans="1:22">
      <c r="A582">
        <v>9767129684</v>
      </c>
      <c r="B582">
        <v>810741110</v>
      </c>
      <c r="C582" t="s">
        <v>416</v>
      </c>
      <c r="D582" t="s">
        <v>417</v>
      </c>
      <c r="E582">
        <v>81691040</v>
      </c>
      <c r="G582" s="1">
        <v>45934.771064814813</v>
      </c>
      <c r="I582" t="s">
        <v>52</v>
      </c>
      <c r="J582" t="s">
        <v>59</v>
      </c>
      <c r="K582" t="s">
        <v>26</v>
      </c>
      <c r="L582" t="s">
        <v>66</v>
      </c>
      <c r="M582">
        <v>11</v>
      </c>
      <c r="O582">
        <v>0</v>
      </c>
      <c r="P582" t="s">
        <v>61</v>
      </c>
      <c r="Q582">
        <v>1476</v>
      </c>
      <c r="R582" t="s">
        <v>1607</v>
      </c>
      <c r="S582">
        <f>IF(support_tickets[[#This Row],[status_cleaned]]="closed",1,0)</f>
        <v>0</v>
      </c>
      <c r="T582" t="str">
        <f>TEXT(support_tickets[[#This Row],[opened_at]],"mmm yyyy")</f>
        <v>Oct 2025</v>
      </c>
      <c r="U582">
        <f>YEAR(support_tickets[[#This Row],[opened_at]])*100+MONTH(support_tickets[[#This Row],[opened_at]])</f>
        <v>202510</v>
      </c>
      <c r="V582" s="29">
        <f>DATE(YEAR(support_tickets[[#This Row],[opened_at]]),MONTH(support_tickets[[#This Row],[opened_at]]),1)</f>
        <v>45931</v>
      </c>
    </row>
    <row r="583" spans="1:22">
      <c r="A583">
        <v>1006325213</v>
      </c>
      <c r="B583">
        <v>406084084</v>
      </c>
      <c r="C583" t="s">
        <v>23</v>
      </c>
      <c r="D583" t="s">
        <v>24</v>
      </c>
      <c r="E583">
        <v>45503389</v>
      </c>
      <c r="G583" s="1">
        <v>45986.811307870368</v>
      </c>
      <c r="H583" s="1">
        <v>45986.873113425929</v>
      </c>
      <c r="I583" t="s">
        <v>3</v>
      </c>
      <c r="J583" t="s">
        <v>25</v>
      </c>
      <c r="K583" t="s">
        <v>26</v>
      </c>
      <c r="L583" t="s">
        <v>21</v>
      </c>
      <c r="M583">
        <v>79</v>
      </c>
      <c r="N583">
        <v>89</v>
      </c>
      <c r="O583">
        <v>0</v>
      </c>
      <c r="P583" t="s">
        <v>27</v>
      </c>
      <c r="Q583">
        <v>2</v>
      </c>
      <c r="R583" t="s">
        <v>39</v>
      </c>
      <c r="S583">
        <f>IF(support_tickets[[#This Row],[status_cleaned]]="closed",1,0)</f>
        <v>1</v>
      </c>
      <c r="T583" t="str">
        <f>TEXT(support_tickets[[#This Row],[opened_at]],"mmm yyyy")</f>
        <v>Nov 2025</v>
      </c>
      <c r="U583">
        <f>YEAR(support_tickets[[#This Row],[opened_at]])*100+MONTH(support_tickets[[#This Row],[opened_at]])</f>
        <v>202511</v>
      </c>
      <c r="V583" s="29">
        <f>DATE(YEAR(support_tickets[[#This Row],[opened_at]]),MONTH(support_tickets[[#This Row],[opened_at]]),1)</f>
        <v>45962</v>
      </c>
    </row>
    <row r="584" spans="1:22">
      <c r="A584">
        <v>1009152377</v>
      </c>
      <c r="B584">
        <v>839393192</v>
      </c>
      <c r="C584" t="s">
        <v>28</v>
      </c>
      <c r="D584" t="s">
        <v>29</v>
      </c>
      <c r="E584">
        <v>45833156</v>
      </c>
      <c r="F584">
        <v>5924562641</v>
      </c>
      <c r="G584" s="1">
        <v>45449.276030092595</v>
      </c>
      <c r="H584" s="1">
        <v>45449.519085648149</v>
      </c>
      <c r="I584" t="s">
        <v>3</v>
      </c>
      <c r="J584" t="s">
        <v>30</v>
      </c>
      <c r="K584" t="s">
        <v>26</v>
      </c>
      <c r="L584" t="s">
        <v>21</v>
      </c>
      <c r="M584">
        <v>21</v>
      </c>
      <c r="N584">
        <v>350</v>
      </c>
      <c r="O584">
        <v>0</v>
      </c>
      <c r="P584" t="s">
        <v>31</v>
      </c>
      <c r="Q584">
        <v>3</v>
      </c>
      <c r="R584" t="s">
        <v>39</v>
      </c>
      <c r="S584">
        <f>IF(support_tickets[[#This Row],[status_cleaned]]="closed",1,0)</f>
        <v>1</v>
      </c>
      <c r="T584" t="str">
        <f>TEXT(support_tickets[[#This Row],[opened_at]],"mmm yyyy")</f>
        <v>Jun 2024</v>
      </c>
      <c r="U584">
        <f>YEAR(support_tickets[[#This Row],[opened_at]])*100+MONTH(support_tickets[[#This Row],[opened_at]])</f>
        <v>202406</v>
      </c>
      <c r="V584" s="29">
        <f>DATE(YEAR(support_tickets[[#This Row],[opened_at]]),MONTH(support_tickets[[#This Row],[opened_at]]),1)</f>
        <v>45444</v>
      </c>
    </row>
    <row r="585" spans="1:22">
      <c r="A585">
        <v>1036232777</v>
      </c>
      <c r="B585">
        <v>238548086</v>
      </c>
      <c r="C585" t="s">
        <v>41</v>
      </c>
      <c r="D585" t="s">
        <v>42</v>
      </c>
      <c r="E585">
        <v>90801586</v>
      </c>
      <c r="G585" s="1">
        <v>45687.853275462963</v>
      </c>
      <c r="H585" s="1">
        <v>45688.019247685188</v>
      </c>
      <c r="I585" t="s">
        <v>43</v>
      </c>
      <c r="J585" t="s">
        <v>30</v>
      </c>
      <c r="K585" t="s">
        <v>26</v>
      </c>
      <c r="L585" t="s">
        <v>21</v>
      </c>
      <c r="M585">
        <v>22</v>
      </c>
      <c r="N585">
        <v>239</v>
      </c>
      <c r="O585">
        <v>0</v>
      </c>
      <c r="P585" t="s">
        <v>31</v>
      </c>
      <c r="Q585">
        <v>6</v>
      </c>
      <c r="R585" t="s">
        <v>39</v>
      </c>
      <c r="S585">
        <f>IF(support_tickets[[#This Row],[status_cleaned]]="closed",1,0)</f>
        <v>1</v>
      </c>
      <c r="T585" t="str">
        <f>TEXT(support_tickets[[#This Row],[opened_at]],"mmm yyyy")</f>
        <v>Jan 2025</v>
      </c>
      <c r="U585">
        <f>YEAR(support_tickets[[#This Row],[opened_at]])*100+MONTH(support_tickets[[#This Row],[opened_at]])</f>
        <v>202501</v>
      </c>
      <c r="V585" s="29">
        <f>DATE(YEAR(support_tickets[[#This Row],[opened_at]]),MONTH(support_tickets[[#This Row],[opened_at]]),1)</f>
        <v>45658</v>
      </c>
    </row>
    <row r="586" spans="1:22">
      <c r="A586">
        <v>1187312532</v>
      </c>
      <c r="B586">
        <v>266371119</v>
      </c>
      <c r="C586" t="s">
        <v>112</v>
      </c>
      <c r="D586" t="s">
        <v>113</v>
      </c>
      <c r="E586">
        <v>60929647</v>
      </c>
      <c r="G586" s="1">
        <v>45873.800879629627</v>
      </c>
      <c r="H586" s="1">
        <v>45874.14671296296</v>
      </c>
      <c r="I586" t="s">
        <v>18</v>
      </c>
      <c r="J586" t="s">
        <v>86</v>
      </c>
      <c r="K586" t="s">
        <v>26</v>
      </c>
      <c r="L586" t="s">
        <v>21</v>
      </c>
      <c r="M586">
        <v>38</v>
      </c>
      <c r="N586">
        <v>498</v>
      </c>
      <c r="O586">
        <v>0</v>
      </c>
      <c r="P586" t="s">
        <v>87</v>
      </c>
      <c r="Q586">
        <v>35</v>
      </c>
      <c r="R586" t="s">
        <v>39</v>
      </c>
      <c r="S586">
        <f>IF(support_tickets[[#This Row],[status_cleaned]]="closed",1,0)</f>
        <v>1</v>
      </c>
      <c r="T586" t="str">
        <f>TEXT(support_tickets[[#This Row],[opened_at]],"mmm yyyy")</f>
        <v>Aug 2025</v>
      </c>
      <c r="U586">
        <f>YEAR(support_tickets[[#This Row],[opened_at]])*100+MONTH(support_tickets[[#This Row],[opened_at]])</f>
        <v>202508</v>
      </c>
      <c r="V586" s="29">
        <f>DATE(YEAR(support_tickets[[#This Row],[opened_at]]),MONTH(support_tickets[[#This Row],[opened_at]]),1)</f>
        <v>45870</v>
      </c>
    </row>
    <row r="587" spans="1:22">
      <c r="A587">
        <v>1268211135</v>
      </c>
      <c r="B587">
        <v>588529624</v>
      </c>
      <c r="C587" t="s">
        <v>150</v>
      </c>
      <c r="D587" t="s">
        <v>151</v>
      </c>
      <c r="E587">
        <v>36687537</v>
      </c>
      <c r="F587">
        <v>8924675684</v>
      </c>
      <c r="G587" s="1">
        <v>45959.01935185185</v>
      </c>
      <c r="H587" s="1">
        <v>45959.545740740738</v>
      </c>
      <c r="I587" t="s">
        <v>46</v>
      </c>
      <c r="J587" t="s">
        <v>25</v>
      </c>
      <c r="K587" t="s">
        <v>26</v>
      </c>
      <c r="L587" t="s">
        <v>21</v>
      </c>
      <c r="M587">
        <v>56</v>
      </c>
      <c r="N587">
        <v>758</v>
      </c>
      <c r="O587">
        <v>0</v>
      </c>
      <c r="P587" t="s">
        <v>27</v>
      </c>
      <c r="Q587">
        <v>55</v>
      </c>
      <c r="R587" t="s">
        <v>39</v>
      </c>
      <c r="S587">
        <f>IF(support_tickets[[#This Row],[status_cleaned]]="closed",1,0)</f>
        <v>1</v>
      </c>
      <c r="T587" t="str">
        <f>TEXT(support_tickets[[#This Row],[opened_at]],"mmm yyyy")</f>
        <v>Oct 2025</v>
      </c>
      <c r="U587">
        <f>YEAR(support_tickets[[#This Row],[opened_at]])*100+MONTH(support_tickets[[#This Row],[opened_at]])</f>
        <v>202510</v>
      </c>
      <c r="V587" s="29">
        <f>DATE(YEAR(support_tickets[[#This Row],[opened_at]]),MONTH(support_tickets[[#This Row],[opened_at]]),1)</f>
        <v>45931</v>
      </c>
    </row>
    <row r="588" spans="1:22">
      <c r="A588">
        <v>1561049427</v>
      </c>
      <c r="B588">
        <v>889401015</v>
      </c>
      <c r="C588" t="s">
        <v>220</v>
      </c>
      <c r="D588" t="s">
        <v>221</v>
      </c>
      <c r="E588">
        <v>82340307</v>
      </c>
      <c r="F588">
        <v>3160997637</v>
      </c>
      <c r="G588" s="1">
        <v>45600.114490740743</v>
      </c>
      <c r="H588" s="1">
        <v>45600.826990740738</v>
      </c>
      <c r="I588" t="s">
        <v>3</v>
      </c>
      <c r="J588" t="s">
        <v>25</v>
      </c>
      <c r="K588" t="s">
        <v>26</v>
      </c>
      <c r="L588" t="s">
        <v>21</v>
      </c>
      <c r="M588">
        <v>39</v>
      </c>
      <c r="N588">
        <v>1026</v>
      </c>
      <c r="O588">
        <v>0</v>
      </c>
      <c r="P588" t="s">
        <v>27</v>
      </c>
      <c r="Q588">
        <v>95</v>
      </c>
      <c r="R588" t="s">
        <v>39</v>
      </c>
      <c r="S588">
        <f>IF(support_tickets[[#This Row],[status_cleaned]]="closed",1,0)</f>
        <v>1</v>
      </c>
      <c r="T588" t="str">
        <f>TEXT(support_tickets[[#This Row],[opened_at]],"mmm yyyy")</f>
        <v>Nov 2024</v>
      </c>
      <c r="U588">
        <f>YEAR(support_tickets[[#This Row],[opened_at]])*100+MONTH(support_tickets[[#This Row],[opened_at]])</f>
        <v>202411</v>
      </c>
      <c r="V588" s="29">
        <f>DATE(YEAR(support_tickets[[#This Row],[opened_at]]),MONTH(support_tickets[[#This Row],[opened_at]]),1)</f>
        <v>45597</v>
      </c>
    </row>
    <row r="589" spans="1:22">
      <c r="A589">
        <v>1582148285</v>
      </c>
      <c r="B589">
        <v>366200875</v>
      </c>
      <c r="C589" t="s">
        <v>232</v>
      </c>
      <c r="D589" t="s">
        <v>233</v>
      </c>
      <c r="E589">
        <v>90801586</v>
      </c>
      <c r="F589">
        <v>1818503364</v>
      </c>
      <c r="G589" s="1">
        <v>45447.430995370371</v>
      </c>
      <c r="H589" s="1">
        <v>45447.696273148147</v>
      </c>
      <c r="I589" t="s">
        <v>43</v>
      </c>
      <c r="J589" t="s">
        <v>25</v>
      </c>
      <c r="K589" t="s">
        <v>26</v>
      </c>
      <c r="L589" t="s">
        <v>21</v>
      </c>
      <c r="M589">
        <v>44</v>
      </c>
      <c r="N589">
        <v>382</v>
      </c>
      <c r="O589">
        <v>0</v>
      </c>
      <c r="P589" t="s">
        <v>27</v>
      </c>
      <c r="Q589">
        <v>101</v>
      </c>
      <c r="R589" t="s">
        <v>39</v>
      </c>
      <c r="S589">
        <f>IF(support_tickets[[#This Row],[status_cleaned]]="closed",1,0)</f>
        <v>1</v>
      </c>
      <c r="T589" t="str">
        <f>TEXT(support_tickets[[#This Row],[opened_at]],"mmm yyyy")</f>
        <v>Jun 2024</v>
      </c>
      <c r="U589">
        <f>YEAR(support_tickets[[#This Row],[opened_at]])*100+MONTH(support_tickets[[#This Row],[opened_at]])</f>
        <v>202406</v>
      </c>
      <c r="V589" s="29">
        <f>DATE(YEAR(support_tickets[[#This Row],[opened_at]]),MONTH(support_tickets[[#This Row],[opened_at]]),1)</f>
        <v>45444</v>
      </c>
    </row>
    <row r="590" spans="1:22">
      <c r="A590">
        <v>1622042576</v>
      </c>
      <c r="B590">
        <v>408840720</v>
      </c>
      <c r="C590" t="s">
        <v>250</v>
      </c>
      <c r="D590" t="s">
        <v>251</v>
      </c>
      <c r="E590">
        <v>85345555</v>
      </c>
      <c r="G590" s="1">
        <v>45436.309108796297</v>
      </c>
      <c r="H590" s="1">
        <v>45436.357025462959</v>
      </c>
      <c r="I590" t="s">
        <v>43</v>
      </c>
      <c r="J590" t="s">
        <v>59</v>
      </c>
      <c r="K590" t="s">
        <v>26</v>
      </c>
      <c r="L590" t="s">
        <v>21</v>
      </c>
      <c r="M590">
        <v>64</v>
      </c>
      <c r="N590">
        <v>69</v>
      </c>
      <c r="O590">
        <v>0</v>
      </c>
      <c r="P590" t="s">
        <v>61</v>
      </c>
      <c r="Q590">
        <v>112</v>
      </c>
      <c r="R590" t="s">
        <v>39</v>
      </c>
      <c r="S590">
        <f>IF(support_tickets[[#This Row],[status_cleaned]]="closed",1,0)</f>
        <v>1</v>
      </c>
      <c r="T590" t="str">
        <f>TEXT(support_tickets[[#This Row],[opened_at]],"mmm yyyy")</f>
        <v>May 2024</v>
      </c>
      <c r="U590">
        <f>YEAR(support_tickets[[#This Row],[opened_at]])*100+MONTH(support_tickets[[#This Row],[opened_at]])</f>
        <v>202405</v>
      </c>
      <c r="V590" s="29">
        <f>DATE(YEAR(support_tickets[[#This Row],[opened_at]]),MONTH(support_tickets[[#This Row],[opened_at]]),1)</f>
        <v>45413</v>
      </c>
    </row>
    <row r="591" spans="1:22">
      <c r="A591">
        <v>1753779193</v>
      </c>
      <c r="B591">
        <v>907873857</v>
      </c>
      <c r="C591" t="s">
        <v>302</v>
      </c>
      <c r="D591" t="s">
        <v>303</v>
      </c>
      <c r="E591">
        <v>51837852</v>
      </c>
      <c r="F591">
        <v>8019235213</v>
      </c>
      <c r="G591" s="1">
        <v>45400.204687500001</v>
      </c>
      <c r="H591" s="1">
        <v>45400.31927083333</v>
      </c>
      <c r="I591" t="s">
        <v>3</v>
      </c>
      <c r="J591" t="s">
        <v>38</v>
      </c>
      <c r="K591" t="s">
        <v>26</v>
      </c>
      <c r="L591" t="s">
        <v>21</v>
      </c>
      <c r="M591">
        <v>33</v>
      </c>
      <c r="N591">
        <v>165</v>
      </c>
      <c r="O591">
        <v>0</v>
      </c>
      <c r="P591" t="s">
        <v>40</v>
      </c>
      <c r="Q591">
        <v>141</v>
      </c>
      <c r="R591" t="s">
        <v>39</v>
      </c>
      <c r="S591">
        <f>IF(support_tickets[[#This Row],[status_cleaned]]="closed",1,0)</f>
        <v>1</v>
      </c>
      <c r="T591" t="str">
        <f>TEXT(support_tickets[[#This Row],[opened_at]],"mmm yyyy")</f>
        <v>Apr 2024</v>
      </c>
      <c r="U591">
        <f>YEAR(support_tickets[[#This Row],[opened_at]])*100+MONTH(support_tickets[[#This Row],[opened_at]])</f>
        <v>202404</v>
      </c>
      <c r="V591" s="29">
        <f>DATE(YEAR(support_tickets[[#This Row],[opened_at]]),MONTH(support_tickets[[#This Row],[opened_at]]),1)</f>
        <v>45383</v>
      </c>
    </row>
    <row r="592" spans="1:22">
      <c r="A592">
        <v>1784914375</v>
      </c>
      <c r="B592">
        <v>925884151</v>
      </c>
      <c r="C592" t="s">
        <v>322</v>
      </c>
      <c r="D592" t="s">
        <v>323</v>
      </c>
      <c r="E592">
        <v>61220073</v>
      </c>
      <c r="G592" s="1">
        <v>45553.946736111109</v>
      </c>
      <c r="H592" s="1">
        <v>45553.991180555553</v>
      </c>
      <c r="I592" t="s">
        <v>18</v>
      </c>
      <c r="J592" t="s">
        <v>38</v>
      </c>
      <c r="K592" t="s">
        <v>26</v>
      </c>
      <c r="L592" t="s">
        <v>21</v>
      </c>
      <c r="M592">
        <v>59</v>
      </c>
      <c r="N592">
        <v>64</v>
      </c>
      <c r="O592">
        <v>0</v>
      </c>
      <c r="P592" t="s">
        <v>40</v>
      </c>
      <c r="Q592">
        <v>153</v>
      </c>
      <c r="R592" t="s">
        <v>39</v>
      </c>
      <c r="S592">
        <f>IF(support_tickets[[#This Row],[status_cleaned]]="closed",1,0)</f>
        <v>1</v>
      </c>
      <c r="T592" t="str">
        <f>TEXT(support_tickets[[#This Row],[opened_at]],"mmm yyyy")</f>
        <v>Sep 2024</v>
      </c>
      <c r="U592">
        <f>YEAR(support_tickets[[#This Row],[opened_at]])*100+MONTH(support_tickets[[#This Row],[opened_at]])</f>
        <v>202409</v>
      </c>
      <c r="V592" s="29">
        <f>DATE(YEAR(support_tickets[[#This Row],[opened_at]]),MONTH(support_tickets[[#This Row],[opened_at]]),1)</f>
        <v>45536</v>
      </c>
    </row>
    <row r="593" spans="1:22">
      <c r="A593">
        <v>1870313974</v>
      </c>
      <c r="B593">
        <v>655924752</v>
      </c>
      <c r="C593" t="s">
        <v>346</v>
      </c>
      <c r="D593" t="s">
        <v>347</v>
      </c>
      <c r="E593">
        <v>17774584</v>
      </c>
      <c r="G593" s="1">
        <v>45566.68822916667</v>
      </c>
      <c r="H593" s="1">
        <v>45566.929895833331</v>
      </c>
      <c r="I593" t="s">
        <v>37</v>
      </c>
      <c r="J593" t="s">
        <v>59</v>
      </c>
      <c r="K593" t="s">
        <v>26</v>
      </c>
      <c r="L593" t="s">
        <v>21</v>
      </c>
      <c r="M593">
        <v>38</v>
      </c>
      <c r="N593">
        <v>348</v>
      </c>
      <c r="O593">
        <v>0</v>
      </c>
      <c r="P593" t="s">
        <v>61</v>
      </c>
      <c r="Q593">
        <v>169</v>
      </c>
      <c r="R593" t="s">
        <v>39</v>
      </c>
      <c r="S593">
        <f>IF(support_tickets[[#This Row],[status_cleaned]]="closed",1,0)</f>
        <v>1</v>
      </c>
      <c r="T593" t="str">
        <f>TEXT(support_tickets[[#This Row],[opened_at]],"mmm yyyy")</f>
        <v>Oct 2024</v>
      </c>
      <c r="U593">
        <f>YEAR(support_tickets[[#This Row],[opened_at]])*100+MONTH(support_tickets[[#This Row],[opened_at]])</f>
        <v>202410</v>
      </c>
      <c r="V593" s="29">
        <f>DATE(YEAR(support_tickets[[#This Row],[opened_at]]),MONTH(support_tickets[[#This Row],[opened_at]]),1)</f>
        <v>45566</v>
      </c>
    </row>
    <row r="594" spans="1:22">
      <c r="A594">
        <v>1986647743</v>
      </c>
      <c r="B594">
        <v>830924936</v>
      </c>
      <c r="C594" t="s">
        <v>392</v>
      </c>
      <c r="D594" t="s">
        <v>393</v>
      </c>
      <c r="E594">
        <v>10435578</v>
      </c>
      <c r="F594">
        <v>3308592457</v>
      </c>
      <c r="G594" s="1">
        <v>45402.188310185185</v>
      </c>
      <c r="H594" s="1">
        <v>45402.284143518518</v>
      </c>
      <c r="I594" t="s">
        <v>3</v>
      </c>
      <c r="J594" t="s">
        <v>59</v>
      </c>
      <c r="K594" t="s">
        <v>26</v>
      </c>
      <c r="L594" t="s">
        <v>21</v>
      </c>
      <c r="M594">
        <v>48</v>
      </c>
      <c r="N594">
        <v>138</v>
      </c>
      <c r="O594">
        <v>0</v>
      </c>
      <c r="P594" t="s">
        <v>61</v>
      </c>
      <c r="Q594">
        <v>197</v>
      </c>
      <c r="R594" t="s">
        <v>39</v>
      </c>
      <c r="S594">
        <f>IF(support_tickets[[#This Row],[status_cleaned]]="closed",1,0)</f>
        <v>1</v>
      </c>
      <c r="T594" t="str">
        <f>TEXT(support_tickets[[#This Row],[opened_at]],"mmm yyyy")</f>
        <v>Apr 2024</v>
      </c>
      <c r="U594">
        <f>YEAR(support_tickets[[#This Row],[opened_at]])*100+MONTH(support_tickets[[#This Row],[opened_at]])</f>
        <v>202404</v>
      </c>
      <c r="V594" s="29">
        <f>DATE(YEAR(support_tickets[[#This Row],[opened_at]]),MONTH(support_tickets[[#This Row],[opened_at]]),1)</f>
        <v>45383</v>
      </c>
    </row>
    <row r="595" spans="1:22">
      <c r="A595">
        <v>2198149405</v>
      </c>
      <c r="B595">
        <v>961135562</v>
      </c>
      <c r="C595" t="s">
        <v>436</v>
      </c>
      <c r="D595" t="s">
        <v>437</v>
      </c>
      <c r="E595">
        <v>91030736</v>
      </c>
      <c r="F595">
        <v>2265841695</v>
      </c>
      <c r="G595" s="1">
        <v>45294.368043981478</v>
      </c>
      <c r="H595" s="1">
        <v>45294.64234953704</v>
      </c>
      <c r="I595" t="s">
        <v>46</v>
      </c>
      <c r="J595" t="s">
        <v>86</v>
      </c>
      <c r="K595" t="s">
        <v>26</v>
      </c>
      <c r="L595" t="s">
        <v>21</v>
      </c>
      <c r="M595">
        <v>43</v>
      </c>
      <c r="N595">
        <v>395</v>
      </c>
      <c r="O595">
        <v>0</v>
      </c>
      <c r="P595" t="s">
        <v>87</v>
      </c>
      <c r="Q595">
        <v>224</v>
      </c>
      <c r="R595" t="s">
        <v>39</v>
      </c>
      <c r="S595">
        <f>IF(support_tickets[[#This Row],[status_cleaned]]="closed",1,0)</f>
        <v>1</v>
      </c>
      <c r="T595" t="str">
        <f>TEXT(support_tickets[[#This Row],[opened_at]],"mmm yyyy")</f>
        <v>Jan 2024</v>
      </c>
      <c r="U595">
        <f>YEAR(support_tickets[[#This Row],[opened_at]])*100+MONTH(support_tickets[[#This Row],[opened_at]])</f>
        <v>202401</v>
      </c>
      <c r="V595" s="29">
        <f>DATE(YEAR(support_tickets[[#This Row],[opened_at]]),MONTH(support_tickets[[#This Row],[opened_at]]),1)</f>
        <v>45292</v>
      </c>
    </row>
    <row r="596" spans="1:22">
      <c r="A596">
        <v>2246302080</v>
      </c>
      <c r="B596">
        <v>182555101</v>
      </c>
      <c r="C596" t="s">
        <v>444</v>
      </c>
      <c r="D596" t="s">
        <v>445</v>
      </c>
      <c r="E596">
        <v>83140807</v>
      </c>
      <c r="G596" s="1">
        <v>45948.401747685188</v>
      </c>
      <c r="H596" s="1">
        <v>45948.616331018522</v>
      </c>
      <c r="I596" t="s">
        <v>18</v>
      </c>
      <c r="J596" t="s">
        <v>38</v>
      </c>
      <c r="K596" t="s">
        <v>26</v>
      </c>
      <c r="L596" t="s">
        <v>21</v>
      </c>
      <c r="M596">
        <v>42</v>
      </c>
      <c r="N596">
        <v>309</v>
      </c>
      <c r="O596">
        <v>0</v>
      </c>
      <c r="P596" t="s">
        <v>40</v>
      </c>
      <c r="Q596">
        <v>229</v>
      </c>
      <c r="R596" t="s">
        <v>39</v>
      </c>
      <c r="S596">
        <f>IF(support_tickets[[#This Row],[status_cleaned]]="closed",1,0)</f>
        <v>1</v>
      </c>
      <c r="T596" t="str">
        <f>TEXT(support_tickets[[#This Row],[opened_at]],"mmm yyyy")</f>
        <v>Oct 2025</v>
      </c>
      <c r="U596">
        <f>YEAR(support_tickets[[#This Row],[opened_at]])*100+MONTH(support_tickets[[#This Row],[opened_at]])</f>
        <v>202510</v>
      </c>
      <c r="V596" s="29">
        <f>DATE(YEAR(support_tickets[[#This Row],[opened_at]]),MONTH(support_tickets[[#This Row],[opened_at]]),1)</f>
        <v>45931</v>
      </c>
    </row>
    <row r="597" spans="1:22">
      <c r="A597">
        <v>2455579672</v>
      </c>
      <c r="B597">
        <v>986485022</v>
      </c>
      <c r="C597" t="s">
        <v>264</v>
      </c>
      <c r="D597" t="s">
        <v>265</v>
      </c>
      <c r="E597">
        <v>81498611</v>
      </c>
      <c r="F597">
        <v>5087876256</v>
      </c>
      <c r="G597" s="1">
        <v>45850.013645833336</v>
      </c>
      <c r="H597" s="1">
        <v>45850.162951388891</v>
      </c>
      <c r="I597" t="s">
        <v>37</v>
      </c>
      <c r="J597" t="s">
        <v>38</v>
      </c>
      <c r="K597" t="s">
        <v>26</v>
      </c>
      <c r="L597" t="s">
        <v>21</v>
      </c>
      <c r="M597">
        <v>19</v>
      </c>
      <c r="N597">
        <v>215</v>
      </c>
      <c r="O597">
        <v>0</v>
      </c>
      <c r="P597" t="s">
        <v>40</v>
      </c>
      <c r="Q597">
        <v>265</v>
      </c>
      <c r="R597" t="s">
        <v>39</v>
      </c>
      <c r="S597">
        <f>IF(support_tickets[[#This Row],[status_cleaned]]="closed",1,0)</f>
        <v>1</v>
      </c>
      <c r="T597" t="str">
        <f>TEXT(support_tickets[[#This Row],[opened_at]],"mmm yyyy")</f>
        <v>Jul 2025</v>
      </c>
      <c r="U597">
        <f>YEAR(support_tickets[[#This Row],[opened_at]])*100+MONTH(support_tickets[[#This Row],[opened_at]])</f>
        <v>202507</v>
      </c>
      <c r="V597" s="29">
        <f>DATE(YEAR(support_tickets[[#This Row],[opened_at]]),MONTH(support_tickets[[#This Row],[opened_at]]),1)</f>
        <v>45839</v>
      </c>
    </row>
    <row r="598" spans="1:22">
      <c r="A598">
        <v>2504797898</v>
      </c>
      <c r="B598">
        <v>645055605</v>
      </c>
      <c r="C598" t="s">
        <v>504</v>
      </c>
      <c r="D598" t="s">
        <v>505</v>
      </c>
      <c r="E598">
        <v>16323852</v>
      </c>
      <c r="F598">
        <v>4519045785</v>
      </c>
      <c r="G598" s="1">
        <v>46055.177106481482</v>
      </c>
      <c r="H598" s="1">
        <v>46055.59238425926</v>
      </c>
      <c r="I598" t="s">
        <v>56</v>
      </c>
      <c r="J598" t="s">
        <v>19</v>
      </c>
      <c r="K598" t="s">
        <v>26</v>
      </c>
      <c r="L598" t="s">
        <v>21</v>
      </c>
      <c r="M598">
        <v>33</v>
      </c>
      <c r="N598">
        <v>598</v>
      </c>
      <c r="O598">
        <v>0</v>
      </c>
      <c r="P598" t="s">
        <v>22</v>
      </c>
      <c r="Q598">
        <v>272</v>
      </c>
      <c r="R598" t="s">
        <v>39</v>
      </c>
      <c r="S598">
        <f>IF(support_tickets[[#This Row],[status_cleaned]]="closed",1,0)</f>
        <v>1</v>
      </c>
      <c r="T598" t="str">
        <f>TEXT(support_tickets[[#This Row],[opened_at]],"mmm yyyy")</f>
        <v>Feb 2026</v>
      </c>
      <c r="U598">
        <f>YEAR(support_tickets[[#This Row],[opened_at]])*100+MONTH(support_tickets[[#This Row],[opened_at]])</f>
        <v>202602</v>
      </c>
      <c r="V598" s="29">
        <f>DATE(YEAR(support_tickets[[#This Row],[opened_at]]),MONTH(support_tickets[[#This Row],[opened_at]]),1)</f>
        <v>46054</v>
      </c>
    </row>
    <row r="599" spans="1:22">
      <c r="A599">
        <v>2524540068</v>
      </c>
      <c r="B599">
        <v>960226208</v>
      </c>
      <c r="C599" t="s">
        <v>512</v>
      </c>
      <c r="D599" t="s">
        <v>513</v>
      </c>
      <c r="E599">
        <v>75228535</v>
      </c>
      <c r="F599">
        <v>7575102757</v>
      </c>
      <c r="G599" s="1">
        <v>45364.932222222225</v>
      </c>
      <c r="H599" s="1">
        <v>45365.37736111111</v>
      </c>
      <c r="I599" t="s">
        <v>46</v>
      </c>
      <c r="J599" t="s">
        <v>30</v>
      </c>
      <c r="K599" t="s">
        <v>26</v>
      </c>
      <c r="L599" t="s">
        <v>21</v>
      </c>
      <c r="M599">
        <v>68</v>
      </c>
      <c r="N599">
        <v>641</v>
      </c>
      <c r="O599">
        <v>0</v>
      </c>
      <c r="P599" t="s">
        <v>31</v>
      </c>
      <c r="Q599">
        <v>277</v>
      </c>
      <c r="R599" t="s">
        <v>39</v>
      </c>
      <c r="S599">
        <f>IF(support_tickets[[#This Row],[status_cleaned]]="closed",1,0)</f>
        <v>1</v>
      </c>
      <c r="T599" t="str">
        <f>TEXT(support_tickets[[#This Row],[opened_at]],"mmm yyyy")</f>
        <v>Mar 2024</v>
      </c>
      <c r="U599">
        <f>YEAR(support_tickets[[#This Row],[opened_at]])*100+MONTH(support_tickets[[#This Row],[opened_at]])</f>
        <v>202403</v>
      </c>
      <c r="V599" s="29">
        <f>DATE(YEAR(support_tickets[[#This Row],[opened_at]]),MONTH(support_tickets[[#This Row],[opened_at]]),1)</f>
        <v>45352</v>
      </c>
    </row>
    <row r="600" spans="1:22">
      <c r="A600">
        <v>2589975888</v>
      </c>
      <c r="B600">
        <v>948656610</v>
      </c>
      <c r="C600" t="s">
        <v>526</v>
      </c>
      <c r="D600" t="s">
        <v>527</v>
      </c>
      <c r="E600">
        <v>21496211</v>
      </c>
      <c r="G600" s="1">
        <v>45989.137638888889</v>
      </c>
      <c r="H600" s="1">
        <v>45989.387638888889</v>
      </c>
      <c r="I600" t="s">
        <v>37</v>
      </c>
      <c r="J600" t="s">
        <v>25</v>
      </c>
      <c r="K600" t="s">
        <v>26</v>
      </c>
      <c r="L600" t="s">
        <v>21</v>
      </c>
      <c r="M600">
        <v>115</v>
      </c>
      <c r="N600">
        <v>360</v>
      </c>
      <c r="O600">
        <v>0</v>
      </c>
      <c r="P600" t="s">
        <v>27</v>
      </c>
      <c r="Q600">
        <v>285</v>
      </c>
      <c r="R600" t="s">
        <v>39</v>
      </c>
      <c r="S600">
        <f>IF(support_tickets[[#This Row],[status_cleaned]]="closed",1,0)</f>
        <v>1</v>
      </c>
      <c r="T600" t="str">
        <f>TEXT(support_tickets[[#This Row],[opened_at]],"mmm yyyy")</f>
        <v>Nov 2025</v>
      </c>
      <c r="U600">
        <f>YEAR(support_tickets[[#This Row],[opened_at]])*100+MONTH(support_tickets[[#This Row],[opened_at]])</f>
        <v>202511</v>
      </c>
      <c r="V600" s="29">
        <f>DATE(YEAR(support_tickets[[#This Row],[opened_at]]),MONTH(support_tickets[[#This Row],[opened_at]]),1)</f>
        <v>45962</v>
      </c>
    </row>
    <row r="601" spans="1:22">
      <c r="A601">
        <v>2678276347</v>
      </c>
      <c r="B601">
        <v>243418388</v>
      </c>
      <c r="C601" t="s">
        <v>540</v>
      </c>
      <c r="D601" t="s">
        <v>541</v>
      </c>
      <c r="E601">
        <v>31472420</v>
      </c>
      <c r="G601" s="1">
        <v>45882.392847222225</v>
      </c>
      <c r="H601" s="1">
        <v>45882.593541666669</v>
      </c>
      <c r="I601" t="s">
        <v>52</v>
      </c>
      <c r="J601" t="s">
        <v>59</v>
      </c>
      <c r="K601" t="s">
        <v>26</v>
      </c>
      <c r="L601" t="s">
        <v>21</v>
      </c>
      <c r="M601">
        <v>51</v>
      </c>
      <c r="N601">
        <v>289</v>
      </c>
      <c r="O601">
        <v>0</v>
      </c>
      <c r="P601" t="s">
        <v>61</v>
      </c>
      <c r="Q601">
        <v>299</v>
      </c>
      <c r="R601" t="s">
        <v>39</v>
      </c>
      <c r="S601">
        <f>IF(support_tickets[[#This Row],[status_cleaned]]="closed",1,0)</f>
        <v>1</v>
      </c>
      <c r="T601" t="str">
        <f>TEXT(support_tickets[[#This Row],[opened_at]],"mmm yyyy")</f>
        <v>Aug 2025</v>
      </c>
      <c r="U601">
        <f>YEAR(support_tickets[[#This Row],[opened_at]])*100+MONTH(support_tickets[[#This Row],[opened_at]])</f>
        <v>202508</v>
      </c>
      <c r="V601" s="29">
        <f>DATE(YEAR(support_tickets[[#This Row],[opened_at]]),MONTH(support_tickets[[#This Row],[opened_at]]),1)</f>
        <v>45870</v>
      </c>
    </row>
    <row r="602" spans="1:22">
      <c r="A602">
        <v>2701038041</v>
      </c>
      <c r="B602">
        <v>925884151</v>
      </c>
      <c r="C602" t="s">
        <v>322</v>
      </c>
      <c r="D602" t="s">
        <v>323</v>
      </c>
      <c r="E602">
        <v>61642594</v>
      </c>
      <c r="G602" s="1">
        <v>45418.123854166668</v>
      </c>
      <c r="H602" s="1">
        <v>45418.439131944448</v>
      </c>
      <c r="I602" t="s">
        <v>3</v>
      </c>
      <c r="J602" t="s">
        <v>38</v>
      </c>
      <c r="K602" t="s">
        <v>26</v>
      </c>
      <c r="L602" t="s">
        <v>21</v>
      </c>
      <c r="M602">
        <v>36</v>
      </c>
      <c r="N602">
        <v>454</v>
      </c>
      <c r="O602">
        <v>0</v>
      </c>
      <c r="P602" t="s">
        <v>40</v>
      </c>
      <c r="Q602">
        <v>304</v>
      </c>
      <c r="R602" t="s">
        <v>39</v>
      </c>
      <c r="S602">
        <f>IF(support_tickets[[#This Row],[status_cleaned]]="closed",1,0)</f>
        <v>1</v>
      </c>
      <c r="T602" t="str">
        <f>TEXT(support_tickets[[#This Row],[opened_at]],"mmm yyyy")</f>
        <v>May 2024</v>
      </c>
      <c r="U602">
        <f>YEAR(support_tickets[[#This Row],[opened_at]])*100+MONTH(support_tickets[[#This Row],[opened_at]])</f>
        <v>202405</v>
      </c>
      <c r="V602" s="29">
        <f>DATE(YEAR(support_tickets[[#This Row],[opened_at]]),MONTH(support_tickets[[#This Row],[opened_at]]),1)</f>
        <v>45413</v>
      </c>
    </row>
    <row r="603" spans="1:22">
      <c r="A603">
        <v>2800519072</v>
      </c>
      <c r="B603">
        <v>454650074</v>
      </c>
      <c r="C603" t="s">
        <v>576</v>
      </c>
      <c r="D603" t="s">
        <v>577</v>
      </c>
      <c r="E603">
        <v>24972279</v>
      </c>
      <c r="G603" s="1">
        <v>45624.505381944444</v>
      </c>
      <c r="H603" s="1">
        <v>45624.703298611108</v>
      </c>
      <c r="I603" t="s">
        <v>3</v>
      </c>
      <c r="J603" t="s">
        <v>86</v>
      </c>
      <c r="K603" t="s">
        <v>26</v>
      </c>
      <c r="L603" t="s">
        <v>21</v>
      </c>
      <c r="M603">
        <v>32</v>
      </c>
      <c r="N603">
        <v>285</v>
      </c>
      <c r="O603">
        <v>0</v>
      </c>
      <c r="P603" t="s">
        <v>87</v>
      </c>
      <c r="Q603">
        <v>322</v>
      </c>
      <c r="R603" t="s">
        <v>39</v>
      </c>
      <c r="S603">
        <f>IF(support_tickets[[#This Row],[status_cleaned]]="closed",1,0)</f>
        <v>1</v>
      </c>
      <c r="T603" t="str">
        <f>TEXT(support_tickets[[#This Row],[opened_at]],"mmm yyyy")</f>
        <v>Nov 2024</v>
      </c>
      <c r="U603">
        <f>YEAR(support_tickets[[#This Row],[opened_at]])*100+MONTH(support_tickets[[#This Row],[opened_at]])</f>
        <v>202411</v>
      </c>
      <c r="V603" s="29">
        <f>DATE(YEAR(support_tickets[[#This Row],[opened_at]]),MONTH(support_tickets[[#This Row],[opened_at]]),1)</f>
        <v>45597</v>
      </c>
    </row>
    <row r="604" spans="1:22">
      <c r="A604">
        <v>2867430033</v>
      </c>
      <c r="B604">
        <v>639991949</v>
      </c>
      <c r="C604" t="s">
        <v>590</v>
      </c>
      <c r="D604" t="s">
        <v>591</v>
      </c>
      <c r="E604">
        <v>93926371</v>
      </c>
      <c r="F604">
        <v>7019484591</v>
      </c>
      <c r="G604" s="1">
        <v>45953.172303240739</v>
      </c>
      <c r="H604" s="1">
        <v>45953.488969907405</v>
      </c>
      <c r="I604" t="s">
        <v>52</v>
      </c>
      <c r="J604" t="s">
        <v>59</v>
      </c>
      <c r="K604" t="s">
        <v>26</v>
      </c>
      <c r="L604" t="s">
        <v>21</v>
      </c>
      <c r="M604">
        <v>56</v>
      </c>
      <c r="N604">
        <v>456</v>
      </c>
      <c r="O604">
        <v>0</v>
      </c>
      <c r="P604" t="s">
        <v>61</v>
      </c>
      <c r="Q604">
        <v>335</v>
      </c>
      <c r="R604" t="s">
        <v>39</v>
      </c>
      <c r="S604">
        <f>IF(support_tickets[[#This Row],[status_cleaned]]="closed",1,0)</f>
        <v>1</v>
      </c>
      <c r="T604" t="str">
        <f>TEXT(support_tickets[[#This Row],[opened_at]],"mmm yyyy")</f>
        <v>Oct 2025</v>
      </c>
      <c r="U604">
        <f>YEAR(support_tickets[[#This Row],[opened_at]])*100+MONTH(support_tickets[[#This Row],[opened_at]])</f>
        <v>202510</v>
      </c>
      <c r="V604" s="29">
        <f>DATE(YEAR(support_tickets[[#This Row],[opened_at]]),MONTH(support_tickets[[#This Row],[opened_at]]),1)</f>
        <v>45931</v>
      </c>
    </row>
    <row r="605" spans="1:22">
      <c r="A605">
        <v>2969039204</v>
      </c>
      <c r="B605">
        <v>962915335</v>
      </c>
      <c r="C605" t="s">
        <v>620</v>
      </c>
      <c r="D605" t="s">
        <v>621</v>
      </c>
      <c r="E605">
        <v>88320463</v>
      </c>
      <c r="F605">
        <v>6127897303</v>
      </c>
      <c r="G605" s="1">
        <v>45524.746423611112</v>
      </c>
      <c r="H605" s="1">
        <v>45524.942256944443</v>
      </c>
      <c r="I605" t="s">
        <v>3</v>
      </c>
      <c r="J605" t="s">
        <v>25</v>
      </c>
      <c r="K605" t="s">
        <v>26</v>
      </c>
      <c r="L605" t="s">
        <v>21</v>
      </c>
      <c r="M605">
        <v>17</v>
      </c>
      <c r="N605">
        <v>282</v>
      </c>
      <c r="O605">
        <v>0</v>
      </c>
      <c r="P605" t="s">
        <v>27</v>
      </c>
      <c r="Q605">
        <v>353</v>
      </c>
      <c r="R605" t="s">
        <v>39</v>
      </c>
      <c r="S605">
        <f>IF(support_tickets[[#This Row],[status_cleaned]]="closed",1,0)</f>
        <v>1</v>
      </c>
      <c r="T605" t="str">
        <f>TEXT(support_tickets[[#This Row],[opened_at]],"mmm yyyy")</f>
        <v>Aug 2024</v>
      </c>
      <c r="U605">
        <f>YEAR(support_tickets[[#This Row],[opened_at]])*100+MONTH(support_tickets[[#This Row],[opened_at]])</f>
        <v>202408</v>
      </c>
      <c r="V605" s="29">
        <f>DATE(YEAR(support_tickets[[#This Row],[opened_at]]),MONTH(support_tickets[[#This Row],[opened_at]]),1)</f>
        <v>45505</v>
      </c>
    </row>
    <row r="606" spans="1:22">
      <c r="A606">
        <v>2970019599</v>
      </c>
      <c r="B606">
        <v>768737754</v>
      </c>
      <c r="C606" t="s">
        <v>622</v>
      </c>
      <c r="D606" t="s">
        <v>623</v>
      </c>
      <c r="E606">
        <v>45551614</v>
      </c>
      <c r="G606" s="1">
        <v>45385.344513888886</v>
      </c>
      <c r="H606" s="1">
        <v>45385.439652777779</v>
      </c>
      <c r="I606" t="s">
        <v>37</v>
      </c>
      <c r="J606" t="s">
        <v>38</v>
      </c>
      <c r="K606" t="s">
        <v>26</v>
      </c>
      <c r="L606" t="s">
        <v>21</v>
      </c>
      <c r="M606">
        <v>17</v>
      </c>
      <c r="N606">
        <v>137</v>
      </c>
      <c r="O606">
        <v>0</v>
      </c>
      <c r="P606" t="s">
        <v>40</v>
      </c>
      <c r="Q606">
        <v>354</v>
      </c>
      <c r="R606" t="s">
        <v>39</v>
      </c>
      <c r="S606">
        <f>IF(support_tickets[[#This Row],[status_cleaned]]="closed",1,0)</f>
        <v>1</v>
      </c>
      <c r="T606" t="str">
        <f>TEXT(support_tickets[[#This Row],[opened_at]],"mmm yyyy")</f>
        <v>Apr 2024</v>
      </c>
      <c r="U606">
        <f>YEAR(support_tickets[[#This Row],[opened_at]])*100+MONTH(support_tickets[[#This Row],[opened_at]])</f>
        <v>202404</v>
      </c>
      <c r="V606" s="29">
        <f>DATE(YEAR(support_tickets[[#This Row],[opened_at]]),MONTH(support_tickets[[#This Row],[opened_at]]),1)</f>
        <v>45383</v>
      </c>
    </row>
    <row r="607" spans="1:22">
      <c r="A607">
        <v>2992200279</v>
      </c>
      <c r="B607">
        <v>946666926</v>
      </c>
      <c r="C607" t="s">
        <v>570</v>
      </c>
      <c r="D607" t="s">
        <v>571</v>
      </c>
      <c r="E607">
        <v>45351479</v>
      </c>
      <c r="F607">
        <v>4943074590</v>
      </c>
      <c r="G607" s="1">
        <v>45687.80741898148</v>
      </c>
      <c r="H607" s="1">
        <v>45688.097002314818</v>
      </c>
      <c r="I607" t="s">
        <v>43</v>
      </c>
      <c r="J607" t="s">
        <v>30</v>
      </c>
      <c r="K607" t="s">
        <v>26</v>
      </c>
      <c r="L607" t="s">
        <v>21</v>
      </c>
      <c r="M607">
        <v>85</v>
      </c>
      <c r="N607">
        <v>417</v>
      </c>
      <c r="O607">
        <v>0</v>
      </c>
      <c r="P607" t="s">
        <v>31</v>
      </c>
      <c r="Q607">
        <v>362</v>
      </c>
      <c r="R607" t="s">
        <v>39</v>
      </c>
      <c r="S607">
        <f>IF(support_tickets[[#This Row],[status_cleaned]]="closed",1,0)</f>
        <v>1</v>
      </c>
      <c r="T607" t="str">
        <f>TEXT(support_tickets[[#This Row],[opened_at]],"mmm yyyy")</f>
        <v>Jan 2025</v>
      </c>
      <c r="U607">
        <f>YEAR(support_tickets[[#This Row],[opened_at]])*100+MONTH(support_tickets[[#This Row],[opened_at]])</f>
        <v>202501</v>
      </c>
      <c r="V607" s="29">
        <f>DATE(YEAR(support_tickets[[#This Row],[opened_at]]),MONTH(support_tickets[[#This Row],[opened_at]]),1)</f>
        <v>45658</v>
      </c>
    </row>
    <row r="608" spans="1:22">
      <c r="A608">
        <v>3292242074</v>
      </c>
      <c r="B608">
        <v>500718660</v>
      </c>
      <c r="C608" t="s">
        <v>694</v>
      </c>
      <c r="D608" t="s">
        <v>695</v>
      </c>
      <c r="E608">
        <v>28740864</v>
      </c>
      <c r="G608" s="1">
        <v>46049.19326388889</v>
      </c>
      <c r="H608" s="1">
        <v>46049.765486111108</v>
      </c>
      <c r="I608" t="s">
        <v>52</v>
      </c>
      <c r="J608" t="s">
        <v>59</v>
      </c>
      <c r="K608" t="s">
        <v>26</v>
      </c>
      <c r="L608" t="s">
        <v>21</v>
      </c>
      <c r="M608">
        <v>25</v>
      </c>
      <c r="N608">
        <v>824</v>
      </c>
      <c r="O608">
        <v>0</v>
      </c>
      <c r="P608" t="s">
        <v>61</v>
      </c>
      <c r="Q608">
        <v>411</v>
      </c>
      <c r="R608" t="s">
        <v>39</v>
      </c>
      <c r="S608">
        <f>IF(support_tickets[[#This Row],[status_cleaned]]="closed",1,0)</f>
        <v>1</v>
      </c>
      <c r="T608" t="str">
        <f>TEXT(support_tickets[[#This Row],[opened_at]],"mmm yyyy")</f>
        <v>Jan 2026</v>
      </c>
      <c r="U608">
        <f>YEAR(support_tickets[[#This Row],[opened_at]])*100+MONTH(support_tickets[[#This Row],[opened_at]])</f>
        <v>202601</v>
      </c>
      <c r="V608" s="29">
        <f>DATE(YEAR(support_tickets[[#This Row],[opened_at]]),MONTH(support_tickets[[#This Row],[opened_at]]),1)</f>
        <v>46023</v>
      </c>
    </row>
    <row r="609" spans="1:22">
      <c r="A609">
        <v>3294868026</v>
      </c>
      <c r="B609">
        <v>355046107</v>
      </c>
      <c r="C609" t="s">
        <v>402</v>
      </c>
      <c r="D609" t="s">
        <v>403</v>
      </c>
      <c r="E609">
        <v>56164955</v>
      </c>
      <c r="G609" s="1">
        <v>45299.769953703704</v>
      </c>
      <c r="H609" s="1">
        <v>45299.781064814815</v>
      </c>
      <c r="I609" t="s">
        <v>18</v>
      </c>
      <c r="J609" t="s">
        <v>59</v>
      </c>
      <c r="K609" t="s">
        <v>26</v>
      </c>
      <c r="L609" t="s">
        <v>21</v>
      </c>
      <c r="M609">
        <v>11</v>
      </c>
      <c r="N609">
        <v>16</v>
      </c>
      <c r="O609">
        <v>0</v>
      </c>
      <c r="P609" t="s">
        <v>61</v>
      </c>
      <c r="Q609">
        <v>412</v>
      </c>
      <c r="R609" t="s">
        <v>39</v>
      </c>
      <c r="S609">
        <f>IF(support_tickets[[#This Row],[status_cleaned]]="closed",1,0)</f>
        <v>1</v>
      </c>
      <c r="T609" t="str">
        <f>TEXT(support_tickets[[#This Row],[opened_at]],"mmm yyyy")</f>
        <v>Jan 2024</v>
      </c>
      <c r="U609">
        <f>YEAR(support_tickets[[#This Row],[opened_at]])*100+MONTH(support_tickets[[#This Row],[opened_at]])</f>
        <v>202401</v>
      </c>
      <c r="V609" s="29">
        <f>DATE(YEAR(support_tickets[[#This Row],[opened_at]]),MONTH(support_tickets[[#This Row],[opened_at]]),1)</f>
        <v>45292</v>
      </c>
    </row>
    <row r="610" spans="1:22">
      <c r="A610">
        <v>3478592108</v>
      </c>
      <c r="B610">
        <v>536913550</v>
      </c>
      <c r="C610" t="s">
        <v>746</v>
      </c>
      <c r="D610" t="s">
        <v>747</v>
      </c>
      <c r="E610">
        <v>41244663</v>
      </c>
      <c r="F610">
        <v>1029680169</v>
      </c>
      <c r="G610" s="1">
        <v>45387.607581018521</v>
      </c>
      <c r="H610" s="1">
        <v>45387.961747685185</v>
      </c>
      <c r="I610" t="s">
        <v>37</v>
      </c>
      <c r="J610" t="s">
        <v>38</v>
      </c>
      <c r="K610" t="s">
        <v>26</v>
      </c>
      <c r="L610" t="s">
        <v>21</v>
      </c>
      <c r="M610">
        <v>19</v>
      </c>
      <c r="N610">
        <v>510</v>
      </c>
      <c r="O610">
        <v>0</v>
      </c>
      <c r="P610" t="s">
        <v>40</v>
      </c>
      <c r="Q610">
        <v>444</v>
      </c>
      <c r="R610" t="s">
        <v>39</v>
      </c>
      <c r="S610">
        <f>IF(support_tickets[[#This Row],[status_cleaned]]="closed",1,0)</f>
        <v>1</v>
      </c>
      <c r="T610" t="str">
        <f>TEXT(support_tickets[[#This Row],[opened_at]],"mmm yyyy")</f>
        <v>Apr 2024</v>
      </c>
      <c r="U610">
        <f>YEAR(support_tickets[[#This Row],[opened_at]])*100+MONTH(support_tickets[[#This Row],[opened_at]])</f>
        <v>202404</v>
      </c>
      <c r="V610" s="29">
        <f>DATE(YEAR(support_tickets[[#This Row],[opened_at]]),MONTH(support_tickets[[#This Row],[opened_at]]),1)</f>
        <v>45383</v>
      </c>
    </row>
    <row r="611" spans="1:22">
      <c r="A611">
        <v>3485002985</v>
      </c>
      <c r="B611">
        <v>775410705</v>
      </c>
      <c r="C611" t="s">
        <v>754</v>
      </c>
      <c r="D611" t="s">
        <v>755</v>
      </c>
      <c r="E611">
        <v>71586053</v>
      </c>
      <c r="G611" s="1">
        <v>45594.809861111113</v>
      </c>
      <c r="H611" s="1">
        <v>45595.196666666663</v>
      </c>
      <c r="I611" t="s">
        <v>56</v>
      </c>
      <c r="J611" t="s">
        <v>19</v>
      </c>
      <c r="K611" t="s">
        <v>26</v>
      </c>
      <c r="L611" t="s">
        <v>21</v>
      </c>
      <c r="M611">
        <v>84</v>
      </c>
      <c r="N611">
        <v>557</v>
      </c>
      <c r="O611">
        <v>0</v>
      </c>
      <c r="P611" t="s">
        <v>22</v>
      </c>
      <c r="Q611">
        <v>448</v>
      </c>
      <c r="R611" t="s">
        <v>39</v>
      </c>
      <c r="S611">
        <f>IF(support_tickets[[#This Row],[status_cleaned]]="closed",1,0)</f>
        <v>1</v>
      </c>
      <c r="T611" t="str">
        <f>TEXT(support_tickets[[#This Row],[opened_at]],"mmm yyyy")</f>
        <v>Oct 2024</v>
      </c>
      <c r="U611">
        <f>YEAR(support_tickets[[#This Row],[opened_at]])*100+MONTH(support_tickets[[#This Row],[opened_at]])</f>
        <v>202410</v>
      </c>
      <c r="V611" s="29">
        <f>DATE(YEAR(support_tickets[[#This Row],[opened_at]]),MONTH(support_tickets[[#This Row],[opened_at]]),1)</f>
        <v>45566</v>
      </c>
    </row>
    <row r="612" spans="1:22">
      <c r="A612">
        <v>3486835953</v>
      </c>
      <c r="B612">
        <v>167438668</v>
      </c>
      <c r="C612" t="s">
        <v>756</v>
      </c>
      <c r="D612" t="s">
        <v>757</v>
      </c>
      <c r="E612">
        <v>63551839</v>
      </c>
      <c r="G612" s="1">
        <v>45822.15996527778</v>
      </c>
      <c r="H612" s="1">
        <v>45822.636354166665</v>
      </c>
      <c r="I612" t="s">
        <v>46</v>
      </c>
      <c r="J612" t="s">
        <v>25</v>
      </c>
      <c r="K612" t="s">
        <v>26</v>
      </c>
      <c r="L612" t="s">
        <v>21</v>
      </c>
      <c r="M612">
        <v>41</v>
      </c>
      <c r="N612">
        <v>686</v>
      </c>
      <c r="O612">
        <v>0</v>
      </c>
      <c r="P612" t="s">
        <v>27</v>
      </c>
      <c r="Q612">
        <v>449</v>
      </c>
      <c r="R612" t="s">
        <v>39</v>
      </c>
      <c r="S612">
        <f>IF(support_tickets[[#This Row],[status_cleaned]]="closed",1,0)</f>
        <v>1</v>
      </c>
      <c r="T612" t="str">
        <f>TEXT(support_tickets[[#This Row],[opened_at]],"mmm yyyy")</f>
        <v>Jun 2025</v>
      </c>
      <c r="U612">
        <f>YEAR(support_tickets[[#This Row],[opened_at]])*100+MONTH(support_tickets[[#This Row],[opened_at]])</f>
        <v>202506</v>
      </c>
      <c r="V612" s="29">
        <f>DATE(YEAR(support_tickets[[#This Row],[opened_at]]),MONTH(support_tickets[[#This Row],[opened_at]]),1)</f>
        <v>45809</v>
      </c>
    </row>
    <row r="613" spans="1:22">
      <c r="A613">
        <v>3551303563</v>
      </c>
      <c r="B613">
        <v>902425085</v>
      </c>
      <c r="C613" t="s">
        <v>764</v>
      </c>
      <c r="D613" t="s">
        <v>765</v>
      </c>
      <c r="E613">
        <v>57683626</v>
      </c>
      <c r="G613" s="1">
        <v>45645.279560185183</v>
      </c>
      <c r="H613" s="1">
        <v>45645.542754629627</v>
      </c>
      <c r="I613" t="s">
        <v>37</v>
      </c>
      <c r="J613" t="s">
        <v>19</v>
      </c>
      <c r="K613" t="s">
        <v>26</v>
      </c>
      <c r="L613" t="s">
        <v>21</v>
      </c>
      <c r="M613">
        <v>45</v>
      </c>
      <c r="N613">
        <v>379</v>
      </c>
      <c r="O613">
        <v>0</v>
      </c>
      <c r="P613" t="s">
        <v>22</v>
      </c>
      <c r="Q613">
        <v>457</v>
      </c>
      <c r="R613" t="s">
        <v>39</v>
      </c>
      <c r="S613">
        <f>IF(support_tickets[[#This Row],[status_cleaned]]="closed",1,0)</f>
        <v>1</v>
      </c>
      <c r="T613" t="str">
        <f>TEXT(support_tickets[[#This Row],[opened_at]],"mmm yyyy")</f>
        <v>Dec 2024</v>
      </c>
      <c r="U613">
        <f>YEAR(support_tickets[[#This Row],[opened_at]])*100+MONTH(support_tickets[[#This Row],[opened_at]])</f>
        <v>202412</v>
      </c>
      <c r="V613" s="29">
        <f>DATE(YEAR(support_tickets[[#This Row],[opened_at]]),MONTH(support_tickets[[#This Row],[opened_at]]),1)</f>
        <v>45627</v>
      </c>
    </row>
    <row r="614" spans="1:22">
      <c r="A614">
        <v>3614663568</v>
      </c>
      <c r="B614">
        <v>429097422</v>
      </c>
      <c r="C614" t="s">
        <v>774</v>
      </c>
      <c r="D614" t="s">
        <v>775</v>
      </c>
      <c r="E614">
        <v>72043515</v>
      </c>
      <c r="F614">
        <v>6147970594</v>
      </c>
      <c r="G614" s="1">
        <v>45429.448078703703</v>
      </c>
      <c r="H614" s="1">
        <v>45429.80363425926</v>
      </c>
      <c r="I614" t="s">
        <v>37</v>
      </c>
      <c r="J614" t="s">
        <v>59</v>
      </c>
      <c r="K614" t="s">
        <v>26</v>
      </c>
      <c r="L614" t="s">
        <v>21</v>
      </c>
      <c r="M614">
        <v>5</v>
      </c>
      <c r="N614">
        <v>512</v>
      </c>
      <c r="O614">
        <v>0</v>
      </c>
      <c r="P614" t="s">
        <v>61</v>
      </c>
      <c r="Q614">
        <v>467</v>
      </c>
      <c r="R614" t="s">
        <v>39</v>
      </c>
      <c r="S614">
        <f>IF(support_tickets[[#This Row],[status_cleaned]]="closed",1,0)</f>
        <v>1</v>
      </c>
      <c r="T614" t="str">
        <f>TEXT(support_tickets[[#This Row],[opened_at]],"mmm yyyy")</f>
        <v>May 2024</v>
      </c>
      <c r="U614">
        <f>YEAR(support_tickets[[#This Row],[opened_at]])*100+MONTH(support_tickets[[#This Row],[opened_at]])</f>
        <v>202405</v>
      </c>
      <c r="V614" s="29">
        <f>DATE(YEAR(support_tickets[[#This Row],[opened_at]]),MONTH(support_tickets[[#This Row],[opened_at]]),1)</f>
        <v>45413</v>
      </c>
    </row>
    <row r="615" spans="1:22">
      <c r="A615">
        <v>3638434339</v>
      </c>
      <c r="B615">
        <v>196057712</v>
      </c>
      <c r="C615" t="s">
        <v>780</v>
      </c>
      <c r="D615" t="s">
        <v>781</v>
      </c>
      <c r="E615">
        <v>13999315</v>
      </c>
      <c r="G615" s="1">
        <v>45815.15662037037</v>
      </c>
      <c r="H615" s="1">
        <v>45815.647592592592</v>
      </c>
      <c r="I615" t="s">
        <v>18</v>
      </c>
      <c r="J615" t="s">
        <v>30</v>
      </c>
      <c r="K615" t="s">
        <v>26</v>
      </c>
      <c r="L615" t="s">
        <v>21</v>
      </c>
      <c r="M615">
        <v>26</v>
      </c>
      <c r="N615">
        <v>707</v>
      </c>
      <c r="O615">
        <v>0</v>
      </c>
      <c r="P615" t="s">
        <v>31</v>
      </c>
      <c r="Q615">
        <v>471</v>
      </c>
      <c r="R615" t="s">
        <v>39</v>
      </c>
      <c r="S615">
        <f>IF(support_tickets[[#This Row],[status_cleaned]]="closed",1,0)</f>
        <v>1</v>
      </c>
      <c r="T615" t="str">
        <f>TEXT(support_tickets[[#This Row],[opened_at]],"mmm yyyy")</f>
        <v>Jun 2025</v>
      </c>
      <c r="U615">
        <f>YEAR(support_tickets[[#This Row],[opened_at]])*100+MONTH(support_tickets[[#This Row],[opened_at]])</f>
        <v>202506</v>
      </c>
      <c r="V615" s="29">
        <f>DATE(YEAR(support_tickets[[#This Row],[opened_at]]),MONTH(support_tickets[[#This Row],[opened_at]]),1)</f>
        <v>45809</v>
      </c>
    </row>
    <row r="616" spans="1:22">
      <c r="A616">
        <v>3667904464</v>
      </c>
      <c r="B616">
        <v>536164913</v>
      </c>
      <c r="C616" t="s">
        <v>640</v>
      </c>
      <c r="D616" t="s">
        <v>790</v>
      </c>
      <c r="E616">
        <v>87490893</v>
      </c>
      <c r="F616">
        <v>9497854045</v>
      </c>
      <c r="G616" s="1">
        <v>45932.120127314818</v>
      </c>
      <c r="H616" s="1">
        <v>45932.387488425928</v>
      </c>
      <c r="I616" t="s">
        <v>46</v>
      </c>
      <c r="J616" t="s">
        <v>25</v>
      </c>
      <c r="K616" t="s">
        <v>26</v>
      </c>
      <c r="L616" t="s">
        <v>21</v>
      </c>
      <c r="M616">
        <v>81</v>
      </c>
      <c r="N616">
        <v>385</v>
      </c>
      <c r="O616">
        <v>0</v>
      </c>
      <c r="P616" t="s">
        <v>27</v>
      </c>
      <c r="Q616">
        <v>478</v>
      </c>
      <c r="R616" t="s">
        <v>39</v>
      </c>
      <c r="S616">
        <f>IF(support_tickets[[#This Row],[status_cleaned]]="closed",1,0)</f>
        <v>1</v>
      </c>
      <c r="T616" t="str">
        <f>TEXT(support_tickets[[#This Row],[opened_at]],"mmm yyyy")</f>
        <v>Oct 2025</v>
      </c>
      <c r="U616">
        <f>YEAR(support_tickets[[#This Row],[opened_at]])*100+MONTH(support_tickets[[#This Row],[opened_at]])</f>
        <v>202510</v>
      </c>
      <c r="V616" s="29">
        <f>DATE(YEAR(support_tickets[[#This Row],[opened_at]]),MONTH(support_tickets[[#This Row],[opened_at]]),1)</f>
        <v>45931</v>
      </c>
    </row>
    <row r="617" spans="1:22">
      <c r="A617">
        <v>3693808016</v>
      </c>
      <c r="B617">
        <v>281071418</v>
      </c>
      <c r="C617" t="s">
        <v>793</v>
      </c>
      <c r="D617" t="s">
        <v>794</v>
      </c>
      <c r="E617">
        <v>97226012</v>
      </c>
      <c r="F617">
        <v>5866075091</v>
      </c>
      <c r="G617" s="1">
        <v>45805.236597222225</v>
      </c>
      <c r="H617" s="1">
        <v>45805.370625000003</v>
      </c>
      <c r="I617" t="s">
        <v>46</v>
      </c>
      <c r="J617" t="s">
        <v>86</v>
      </c>
      <c r="K617" t="s">
        <v>26</v>
      </c>
      <c r="L617" t="s">
        <v>21</v>
      </c>
      <c r="M617">
        <v>8</v>
      </c>
      <c r="N617">
        <v>193</v>
      </c>
      <c r="O617">
        <v>0</v>
      </c>
      <c r="P617" t="s">
        <v>87</v>
      </c>
      <c r="Q617">
        <v>481</v>
      </c>
      <c r="R617" t="s">
        <v>39</v>
      </c>
      <c r="S617">
        <f>IF(support_tickets[[#This Row],[status_cleaned]]="closed",1,0)</f>
        <v>1</v>
      </c>
      <c r="T617" t="str">
        <f>TEXT(support_tickets[[#This Row],[opened_at]],"mmm yyyy")</f>
        <v>May 2025</v>
      </c>
      <c r="U617">
        <f>YEAR(support_tickets[[#This Row],[opened_at]])*100+MONTH(support_tickets[[#This Row],[opened_at]])</f>
        <v>202505</v>
      </c>
      <c r="V617" s="29">
        <f>DATE(YEAR(support_tickets[[#This Row],[opened_at]]),MONTH(support_tickets[[#This Row],[opened_at]]),1)</f>
        <v>45778</v>
      </c>
    </row>
    <row r="618" spans="1:22">
      <c r="A618">
        <v>3742888862</v>
      </c>
      <c r="B618">
        <v>169727803</v>
      </c>
      <c r="C618" t="s">
        <v>799</v>
      </c>
      <c r="D618" t="s">
        <v>800</v>
      </c>
      <c r="E618">
        <v>88320463</v>
      </c>
      <c r="G618" s="1">
        <v>45942.967870370368</v>
      </c>
      <c r="H618" s="1">
        <v>45943.105370370373</v>
      </c>
      <c r="I618" t="s">
        <v>46</v>
      </c>
      <c r="J618" t="s">
        <v>25</v>
      </c>
      <c r="K618" t="s">
        <v>26</v>
      </c>
      <c r="L618" t="s">
        <v>21</v>
      </c>
      <c r="M618">
        <v>57</v>
      </c>
      <c r="N618">
        <v>198</v>
      </c>
      <c r="O618">
        <v>0</v>
      </c>
      <c r="P618" t="s">
        <v>27</v>
      </c>
      <c r="Q618">
        <v>488</v>
      </c>
      <c r="R618" t="s">
        <v>39</v>
      </c>
      <c r="S618">
        <f>IF(support_tickets[[#This Row],[status_cleaned]]="closed",1,0)</f>
        <v>1</v>
      </c>
      <c r="T618" t="str">
        <f>TEXT(support_tickets[[#This Row],[opened_at]],"mmm yyyy")</f>
        <v>Oct 2025</v>
      </c>
      <c r="U618">
        <f>YEAR(support_tickets[[#This Row],[opened_at]])*100+MONTH(support_tickets[[#This Row],[opened_at]])</f>
        <v>202510</v>
      </c>
      <c r="V618" s="29">
        <f>DATE(YEAR(support_tickets[[#This Row],[opened_at]]),MONTH(support_tickets[[#This Row],[opened_at]]),1)</f>
        <v>45931</v>
      </c>
    </row>
    <row r="619" spans="1:22">
      <c r="A619">
        <v>3961353048</v>
      </c>
      <c r="B619">
        <v>701818966</v>
      </c>
      <c r="C619" t="s">
        <v>834</v>
      </c>
      <c r="D619" t="s">
        <v>835</v>
      </c>
      <c r="E619">
        <v>52235350</v>
      </c>
      <c r="F619">
        <v>7228098909</v>
      </c>
      <c r="G619" s="1">
        <v>45672.255231481482</v>
      </c>
      <c r="H619" s="1">
        <v>45672.553842592592</v>
      </c>
      <c r="I619" t="s">
        <v>43</v>
      </c>
      <c r="J619" t="s">
        <v>59</v>
      </c>
      <c r="K619" t="s">
        <v>26</v>
      </c>
      <c r="L619" t="s">
        <v>21</v>
      </c>
      <c r="M619">
        <v>48</v>
      </c>
      <c r="N619">
        <v>430</v>
      </c>
      <c r="O619">
        <v>0</v>
      </c>
      <c r="P619" t="s">
        <v>61</v>
      </c>
      <c r="Q619">
        <v>515</v>
      </c>
      <c r="R619" t="s">
        <v>39</v>
      </c>
      <c r="S619">
        <f>IF(support_tickets[[#This Row],[status_cleaned]]="closed",1,0)</f>
        <v>1</v>
      </c>
      <c r="T619" t="str">
        <f>TEXT(support_tickets[[#This Row],[opened_at]],"mmm yyyy")</f>
        <v>Jan 2025</v>
      </c>
      <c r="U619">
        <f>YEAR(support_tickets[[#This Row],[opened_at]])*100+MONTH(support_tickets[[#This Row],[opened_at]])</f>
        <v>202501</v>
      </c>
      <c r="V619" s="29">
        <f>DATE(YEAR(support_tickets[[#This Row],[opened_at]]),MONTH(support_tickets[[#This Row],[opened_at]]),1)</f>
        <v>45658</v>
      </c>
    </row>
    <row r="620" spans="1:22">
      <c r="A620">
        <v>3984307117</v>
      </c>
      <c r="B620">
        <v>616030284</v>
      </c>
      <c r="C620" t="s">
        <v>844</v>
      </c>
      <c r="D620" t="s">
        <v>845</v>
      </c>
      <c r="E620">
        <v>70855700</v>
      </c>
      <c r="G620" s="1">
        <v>45932.614930555559</v>
      </c>
      <c r="H620" s="1">
        <v>45932.829513888886</v>
      </c>
      <c r="I620" t="s">
        <v>46</v>
      </c>
      <c r="J620" t="s">
        <v>19</v>
      </c>
      <c r="K620" t="s">
        <v>26</v>
      </c>
      <c r="L620" t="s">
        <v>21</v>
      </c>
      <c r="M620">
        <v>43</v>
      </c>
      <c r="N620">
        <v>309</v>
      </c>
      <c r="O620">
        <v>0</v>
      </c>
      <c r="P620" t="s">
        <v>22</v>
      </c>
      <c r="Q620">
        <v>520</v>
      </c>
      <c r="R620" t="s">
        <v>39</v>
      </c>
      <c r="S620">
        <f>IF(support_tickets[[#This Row],[status_cleaned]]="closed",1,0)</f>
        <v>1</v>
      </c>
      <c r="T620" t="str">
        <f>TEXT(support_tickets[[#This Row],[opened_at]],"mmm yyyy")</f>
        <v>Oct 2025</v>
      </c>
      <c r="U620">
        <f>YEAR(support_tickets[[#This Row],[opened_at]])*100+MONTH(support_tickets[[#This Row],[opened_at]])</f>
        <v>202510</v>
      </c>
      <c r="V620" s="29">
        <f>DATE(YEAR(support_tickets[[#This Row],[opened_at]]),MONTH(support_tickets[[#This Row],[opened_at]]),1)</f>
        <v>45931</v>
      </c>
    </row>
    <row r="621" spans="1:22">
      <c r="A621">
        <v>3999214187</v>
      </c>
      <c r="B621">
        <v>639026034</v>
      </c>
      <c r="C621" t="s">
        <v>848</v>
      </c>
      <c r="D621" t="s">
        <v>849</v>
      </c>
      <c r="E621">
        <v>26879290</v>
      </c>
      <c r="G621" s="1">
        <v>45343.970451388886</v>
      </c>
      <c r="H621" s="1">
        <v>45344.113506944443</v>
      </c>
      <c r="I621" t="s">
        <v>43</v>
      </c>
      <c r="J621" t="s">
        <v>38</v>
      </c>
      <c r="K621" t="s">
        <v>26</v>
      </c>
      <c r="L621" t="s">
        <v>21</v>
      </c>
      <c r="M621">
        <v>29</v>
      </c>
      <c r="N621">
        <v>206</v>
      </c>
      <c r="O621">
        <v>0</v>
      </c>
      <c r="P621" t="s">
        <v>40</v>
      </c>
      <c r="Q621">
        <v>522</v>
      </c>
      <c r="R621" t="s">
        <v>39</v>
      </c>
      <c r="S621">
        <f>IF(support_tickets[[#This Row],[status_cleaned]]="closed",1,0)</f>
        <v>1</v>
      </c>
      <c r="T621" t="str">
        <f>TEXT(support_tickets[[#This Row],[opened_at]],"mmm yyyy")</f>
        <v>Feb 2024</v>
      </c>
      <c r="U621">
        <f>YEAR(support_tickets[[#This Row],[opened_at]])*100+MONTH(support_tickets[[#This Row],[opened_at]])</f>
        <v>202402</v>
      </c>
      <c r="V621" s="29">
        <f>DATE(YEAR(support_tickets[[#This Row],[opened_at]]),MONTH(support_tickets[[#This Row],[opened_at]]),1)</f>
        <v>45323</v>
      </c>
    </row>
    <row r="622" spans="1:22">
      <c r="A622">
        <v>4103801478</v>
      </c>
      <c r="B622">
        <v>971339002</v>
      </c>
      <c r="C622" t="s">
        <v>864</v>
      </c>
      <c r="D622" t="s">
        <v>865</v>
      </c>
      <c r="E622">
        <v>52339391</v>
      </c>
      <c r="G622" s="1">
        <v>45560.429930555554</v>
      </c>
      <c r="H622" s="1">
        <v>45560.538958333331</v>
      </c>
      <c r="I622" t="s">
        <v>46</v>
      </c>
      <c r="J622" t="s">
        <v>59</v>
      </c>
      <c r="K622" t="s">
        <v>26</v>
      </c>
      <c r="L622" t="s">
        <v>21</v>
      </c>
      <c r="M622">
        <v>15</v>
      </c>
      <c r="N622">
        <v>157</v>
      </c>
      <c r="O622">
        <v>0</v>
      </c>
      <c r="P622" t="s">
        <v>61</v>
      </c>
      <c r="Q622">
        <v>536</v>
      </c>
      <c r="R622" t="s">
        <v>39</v>
      </c>
      <c r="S622">
        <f>IF(support_tickets[[#This Row],[status_cleaned]]="closed",1,0)</f>
        <v>1</v>
      </c>
      <c r="T622" t="str">
        <f>TEXT(support_tickets[[#This Row],[opened_at]],"mmm yyyy")</f>
        <v>Sep 2024</v>
      </c>
      <c r="U622">
        <f>YEAR(support_tickets[[#This Row],[opened_at]])*100+MONTH(support_tickets[[#This Row],[opened_at]])</f>
        <v>202409</v>
      </c>
      <c r="V622" s="29">
        <f>DATE(YEAR(support_tickets[[#This Row],[opened_at]]),MONTH(support_tickets[[#This Row],[opened_at]]),1)</f>
        <v>45536</v>
      </c>
    </row>
    <row r="623" spans="1:22">
      <c r="A623">
        <v>4130767223</v>
      </c>
      <c r="B623">
        <v>449019278</v>
      </c>
      <c r="C623" t="s">
        <v>868</v>
      </c>
      <c r="D623" t="s">
        <v>869</v>
      </c>
      <c r="E623">
        <v>83140807</v>
      </c>
      <c r="G623" s="1">
        <v>45668.720208333332</v>
      </c>
      <c r="H623" s="1">
        <v>45669.100069444445</v>
      </c>
      <c r="I623" t="s">
        <v>18</v>
      </c>
      <c r="J623" t="s">
        <v>19</v>
      </c>
      <c r="K623" t="s">
        <v>26</v>
      </c>
      <c r="L623" t="s">
        <v>21</v>
      </c>
      <c r="M623">
        <v>47</v>
      </c>
      <c r="N623">
        <v>547</v>
      </c>
      <c r="O623">
        <v>0</v>
      </c>
      <c r="P623" t="s">
        <v>22</v>
      </c>
      <c r="Q623">
        <v>541</v>
      </c>
      <c r="R623" t="s">
        <v>39</v>
      </c>
      <c r="S623">
        <f>IF(support_tickets[[#This Row],[status_cleaned]]="closed",1,0)</f>
        <v>1</v>
      </c>
      <c r="T623" t="str">
        <f>TEXT(support_tickets[[#This Row],[opened_at]],"mmm yyyy")</f>
        <v>Jan 2025</v>
      </c>
      <c r="U623">
        <f>YEAR(support_tickets[[#This Row],[opened_at]])*100+MONTH(support_tickets[[#This Row],[opened_at]])</f>
        <v>202501</v>
      </c>
      <c r="V623" s="29">
        <f>DATE(YEAR(support_tickets[[#This Row],[opened_at]]),MONTH(support_tickets[[#This Row],[opened_at]]),1)</f>
        <v>45658</v>
      </c>
    </row>
    <row r="624" spans="1:22">
      <c r="A624">
        <v>4258918001</v>
      </c>
      <c r="B624">
        <v>749252434</v>
      </c>
      <c r="C624" t="s">
        <v>508</v>
      </c>
      <c r="D624" t="s">
        <v>509</v>
      </c>
      <c r="E624">
        <v>18526544</v>
      </c>
      <c r="G624" s="1">
        <v>45925.754988425928</v>
      </c>
      <c r="H624" s="1">
        <v>45925.923043981478</v>
      </c>
      <c r="I624" t="s">
        <v>56</v>
      </c>
      <c r="J624" t="s">
        <v>59</v>
      </c>
      <c r="K624" t="s">
        <v>26</v>
      </c>
      <c r="L624" t="s">
        <v>21</v>
      </c>
      <c r="M624">
        <v>67</v>
      </c>
      <c r="N624">
        <v>242</v>
      </c>
      <c r="O624">
        <v>0</v>
      </c>
      <c r="P624" t="s">
        <v>61</v>
      </c>
      <c r="Q624">
        <v>561</v>
      </c>
      <c r="R624" t="s">
        <v>39</v>
      </c>
      <c r="S624">
        <f>IF(support_tickets[[#This Row],[status_cleaned]]="closed",1,0)</f>
        <v>1</v>
      </c>
      <c r="T624" t="str">
        <f>TEXT(support_tickets[[#This Row],[opened_at]],"mmm yyyy")</f>
        <v>Sep 2025</v>
      </c>
      <c r="U624">
        <f>YEAR(support_tickets[[#This Row],[opened_at]])*100+MONTH(support_tickets[[#This Row],[opened_at]])</f>
        <v>202509</v>
      </c>
      <c r="V624" s="29">
        <f>DATE(YEAR(support_tickets[[#This Row],[opened_at]]),MONTH(support_tickets[[#This Row],[opened_at]]),1)</f>
        <v>45901</v>
      </c>
    </row>
    <row r="625" spans="1:22">
      <c r="A625">
        <v>4284972830</v>
      </c>
      <c r="B625">
        <v>843854609</v>
      </c>
      <c r="C625" t="s">
        <v>496</v>
      </c>
      <c r="D625" t="s">
        <v>497</v>
      </c>
      <c r="E625">
        <v>42868828</v>
      </c>
      <c r="G625" s="1">
        <v>45955.869120370371</v>
      </c>
      <c r="H625" s="1">
        <v>45955.992037037038</v>
      </c>
      <c r="I625" t="s">
        <v>46</v>
      </c>
      <c r="J625" t="s">
        <v>59</v>
      </c>
      <c r="K625" t="s">
        <v>26</v>
      </c>
      <c r="L625" t="s">
        <v>21</v>
      </c>
      <c r="M625">
        <v>21</v>
      </c>
      <c r="N625">
        <v>177</v>
      </c>
      <c r="O625">
        <v>0</v>
      </c>
      <c r="P625" t="s">
        <v>61</v>
      </c>
      <c r="Q625">
        <v>566</v>
      </c>
      <c r="R625" t="s">
        <v>39</v>
      </c>
      <c r="S625">
        <f>IF(support_tickets[[#This Row],[status_cleaned]]="closed",1,0)</f>
        <v>1</v>
      </c>
      <c r="T625" t="str">
        <f>TEXT(support_tickets[[#This Row],[opened_at]],"mmm yyyy")</f>
        <v>Oct 2025</v>
      </c>
      <c r="U625">
        <f>YEAR(support_tickets[[#This Row],[opened_at]])*100+MONTH(support_tickets[[#This Row],[opened_at]])</f>
        <v>202510</v>
      </c>
      <c r="V625" s="29">
        <f>DATE(YEAR(support_tickets[[#This Row],[opened_at]]),MONTH(support_tickets[[#This Row],[opened_at]]),1)</f>
        <v>45931</v>
      </c>
    </row>
    <row r="626" spans="1:22">
      <c r="A626">
        <v>4403348239</v>
      </c>
      <c r="B626">
        <v>269587940</v>
      </c>
      <c r="C626" t="s">
        <v>924</v>
      </c>
      <c r="D626" t="s">
        <v>925</v>
      </c>
      <c r="E626">
        <v>17507864</v>
      </c>
      <c r="G626" s="1">
        <v>45860.499050925922</v>
      </c>
      <c r="H626" s="1">
        <v>45860.851134259261</v>
      </c>
      <c r="I626" t="s">
        <v>52</v>
      </c>
      <c r="J626" t="s">
        <v>30</v>
      </c>
      <c r="K626" t="s">
        <v>26</v>
      </c>
      <c r="L626" t="s">
        <v>21</v>
      </c>
      <c r="M626">
        <v>64</v>
      </c>
      <c r="N626">
        <v>507</v>
      </c>
      <c r="O626">
        <v>0</v>
      </c>
      <c r="P626" t="s">
        <v>31</v>
      </c>
      <c r="Q626">
        <v>592</v>
      </c>
      <c r="R626" t="s">
        <v>39</v>
      </c>
      <c r="S626">
        <f>IF(support_tickets[[#This Row],[status_cleaned]]="closed",1,0)</f>
        <v>1</v>
      </c>
      <c r="T626" t="str">
        <f>TEXT(support_tickets[[#This Row],[opened_at]],"mmm yyyy")</f>
        <v>Jul 2025</v>
      </c>
      <c r="U626">
        <f>YEAR(support_tickets[[#This Row],[opened_at]])*100+MONTH(support_tickets[[#This Row],[opened_at]])</f>
        <v>202507</v>
      </c>
      <c r="V626" s="29">
        <f>DATE(YEAR(support_tickets[[#This Row],[opened_at]]),MONTH(support_tickets[[#This Row],[opened_at]]),1)</f>
        <v>45839</v>
      </c>
    </row>
    <row r="627" spans="1:22">
      <c r="A627">
        <v>4423383964</v>
      </c>
      <c r="B627">
        <v>470838810</v>
      </c>
      <c r="C627" t="s">
        <v>364</v>
      </c>
      <c r="D627" t="s">
        <v>365</v>
      </c>
      <c r="E627">
        <v>45264581</v>
      </c>
      <c r="F627">
        <v>7003585379</v>
      </c>
      <c r="G627" s="1">
        <v>45311.669965277775</v>
      </c>
      <c r="H627" s="1">
        <v>45311.709548611114</v>
      </c>
      <c r="I627" t="s">
        <v>37</v>
      </c>
      <c r="J627" t="s">
        <v>19</v>
      </c>
      <c r="K627" t="s">
        <v>26</v>
      </c>
      <c r="L627" t="s">
        <v>21</v>
      </c>
      <c r="M627">
        <v>27</v>
      </c>
      <c r="N627">
        <v>57</v>
      </c>
      <c r="O627">
        <v>0</v>
      </c>
      <c r="P627" t="s">
        <v>22</v>
      </c>
      <c r="Q627">
        <v>598</v>
      </c>
      <c r="R627" t="s">
        <v>39</v>
      </c>
      <c r="S627">
        <f>IF(support_tickets[[#This Row],[status_cleaned]]="closed",1,0)</f>
        <v>1</v>
      </c>
      <c r="T627" t="str">
        <f>TEXT(support_tickets[[#This Row],[opened_at]],"mmm yyyy")</f>
        <v>Jan 2024</v>
      </c>
      <c r="U627">
        <f>YEAR(support_tickets[[#This Row],[opened_at]])*100+MONTH(support_tickets[[#This Row],[opened_at]])</f>
        <v>202401</v>
      </c>
      <c r="V627" s="29">
        <f>DATE(YEAR(support_tickets[[#This Row],[opened_at]]),MONTH(support_tickets[[#This Row],[opened_at]]),1)</f>
        <v>45292</v>
      </c>
    </row>
    <row r="628" spans="1:22">
      <c r="A628">
        <v>4633212294</v>
      </c>
      <c r="B628">
        <v>950474042</v>
      </c>
      <c r="C628" t="s">
        <v>974</v>
      </c>
      <c r="D628" t="s">
        <v>975</v>
      </c>
      <c r="E628">
        <v>52235350</v>
      </c>
      <c r="F628">
        <v>9917597402</v>
      </c>
      <c r="G628" s="1">
        <v>45436.722488425927</v>
      </c>
      <c r="H628" s="1">
        <v>45437.459988425922</v>
      </c>
      <c r="I628" t="s">
        <v>52</v>
      </c>
      <c r="J628" t="s">
        <v>25</v>
      </c>
      <c r="K628" t="s">
        <v>26</v>
      </c>
      <c r="L628" t="s">
        <v>21</v>
      </c>
      <c r="M628">
        <v>54</v>
      </c>
      <c r="N628">
        <v>1062</v>
      </c>
      <c r="O628">
        <v>0</v>
      </c>
      <c r="P628" t="s">
        <v>27</v>
      </c>
      <c r="Q628">
        <v>634</v>
      </c>
      <c r="R628" t="s">
        <v>39</v>
      </c>
      <c r="S628">
        <f>IF(support_tickets[[#This Row],[status_cleaned]]="closed",1,0)</f>
        <v>1</v>
      </c>
      <c r="T628" t="str">
        <f>TEXT(support_tickets[[#This Row],[opened_at]],"mmm yyyy")</f>
        <v>May 2024</v>
      </c>
      <c r="U628">
        <f>YEAR(support_tickets[[#This Row],[opened_at]])*100+MONTH(support_tickets[[#This Row],[opened_at]])</f>
        <v>202405</v>
      </c>
      <c r="V628" s="29">
        <f>DATE(YEAR(support_tickets[[#This Row],[opened_at]]),MONTH(support_tickets[[#This Row],[opened_at]]),1)</f>
        <v>45413</v>
      </c>
    </row>
    <row r="629" spans="1:22">
      <c r="A629">
        <v>4672445067</v>
      </c>
      <c r="B629">
        <v>963949678</v>
      </c>
      <c r="C629" t="s">
        <v>980</v>
      </c>
      <c r="D629" t="s">
        <v>981</v>
      </c>
      <c r="E629">
        <v>59684848</v>
      </c>
      <c r="G629" s="1">
        <v>45303.076296296298</v>
      </c>
      <c r="H629" s="1">
        <v>45303.933935185189</v>
      </c>
      <c r="I629" t="s">
        <v>56</v>
      </c>
      <c r="J629" t="s">
        <v>86</v>
      </c>
      <c r="K629" t="s">
        <v>26</v>
      </c>
      <c r="L629" t="s">
        <v>21</v>
      </c>
      <c r="M629">
        <v>12</v>
      </c>
      <c r="N629">
        <v>1235</v>
      </c>
      <c r="O629">
        <v>0</v>
      </c>
      <c r="P629" t="s">
        <v>87</v>
      </c>
      <c r="Q629">
        <v>641</v>
      </c>
      <c r="R629" t="s">
        <v>39</v>
      </c>
      <c r="S629">
        <f>IF(support_tickets[[#This Row],[status_cleaned]]="closed",1,0)</f>
        <v>1</v>
      </c>
      <c r="T629" t="str">
        <f>TEXT(support_tickets[[#This Row],[opened_at]],"mmm yyyy")</f>
        <v>Jan 2024</v>
      </c>
      <c r="U629">
        <f>YEAR(support_tickets[[#This Row],[opened_at]])*100+MONTH(support_tickets[[#This Row],[opened_at]])</f>
        <v>202401</v>
      </c>
      <c r="V629" s="29">
        <f>DATE(YEAR(support_tickets[[#This Row],[opened_at]]),MONTH(support_tickets[[#This Row],[opened_at]]),1)</f>
        <v>45292</v>
      </c>
    </row>
    <row r="630" spans="1:22">
      <c r="A630">
        <v>4682460683</v>
      </c>
      <c r="B630">
        <v>667121569</v>
      </c>
      <c r="C630" t="s">
        <v>62</v>
      </c>
      <c r="D630" t="s">
        <v>63</v>
      </c>
      <c r="E630">
        <v>41244663</v>
      </c>
      <c r="G630" s="1">
        <v>45715.781041666669</v>
      </c>
      <c r="H630" s="1">
        <v>45716.211597222224</v>
      </c>
      <c r="I630" t="s">
        <v>56</v>
      </c>
      <c r="J630" t="s">
        <v>59</v>
      </c>
      <c r="K630" t="s">
        <v>26</v>
      </c>
      <c r="L630" t="s">
        <v>21</v>
      </c>
      <c r="M630">
        <v>20</v>
      </c>
      <c r="N630">
        <v>620</v>
      </c>
      <c r="O630">
        <v>0</v>
      </c>
      <c r="P630" t="s">
        <v>61</v>
      </c>
      <c r="Q630">
        <v>643</v>
      </c>
      <c r="R630" t="s">
        <v>39</v>
      </c>
      <c r="S630">
        <f>IF(support_tickets[[#This Row],[status_cleaned]]="closed",1,0)</f>
        <v>1</v>
      </c>
      <c r="T630" t="str">
        <f>TEXT(support_tickets[[#This Row],[opened_at]],"mmm yyyy")</f>
        <v>Feb 2025</v>
      </c>
      <c r="U630">
        <f>YEAR(support_tickets[[#This Row],[opened_at]])*100+MONTH(support_tickets[[#This Row],[opened_at]])</f>
        <v>202502</v>
      </c>
      <c r="V630" s="29">
        <f>DATE(YEAR(support_tickets[[#This Row],[opened_at]]),MONTH(support_tickets[[#This Row],[opened_at]]),1)</f>
        <v>45689</v>
      </c>
    </row>
    <row r="631" spans="1:22">
      <c r="A631">
        <v>4729541444</v>
      </c>
      <c r="B631">
        <v>845156039</v>
      </c>
      <c r="C631" t="s">
        <v>336</v>
      </c>
      <c r="D631" t="s">
        <v>337</v>
      </c>
      <c r="E631">
        <v>16323852</v>
      </c>
      <c r="G631" s="1">
        <v>45826.376851851855</v>
      </c>
      <c r="H631" s="1">
        <v>45826.844212962962</v>
      </c>
      <c r="I631" t="s">
        <v>18</v>
      </c>
      <c r="J631" t="s">
        <v>59</v>
      </c>
      <c r="K631" t="s">
        <v>26</v>
      </c>
      <c r="L631" t="s">
        <v>21</v>
      </c>
      <c r="M631">
        <v>9</v>
      </c>
      <c r="N631">
        <v>673</v>
      </c>
      <c r="O631">
        <v>0</v>
      </c>
      <c r="P631" t="s">
        <v>61</v>
      </c>
      <c r="Q631">
        <v>653</v>
      </c>
      <c r="R631" t="s">
        <v>39</v>
      </c>
      <c r="S631">
        <f>IF(support_tickets[[#This Row],[status_cleaned]]="closed",1,0)</f>
        <v>1</v>
      </c>
      <c r="T631" t="str">
        <f>TEXT(support_tickets[[#This Row],[opened_at]],"mmm yyyy")</f>
        <v>Jun 2025</v>
      </c>
      <c r="U631">
        <f>YEAR(support_tickets[[#This Row],[opened_at]])*100+MONTH(support_tickets[[#This Row],[opened_at]])</f>
        <v>202506</v>
      </c>
      <c r="V631" s="29">
        <f>DATE(YEAR(support_tickets[[#This Row],[opened_at]]),MONTH(support_tickets[[#This Row],[opened_at]]),1)</f>
        <v>45809</v>
      </c>
    </row>
    <row r="632" spans="1:22">
      <c r="A632">
        <v>4789040823</v>
      </c>
      <c r="B632">
        <v>820678212</v>
      </c>
      <c r="C632" t="s">
        <v>1016</v>
      </c>
      <c r="D632" t="s">
        <v>1017</v>
      </c>
      <c r="E632">
        <v>95225343</v>
      </c>
      <c r="G632" s="1">
        <v>45991.732893518521</v>
      </c>
      <c r="H632" s="1">
        <v>45991.873865740738</v>
      </c>
      <c r="I632" t="s">
        <v>52</v>
      </c>
      <c r="J632" t="s">
        <v>59</v>
      </c>
      <c r="K632" t="s">
        <v>26</v>
      </c>
      <c r="L632" t="s">
        <v>21</v>
      </c>
      <c r="M632">
        <v>66</v>
      </c>
      <c r="N632">
        <v>203</v>
      </c>
      <c r="O632">
        <v>0</v>
      </c>
      <c r="P632" t="s">
        <v>61</v>
      </c>
      <c r="Q632">
        <v>665</v>
      </c>
      <c r="R632" t="s">
        <v>39</v>
      </c>
      <c r="S632">
        <f>IF(support_tickets[[#This Row],[status_cleaned]]="closed",1,0)</f>
        <v>1</v>
      </c>
      <c r="T632" t="str">
        <f>TEXT(support_tickets[[#This Row],[opened_at]],"mmm yyyy")</f>
        <v>Nov 2025</v>
      </c>
      <c r="U632">
        <f>YEAR(support_tickets[[#This Row],[opened_at]])*100+MONTH(support_tickets[[#This Row],[opened_at]])</f>
        <v>202511</v>
      </c>
      <c r="V632" s="29">
        <f>DATE(YEAR(support_tickets[[#This Row],[opened_at]]),MONTH(support_tickets[[#This Row],[opened_at]]),1)</f>
        <v>45962</v>
      </c>
    </row>
    <row r="633" spans="1:22">
      <c r="A633">
        <v>4860111577</v>
      </c>
      <c r="B633">
        <v>460015275</v>
      </c>
      <c r="C633" t="s">
        <v>374</v>
      </c>
      <c r="D633" t="s">
        <v>375</v>
      </c>
      <c r="E633">
        <v>10076758</v>
      </c>
      <c r="F633">
        <v>1185010792</v>
      </c>
      <c r="G633" s="1">
        <v>45408.835370370369</v>
      </c>
      <c r="H633" s="1">
        <v>45409.122870370367</v>
      </c>
      <c r="I633" t="s">
        <v>3</v>
      </c>
      <c r="J633" t="s">
        <v>25</v>
      </c>
      <c r="K633" t="s">
        <v>26</v>
      </c>
      <c r="L633" t="s">
        <v>21</v>
      </c>
      <c r="M633">
        <v>41</v>
      </c>
      <c r="N633">
        <v>414</v>
      </c>
      <c r="O633">
        <v>0</v>
      </c>
      <c r="P633" t="s">
        <v>27</v>
      </c>
      <c r="Q633">
        <v>674</v>
      </c>
      <c r="R633" t="s">
        <v>39</v>
      </c>
      <c r="S633">
        <f>IF(support_tickets[[#This Row],[status_cleaned]]="closed",1,0)</f>
        <v>1</v>
      </c>
      <c r="T633" t="str">
        <f>TEXT(support_tickets[[#This Row],[opened_at]],"mmm yyyy")</f>
        <v>Apr 2024</v>
      </c>
      <c r="U633">
        <f>YEAR(support_tickets[[#This Row],[opened_at]])*100+MONTH(support_tickets[[#This Row],[opened_at]])</f>
        <v>202404</v>
      </c>
      <c r="V633" s="29">
        <f>DATE(YEAR(support_tickets[[#This Row],[opened_at]]),MONTH(support_tickets[[#This Row],[opened_at]]),1)</f>
        <v>45383</v>
      </c>
    </row>
    <row r="634" spans="1:22">
      <c r="A634">
        <v>4899205837</v>
      </c>
      <c r="B634">
        <v>771112648</v>
      </c>
      <c r="C634" t="s">
        <v>646</v>
      </c>
      <c r="D634" t="s">
        <v>647</v>
      </c>
      <c r="E634">
        <v>19289546</v>
      </c>
      <c r="F634">
        <v>2334871184</v>
      </c>
      <c r="G634" s="1">
        <v>45840.562557870369</v>
      </c>
      <c r="H634" s="1">
        <v>45841.009085648147</v>
      </c>
      <c r="I634" t="s">
        <v>52</v>
      </c>
      <c r="J634" t="s">
        <v>25</v>
      </c>
      <c r="K634" t="s">
        <v>26</v>
      </c>
      <c r="L634" t="s">
        <v>21</v>
      </c>
      <c r="M634">
        <v>50</v>
      </c>
      <c r="N634">
        <v>643</v>
      </c>
      <c r="O634">
        <v>0</v>
      </c>
      <c r="P634" t="s">
        <v>27</v>
      </c>
      <c r="Q634">
        <v>680</v>
      </c>
      <c r="R634" t="s">
        <v>39</v>
      </c>
      <c r="S634">
        <f>IF(support_tickets[[#This Row],[status_cleaned]]="closed",1,0)</f>
        <v>1</v>
      </c>
      <c r="T634" t="str">
        <f>TEXT(support_tickets[[#This Row],[opened_at]],"mmm yyyy")</f>
        <v>Jul 2025</v>
      </c>
      <c r="U634">
        <f>YEAR(support_tickets[[#This Row],[opened_at]])*100+MONTH(support_tickets[[#This Row],[opened_at]])</f>
        <v>202507</v>
      </c>
      <c r="V634" s="29">
        <f>DATE(YEAR(support_tickets[[#This Row],[opened_at]]),MONTH(support_tickets[[#This Row],[opened_at]]),1)</f>
        <v>45839</v>
      </c>
    </row>
    <row r="635" spans="1:22">
      <c r="A635">
        <v>5007273049</v>
      </c>
      <c r="B635">
        <v>163525343</v>
      </c>
      <c r="C635" t="s">
        <v>156</v>
      </c>
      <c r="D635" t="s">
        <v>157</v>
      </c>
      <c r="E635">
        <v>60185867</v>
      </c>
      <c r="F635">
        <v>2850733732</v>
      </c>
      <c r="G635" s="1">
        <v>45514.060046296298</v>
      </c>
      <c r="H635" s="1">
        <v>45514.401018518518</v>
      </c>
      <c r="I635" t="s">
        <v>18</v>
      </c>
      <c r="J635" t="s">
        <v>25</v>
      </c>
      <c r="K635" t="s">
        <v>26</v>
      </c>
      <c r="L635" t="s">
        <v>21</v>
      </c>
      <c r="M635">
        <v>84</v>
      </c>
      <c r="N635">
        <v>491</v>
      </c>
      <c r="O635">
        <v>0</v>
      </c>
      <c r="P635" t="s">
        <v>27</v>
      </c>
      <c r="Q635">
        <v>697</v>
      </c>
      <c r="R635" t="s">
        <v>39</v>
      </c>
      <c r="S635">
        <f>IF(support_tickets[[#This Row],[status_cleaned]]="closed",1,0)</f>
        <v>1</v>
      </c>
      <c r="T635" t="str">
        <f>TEXT(support_tickets[[#This Row],[opened_at]],"mmm yyyy")</f>
        <v>Aug 2024</v>
      </c>
      <c r="U635">
        <f>YEAR(support_tickets[[#This Row],[opened_at]])*100+MONTH(support_tickets[[#This Row],[opened_at]])</f>
        <v>202408</v>
      </c>
      <c r="V635" s="29">
        <f>DATE(YEAR(support_tickets[[#This Row],[opened_at]]),MONTH(support_tickets[[#This Row],[opened_at]]),1)</f>
        <v>45505</v>
      </c>
    </row>
    <row r="636" spans="1:22">
      <c r="A636">
        <v>5029830872</v>
      </c>
      <c r="B636">
        <v>322562836</v>
      </c>
      <c r="C636" t="s">
        <v>850</v>
      </c>
      <c r="D636" t="s">
        <v>851</v>
      </c>
      <c r="E636">
        <v>72043515</v>
      </c>
      <c r="G636" s="1">
        <v>45825.614861111113</v>
      </c>
      <c r="H636" s="1">
        <v>45825.76902777778</v>
      </c>
      <c r="I636" t="s">
        <v>52</v>
      </c>
      <c r="J636" t="s">
        <v>25</v>
      </c>
      <c r="K636" t="s">
        <v>26</v>
      </c>
      <c r="L636" t="s">
        <v>21</v>
      </c>
      <c r="M636">
        <v>21</v>
      </c>
      <c r="N636">
        <v>222</v>
      </c>
      <c r="O636">
        <v>0</v>
      </c>
      <c r="P636" t="s">
        <v>27</v>
      </c>
      <c r="Q636">
        <v>700</v>
      </c>
      <c r="R636" t="s">
        <v>39</v>
      </c>
      <c r="S636">
        <f>IF(support_tickets[[#This Row],[status_cleaned]]="closed",1,0)</f>
        <v>1</v>
      </c>
      <c r="T636" t="str">
        <f>TEXT(support_tickets[[#This Row],[opened_at]],"mmm yyyy")</f>
        <v>Jun 2025</v>
      </c>
      <c r="U636">
        <f>YEAR(support_tickets[[#This Row],[opened_at]])*100+MONTH(support_tickets[[#This Row],[opened_at]])</f>
        <v>202506</v>
      </c>
      <c r="V636" s="29">
        <f>DATE(YEAR(support_tickets[[#This Row],[opened_at]]),MONTH(support_tickets[[#This Row],[opened_at]]),1)</f>
        <v>45809</v>
      </c>
    </row>
    <row r="637" spans="1:22">
      <c r="A637">
        <v>5204291609</v>
      </c>
      <c r="B637">
        <v>794604127</v>
      </c>
      <c r="C637" t="s">
        <v>1070</v>
      </c>
      <c r="D637" t="s">
        <v>1071</v>
      </c>
      <c r="E637">
        <v>82394227</v>
      </c>
      <c r="G637" s="1">
        <v>45645.993657407409</v>
      </c>
      <c r="H637" s="1">
        <v>45646.111712962964</v>
      </c>
      <c r="I637" t="s">
        <v>52</v>
      </c>
      <c r="J637" t="s">
        <v>59</v>
      </c>
      <c r="K637" t="s">
        <v>26</v>
      </c>
      <c r="L637" t="s">
        <v>21</v>
      </c>
      <c r="M637">
        <v>39</v>
      </c>
      <c r="N637">
        <v>170</v>
      </c>
      <c r="O637">
        <v>0</v>
      </c>
      <c r="P637" t="s">
        <v>61</v>
      </c>
      <c r="Q637">
        <v>733</v>
      </c>
      <c r="R637" t="s">
        <v>39</v>
      </c>
      <c r="S637">
        <f>IF(support_tickets[[#This Row],[status_cleaned]]="closed",1,0)</f>
        <v>1</v>
      </c>
      <c r="T637" t="str">
        <f>TEXT(support_tickets[[#This Row],[opened_at]],"mmm yyyy")</f>
        <v>Dec 2024</v>
      </c>
      <c r="U637">
        <f>YEAR(support_tickets[[#This Row],[opened_at]])*100+MONTH(support_tickets[[#This Row],[opened_at]])</f>
        <v>202412</v>
      </c>
      <c r="V637" s="29">
        <f>DATE(YEAR(support_tickets[[#This Row],[opened_at]]),MONTH(support_tickets[[#This Row],[opened_at]]),1)</f>
        <v>45627</v>
      </c>
    </row>
    <row r="638" spans="1:22">
      <c r="A638">
        <v>5241083889</v>
      </c>
      <c r="B638">
        <v>391651334</v>
      </c>
      <c r="C638" t="s">
        <v>1076</v>
      </c>
      <c r="D638" t="s">
        <v>1077</v>
      </c>
      <c r="E638">
        <v>70897765</v>
      </c>
      <c r="G638" s="1">
        <v>45293.115925925929</v>
      </c>
      <c r="H638" s="1">
        <v>45293.14439814815</v>
      </c>
      <c r="I638" t="s">
        <v>18</v>
      </c>
      <c r="J638" t="s">
        <v>86</v>
      </c>
      <c r="K638" t="s">
        <v>26</v>
      </c>
      <c r="L638" t="s">
        <v>21</v>
      </c>
      <c r="M638">
        <v>36</v>
      </c>
      <c r="N638">
        <v>41</v>
      </c>
      <c r="O638">
        <v>0</v>
      </c>
      <c r="P638" t="s">
        <v>87</v>
      </c>
      <c r="Q638">
        <v>741</v>
      </c>
      <c r="R638" t="s">
        <v>39</v>
      </c>
      <c r="S638">
        <f>IF(support_tickets[[#This Row],[status_cleaned]]="closed",1,0)</f>
        <v>1</v>
      </c>
      <c r="T638" t="str">
        <f>TEXT(support_tickets[[#This Row],[opened_at]],"mmm yyyy")</f>
        <v>Jan 2024</v>
      </c>
      <c r="U638">
        <f>YEAR(support_tickets[[#This Row],[opened_at]])*100+MONTH(support_tickets[[#This Row],[opened_at]])</f>
        <v>202401</v>
      </c>
      <c r="V638" s="29">
        <f>DATE(YEAR(support_tickets[[#This Row],[opened_at]]),MONTH(support_tickets[[#This Row],[opened_at]]),1)</f>
        <v>45292</v>
      </c>
    </row>
    <row r="639" spans="1:22">
      <c r="A639">
        <v>5332911486</v>
      </c>
      <c r="B639">
        <v>822113500</v>
      </c>
      <c r="C639" t="s">
        <v>1100</v>
      </c>
      <c r="D639" t="s">
        <v>1101</v>
      </c>
      <c r="E639">
        <v>57683626</v>
      </c>
      <c r="G639" s="1">
        <v>45864.003263888888</v>
      </c>
      <c r="H639" s="1">
        <v>45864.30673611111</v>
      </c>
      <c r="I639" t="s">
        <v>18</v>
      </c>
      <c r="J639" t="s">
        <v>86</v>
      </c>
      <c r="K639" t="s">
        <v>26</v>
      </c>
      <c r="L639" t="s">
        <v>21</v>
      </c>
      <c r="M639">
        <v>13</v>
      </c>
      <c r="N639">
        <v>437</v>
      </c>
      <c r="O639">
        <v>0</v>
      </c>
      <c r="P639" t="s">
        <v>87</v>
      </c>
      <c r="Q639">
        <v>764</v>
      </c>
      <c r="R639" t="s">
        <v>39</v>
      </c>
      <c r="S639">
        <f>IF(support_tickets[[#This Row],[status_cleaned]]="closed",1,0)</f>
        <v>1</v>
      </c>
      <c r="T639" t="str">
        <f>TEXT(support_tickets[[#This Row],[opened_at]],"mmm yyyy")</f>
        <v>Jul 2025</v>
      </c>
      <c r="U639">
        <f>YEAR(support_tickets[[#This Row],[opened_at]])*100+MONTH(support_tickets[[#This Row],[opened_at]])</f>
        <v>202507</v>
      </c>
      <c r="V639" s="29">
        <f>DATE(YEAR(support_tickets[[#This Row],[opened_at]]),MONTH(support_tickets[[#This Row],[opened_at]]),1)</f>
        <v>45839</v>
      </c>
    </row>
    <row r="640" spans="1:22">
      <c r="A640">
        <v>5434046660</v>
      </c>
      <c r="B640">
        <v>804344630</v>
      </c>
      <c r="C640" t="s">
        <v>852</v>
      </c>
      <c r="D640" t="s">
        <v>853</v>
      </c>
      <c r="E640">
        <v>36998038</v>
      </c>
      <c r="F640">
        <v>3029665156</v>
      </c>
      <c r="G640" s="1">
        <v>45860.335798611108</v>
      </c>
      <c r="H640" s="1">
        <v>45860.86010416667</v>
      </c>
      <c r="I640" t="s">
        <v>18</v>
      </c>
      <c r="J640" t="s">
        <v>30</v>
      </c>
      <c r="K640" t="s">
        <v>26</v>
      </c>
      <c r="L640" t="s">
        <v>21</v>
      </c>
      <c r="M640">
        <v>91</v>
      </c>
      <c r="N640">
        <v>755</v>
      </c>
      <c r="O640">
        <v>0</v>
      </c>
      <c r="P640" t="s">
        <v>31</v>
      </c>
      <c r="Q640">
        <v>787</v>
      </c>
      <c r="R640" t="s">
        <v>39</v>
      </c>
      <c r="S640">
        <f>IF(support_tickets[[#This Row],[status_cleaned]]="closed",1,0)</f>
        <v>1</v>
      </c>
      <c r="T640" t="str">
        <f>TEXT(support_tickets[[#This Row],[opened_at]],"mmm yyyy")</f>
        <v>Jul 2025</v>
      </c>
      <c r="U640">
        <f>YEAR(support_tickets[[#This Row],[opened_at]])*100+MONTH(support_tickets[[#This Row],[opened_at]])</f>
        <v>202507</v>
      </c>
      <c r="V640" s="29">
        <f>DATE(YEAR(support_tickets[[#This Row],[opened_at]]),MONTH(support_tickets[[#This Row],[opened_at]]),1)</f>
        <v>45839</v>
      </c>
    </row>
    <row r="641" spans="1:22">
      <c r="A641">
        <v>5471700951</v>
      </c>
      <c r="B641">
        <v>494435754</v>
      </c>
      <c r="C641" t="s">
        <v>1128</v>
      </c>
      <c r="D641" t="s">
        <v>1129</v>
      </c>
      <c r="E641">
        <v>52339391</v>
      </c>
      <c r="F641">
        <v>5739956073</v>
      </c>
      <c r="G641" s="1">
        <v>46106.017280092594</v>
      </c>
      <c r="H641" s="1">
        <v>46106.286030092589</v>
      </c>
      <c r="I641" t="s">
        <v>3</v>
      </c>
      <c r="J641" t="s">
        <v>59</v>
      </c>
      <c r="K641" t="s">
        <v>26</v>
      </c>
      <c r="L641" t="s">
        <v>21</v>
      </c>
      <c r="M641">
        <v>68</v>
      </c>
      <c r="N641">
        <v>387</v>
      </c>
      <c r="O641">
        <v>0</v>
      </c>
      <c r="P641" t="s">
        <v>61</v>
      </c>
      <c r="Q641">
        <v>794</v>
      </c>
      <c r="R641" t="s">
        <v>39</v>
      </c>
      <c r="S641">
        <f>IF(support_tickets[[#This Row],[status_cleaned]]="closed",1,0)</f>
        <v>1</v>
      </c>
      <c r="T641" t="str">
        <f>TEXT(support_tickets[[#This Row],[opened_at]],"mmm yyyy")</f>
        <v>Mar 2026</v>
      </c>
      <c r="U641">
        <f>YEAR(support_tickets[[#This Row],[opened_at]])*100+MONTH(support_tickets[[#This Row],[opened_at]])</f>
        <v>202603</v>
      </c>
      <c r="V641" s="29">
        <f>DATE(YEAR(support_tickets[[#This Row],[opened_at]]),MONTH(support_tickets[[#This Row],[opened_at]]),1)</f>
        <v>46082</v>
      </c>
    </row>
    <row r="642" spans="1:22">
      <c r="A642">
        <v>5500086353</v>
      </c>
      <c r="B642">
        <v>788755699</v>
      </c>
      <c r="C642" t="s">
        <v>1140</v>
      </c>
      <c r="D642" t="s">
        <v>1141</v>
      </c>
      <c r="E642">
        <v>51837852</v>
      </c>
      <c r="G642" s="1">
        <v>45986.329247685186</v>
      </c>
      <c r="H642" s="1">
        <v>45986.641747685186</v>
      </c>
      <c r="I642" t="s">
        <v>37</v>
      </c>
      <c r="J642" t="s">
        <v>30</v>
      </c>
      <c r="K642" t="s">
        <v>26</v>
      </c>
      <c r="L642" t="s">
        <v>21</v>
      </c>
      <c r="M642">
        <v>21</v>
      </c>
      <c r="N642">
        <v>450</v>
      </c>
      <c r="O642">
        <v>0</v>
      </c>
      <c r="P642" t="s">
        <v>31</v>
      </c>
      <c r="Q642">
        <v>805</v>
      </c>
      <c r="R642" t="s">
        <v>39</v>
      </c>
      <c r="S642">
        <f>IF(support_tickets[[#This Row],[status_cleaned]]="closed",1,0)</f>
        <v>1</v>
      </c>
      <c r="T642" t="str">
        <f>TEXT(support_tickets[[#This Row],[opened_at]],"mmm yyyy")</f>
        <v>Nov 2025</v>
      </c>
      <c r="U642">
        <f>YEAR(support_tickets[[#This Row],[opened_at]])*100+MONTH(support_tickets[[#This Row],[opened_at]])</f>
        <v>202511</v>
      </c>
      <c r="V642" s="29">
        <f>DATE(YEAR(support_tickets[[#This Row],[opened_at]]),MONTH(support_tickets[[#This Row],[opened_at]]),1)</f>
        <v>45962</v>
      </c>
    </row>
    <row r="643" spans="1:22">
      <c r="A643">
        <v>5618570260</v>
      </c>
      <c r="B643">
        <v>613962746</v>
      </c>
      <c r="C643" t="s">
        <v>1156</v>
      </c>
      <c r="D643" t="s">
        <v>1157</v>
      </c>
      <c r="E643">
        <v>47338124</v>
      </c>
      <c r="G643" s="1">
        <v>45486.265486111108</v>
      </c>
      <c r="H643" s="1">
        <v>45486.363402777781</v>
      </c>
      <c r="I643" t="s">
        <v>43</v>
      </c>
      <c r="J643" t="s">
        <v>30</v>
      </c>
      <c r="K643" t="s">
        <v>26</v>
      </c>
      <c r="L643" t="s">
        <v>21</v>
      </c>
      <c r="M643">
        <v>52</v>
      </c>
      <c r="N643">
        <v>141</v>
      </c>
      <c r="O643">
        <v>0</v>
      </c>
      <c r="P643" t="s">
        <v>31</v>
      </c>
      <c r="Q643">
        <v>827</v>
      </c>
      <c r="R643" t="s">
        <v>39</v>
      </c>
      <c r="S643">
        <f>IF(support_tickets[[#This Row],[status_cleaned]]="closed",1,0)</f>
        <v>1</v>
      </c>
      <c r="T643" t="str">
        <f>TEXT(support_tickets[[#This Row],[opened_at]],"mmm yyyy")</f>
        <v>Jul 2024</v>
      </c>
      <c r="U643">
        <f>YEAR(support_tickets[[#This Row],[opened_at]])*100+MONTH(support_tickets[[#This Row],[opened_at]])</f>
        <v>202407</v>
      </c>
      <c r="V643" s="29">
        <f>DATE(YEAR(support_tickets[[#This Row],[opened_at]]),MONTH(support_tickets[[#This Row],[opened_at]]),1)</f>
        <v>45474</v>
      </c>
    </row>
    <row r="644" spans="1:22">
      <c r="A644">
        <v>5764802229</v>
      </c>
      <c r="B644">
        <v>449019278</v>
      </c>
      <c r="C644" t="s">
        <v>868</v>
      </c>
      <c r="D644" t="s">
        <v>869</v>
      </c>
      <c r="E644">
        <v>96282117</v>
      </c>
      <c r="G644" s="1">
        <v>46108.313796296294</v>
      </c>
      <c r="H644" s="1">
        <v>46108.375601851854</v>
      </c>
      <c r="I644" t="s">
        <v>43</v>
      </c>
      <c r="J644" t="s">
        <v>25</v>
      </c>
      <c r="K644" t="s">
        <v>26</v>
      </c>
      <c r="L644" t="s">
        <v>21</v>
      </c>
      <c r="M644">
        <v>84</v>
      </c>
      <c r="N644">
        <v>89</v>
      </c>
      <c r="O644">
        <v>0</v>
      </c>
      <c r="P644" t="s">
        <v>27</v>
      </c>
      <c r="Q644">
        <v>847</v>
      </c>
      <c r="R644" t="s">
        <v>39</v>
      </c>
      <c r="S644">
        <f>IF(support_tickets[[#This Row],[status_cleaned]]="closed",1,0)</f>
        <v>1</v>
      </c>
      <c r="T644" t="str">
        <f>TEXT(support_tickets[[#This Row],[opened_at]],"mmm yyyy")</f>
        <v>Mar 2026</v>
      </c>
      <c r="U644">
        <f>YEAR(support_tickets[[#This Row],[opened_at]])*100+MONTH(support_tickets[[#This Row],[opened_at]])</f>
        <v>202603</v>
      </c>
      <c r="V644" s="29">
        <f>DATE(YEAR(support_tickets[[#This Row],[opened_at]]),MONTH(support_tickets[[#This Row],[opened_at]]),1)</f>
        <v>46082</v>
      </c>
    </row>
    <row r="645" spans="1:22">
      <c r="A645">
        <v>5889232540</v>
      </c>
      <c r="B645">
        <v>778556450</v>
      </c>
      <c r="C645" t="s">
        <v>124</v>
      </c>
      <c r="D645" t="s">
        <v>125</v>
      </c>
      <c r="E645">
        <v>20570592</v>
      </c>
      <c r="G645" s="1">
        <v>45984.814282407409</v>
      </c>
      <c r="H645" s="1">
        <v>45985.125393518516</v>
      </c>
      <c r="I645" t="s">
        <v>46</v>
      </c>
      <c r="J645" t="s">
        <v>38</v>
      </c>
      <c r="K645" t="s">
        <v>26</v>
      </c>
      <c r="L645" t="s">
        <v>21</v>
      </c>
      <c r="M645">
        <v>22</v>
      </c>
      <c r="N645">
        <v>448</v>
      </c>
      <c r="O645">
        <v>0</v>
      </c>
      <c r="P645" t="s">
        <v>40</v>
      </c>
      <c r="Q645">
        <v>872</v>
      </c>
      <c r="R645" t="s">
        <v>39</v>
      </c>
      <c r="S645">
        <f>IF(support_tickets[[#This Row],[status_cleaned]]="closed",1,0)</f>
        <v>1</v>
      </c>
      <c r="T645" t="str">
        <f>TEXT(support_tickets[[#This Row],[opened_at]],"mmm yyyy")</f>
        <v>Nov 2025</v>
      </c>
      <c r="U645">
        <f>YEAR(support_tickets[[#This Row],[opened_at]])*100+MONTH(support_tickets[[#This Row],[opened_at]])</f>
        <v>202511</v>
      </c>
      <c r="V645" s="29">
        <f>DATE(YEAR(support_tickets[[#This Row],[opened_at]]),MONTH(support_tickets[[#This Row],[opened_at]]),1)</f>
        <v>45962</v>
      </c>
    </row>
    <row r="646" spans="1:22">
      <c r="A646">
        <v>5991616188</v>
      </c>
      <c r="B646">
        <v>855438611</v>
      </c>
      <c r="C646" t="s">
        <v>608</v>
      </c>
      <c r="D646" t="s">
        <v>609</v>
      </c>
      <c r="E646">
        <v>94214382</v>
      </c>
      <c r="G646" s="1">
        <v>45717.677164351851</v>
      </c>
      <c r="H646" s="1">
        <v>45718.168136574073</v>
      </c>
      <c r="I646" t="s">
        <v>56</v>
      </c>
      <c r="J646" t="s">
        <v>86</v>
      </c>
      <c r="K646" t="s">
        <v>26</v>
      </c>
      <c r="L646" t="s">
        <v>21</v>
      </c>
      <c r="M646">
        <v>46</v>
      </c>
      <c r="N646">
        <v>707</v>
      </c>
      <c r="O646">
        <v>0</v>
      </c>
      <c r="P646" t="s">
        <v>87</v>
      </c>
      <c r="Q646">
        <v>889</v>
      </c>
      <c r="R646" t="s">
        <v>39</v>
      </c>
      <c r="S646">
        <f>IF(support_tickets[[#This Row],[status_cleaned]]="closed",1,0)</f>
        <v>1</v>
      </c>
      <c r="T646" t="str">
        <f>TEXT(support_tickets[[#This Row],[opened_at]],"mmm yyyy")</f>
        <v>Mar 2025</v>
      </c>
      <c r="U646">
        <f>YEAR(support_tickets[[#This Row],[opened_at]])*100+MONTH(support_tickets[[#This Row],[opened_at]])</f>
        <v>202503</v>
      </c>
      <c r="V646" s="29">
        <f>DATE(YEAR(support_tickets[[#This Row],[opened_at]]),MONTH(support_tickets[[#This Row],[opened_at]]),1)</f>
        <v>45717</v>
      </c>
    </row>
    <row r="647" spans="1:22">
      <c r="A647">
        <v>6017731924</v>
      </c>
      <c r="B647">
        <v>604803700</v>
      </c>
      <c r="C647" t="s">
        <v>502</v>
      </c>
      <c r="D647" t="s">
        <v>503</v>
      </c>
      <c r="E647">
        <v>55176955</v>
      </c>
      <c r="F647">
        <v>2112658672</v>
      </c>
      <c r="G647" s="1">
        <v>45505.602881944447</v>
      </c>
      <c r="H647" s="1">
        <v>45506.295243055552</v>
      </c>
      <c r="I647" t="s">
        <v>56</v>
      </c>
      <c r="J647" t="s">
        <v>19</v>
      </c>
      <c r="K647" t="s">
        <v>26</v>
      </c>
      <c r="L647" t="s">
        <v>21</v>
      </c>
      <c r="M647">
        <v>36</v>
      </c>
      <c r="N647">
        <v>997</v>
      </c>
      <c r="O647">
        <v>0</v>
      </c>
      <c r="P647" t="s">
        <v>22</v>
      </c>
      <c r="Q647">
        <v>893</v>
      </c>
      <c r="R647" t="s">
        <v>39</v>
      </c>
      <c r="S647">
        <f>IF(support_tickets[[#This Row],[status_cleaned]]="closed",1,0)</f>
        <v>1</v>
      </c>
      <c r="T647" t="str">
        <f>TEXT(support_tickets[[#This Row],[opened_at]],"mmm yyyy")</f>
        <v>Aug 2024</v>
      </c>
      <c r="U647">
        <f>YEAR(support_tickets[[#This Row],[opened_at]])*100+MONTH(support_tickets[[#This Row],[opened_at]])</f>
        <v>202408</v>
      </c>
      <c r="V647" s="29">
        <f>DATE(YEAR(support_tickets[[#This Row],[opened_at]]),MONTH(support_tickets[[#This Row],[opened_at]]),1)</f>
        <v>45505</v>
      </c>
    </row>
    <row r="648" spans="1:22">
      <c r="A648">
        <v>6072045757</v>
      </c>
      <c r="B648">
        <v>470585534</v>
      </c>
      <c r="C648" t="s">
        <v>190</v>
      </c>
      <c r="D648" t="s">
        <v>191</v>
      </c>
      <c r="E648">
        <v>14308421</v>
      </c>
      <c r="G648" s="1">
        <v>45798.107222222221</v>
      </c>
      <c r="H648" s="1">
        <v>45798.271111111113</v>
      </c>
      <c r="I648" t="s">
        <v>18</v>
      </c>
      <c r="J648" t="s">
        <v>25</v>
      </c>
      <c r="K648" t="s">
        <v>26</v>
      </c>
      <c r="L648" t="s">
        <v>21</v>
      </c>
      <c r="M648">
        <v>33</v>
      </c>
      <c r="N648">
        <v>236</v>
      </c>
      <c r="O648">
        <v>0</v>
      </c>
      <c r="P648" t="s">
        <v>27</v>
      </c>
      <c r="Q648">
        <v>902</v>
      </c>
      <c r="R648" t="s">
        <v>39</v>
      </c>
      <c r="S648">
        <f>IF(support_tickets[[#This Row],[status_cleaned]]="closed",1,0)</f>
        <v>1</v>
      </c>
      <c r="T648" t="str">
        <f>TEXT(support_tickets[[#This Row],[opened_at]],"mmm yyyy")</f>
        <v>May 2025</v>
      </c>
      <c r="U648">
        <f>YEAR(support_tickets[[#This Row],[opened_at]])*100+MONTH(support_tickets[[#This Row],[opened_at]])</f>
        <v>202505</v>
      </c>
      <c r="V648" s="29">
        <f>DATE(YEAR(support_tickets[[#This Row],[opened_at]]),MONTH(support_tickets[[#This Row],[opened_at]]),1)</f>
        <v>45778</v>
      </c>
    </row>
    <row r="649" spans="1:22">
      <c r="A649">
        <v>6254707267</v>
      </c>
      <c r="B649">
        <v>480412754</v>
      </c>
      <c r="C649" t="s">
        <v>314</v>
      </c>
      <c r="D649" t="s">
        <v>315</v>
      </c>
      <c r="E649">
        <v>45551614</v>
      </c>
      <c r="G649" s="1">
        <v>45766.207499999997</v>
      </c>
      <c r="H649" s="1">
        <v>45766.319305555553</v>
      </c>
      <c r="I649" t="s">
        <v>52</v>
      </c>
      <c r="J649" t="s">
        <v>19</v>
      </c>
      <c r="K649" t="s">
        <v>26</v>
      </c>
      <c r="L649" t="s">
        <v>21</v>
      </c>
      <c r="M649">
        <v>93</v>
      </c>
      <c r="N649">
        <v>161</v>
      </c>
      <c r="O649">
        <v>0</v>
      </c>
      <c r="P649" t="s">
        <v>22</v>
      </c>
      <c r="Q649">
        <v>931</v>
      </c>
      <c r="R649" t="s">
        <v>39</v>
      </c>
      <c r="S649">
        <f>IF(support_tickets[[#This Row],[status_cleaned]]="closed",1,0)</f>
        <v>1</v>
      </c>
      <c r="T649" t="str">
        <f>TEXT(support_tickets[[#This Row],[opened_at]],"mmm yyyy")</f>
        <v>Apr 2025</v>
      </c>
      <c r="U649">
        <f>YEAR(support_tickets[[#This Row],[opened_at]])*100+MONTH(support_tickets[[#This Row],[opened_at]])</f>
        <v>202504</v>
      </c>
      <c r="V649" s="29">
        <f>DATE(YEAR(support_tickets[[#This Row],[opened_at]]),MONTH(support_tickets[[#This Row],[opened_at]]),1)</f>
        <v>45748</v>
      </c>
    </row>
    <row r="650" spans="1:22">
      <c r="A650">
        <v>6303762545</v>
      </c>
      <c r="B650">
        <v>245737277</v>
      </c>
      <c r="C650" t="s">
        <v>534</v>
      </c>
      <c r="D650" t="s">
        <v>535</v>
      </c>
      <c r="E650">
        <v>46913810</v>
      </c>
      <c r="G650" s="1">
        <v>45567.5546875</v>
      </c>
      <c r="H650" s="1">
        <v>45567.806076388886</v>
      </c>
      <c r="I650" t="s">
        <v>18</v>
      </c>
      <c r="J650" t="s">
        <v>38</v>
      </c>
      <c r="K650" t="s">
        <v>26</v>
      </c>
      <c r="L650" t="s">
        <v>21</v>
      </c>
      <c r="M650">
        <v>63</v>
      </c>
      <c r="N650">
        <v>362</v>
      </c>
      <c r="O650">
        <v>0</v>
      </c>
      <c r="P650" t="s">
        <v>40</v>
      </c>
      <c r="Q650">
        <v>943</v>
      </c>
      <c r="R650" t="s">
        <v>39</v>
      </c>
      <c r="S650">
        <f>IF(support_tickets[[#This Row],[status_cleaned]]="closed",1,0)</f>
        <v>1</v>
      </c>
      <c r="T650" t="str">
        <f>TEXT(support_tickets[[#This Row],[opened_at]],"mmm yyyy")</f>
        <v>Oct 2024</v>
      </c>
      <c r="U650">
        <f>YEAR(support_tickets[[#This Row],[opened_at]])*100+MONTH(support_tickets[[#This Row],[opened_at]])</f>
        <v>202410</v>
      </c>
      <c r="V650" s="29">
        <f>DATE(YEAR(support_tickets[[#This Row],[opened_at]]),MONTH(support_tickets[[#This Row],[opened_at]]),1)</f>
        <v>45566</v>
      </c>
    </row>
    <row r="651" spans="1:22">
      <c r="A651">
        <v>6389700417</v>
      </c>
      <c r="B651">
        <v>488149273</v>
      </c>
      <c r="C651" t="s">
        <v>1196</v>
      </c>
      <c r="D651" t="s">
        <v>1197</v>
      </c>
      <c r="E651">
        <v>57683626</v>
      </c>
      <c r="F651">
        <v>1240504531</v>
      </c>
      <c r="G651" s="1">
        <v>45634.618437500001</v>
      </c>
      <c r="H651" s="1">
        <v>45634.858715277776</v>
      </c>
      <c r="I651" t="s">
        <v>46</v>
      </c>
      <c r="J651" t="s">
        <v>25</v>
      </c>
      <c r="K651" t="s">
        <v>26</v>
      </c>
      <c r="L651" t="s">
        <v>21</v>
      </c>
      <c r="M651">
        <v>36</v>
      </c>
      <c r="N651">
        <v>346</v>
      </c>
      <c r="O651">
        <v>0</v>
      </c>
      <c r="P651" t="s">
        <v>27</v>
      </c>
      <c r="Q651">
        <v>958</v>
      </c>
      <c r="R651" t="s">
        <v>39</v>
      </c>
      <c r="S651">
        <f>IF(support_tickets[[#This Row],[status_cleaned]]="closed",1,0)</f>
        <v>1</v>
      </c>
      <c r="T651" t="str">
        <f>TEXT(support_tickets[[#This Row],[opened_at]],"mmm yyyy")</f>
        <v>Dec 2024</v>
      </c>
      <c r="U651">
        <f>YEAR(support_tickets[[#This Row],[opened_at]])*100+MONTH(support_tickets[[#This Row],[opened_at]])</f>
        <v>202412</v>
      </c>
      <c r="V651" s="29">
        <f>DATE(YEAR(support_tickets[[#This Row],[opened_at]]),MONTH(support_tickets[[#This Row],[opened_at]]),1)</f>
        <v>45627</v>
      </c>
    </row>
    <row r="652" spans="1:22">
      <c r="A652">
        <v>6451319739</v>
      </c>
      <c r="B652">
        <v>340777602</v>
      </c>
      <c r="C652" t="s">
        <v>1274</v>
      </c>
      <c r="D652" t="s">
        <v>1275</v>
      </c>
      <c r="E652">
        <v>66661351</v>
      </c>
      <c r="G652" s="1">
        <v>45659.377824074072</v>
      </c>
      <c r="H652" s="1">
        <v>45659.813240740739</v>
      </c>
      <c r="I652" t="s">
        <v>37</v>
      </c>
      <c r="J652" t="s">
        <v>59</v>
      </c>
      <c r="K652" t="s">
        <v>26</v>
      </c>
      <c r="L652" t="s">
        <v>21</v>
      </c>
      <c r="M652">
        <v>73</v>
      </c>
      <c r="N652">
        <v>627</v>
      </c>
      <c r="O652">
        <v>0</v>
      </c>
      <c r="P652" t="s">
        <v>61</v>
      </c>
      <c r="Q652">
        <v>968</v>
      </c>
      <c r="R652" t="s">
        <v>39</v>
      </c>
      <c r="S652">
        <f>IF(support_tickets[[#This Row],[status_cleaned]]="closed",1,0)</f>
        <v>1</v>
      </c>
      <c r="T652" t="str">
        <f>TEXT(support_tickets[[#This Row],[opened_at]],"mmm yyyy")</f>
        <v>Jan 2025</v>
      </c>
      <c r="U652">
        <f>YEAR(support_tickets[[#This Row],[opened_at]])*100+MONTH(support_tickets[[#This Row],[opened_at]])</f>
        <v>202501</v>
      </c>
      <c r="V652" s="29">
        <f>DATE(YEAR(support_tickets[[#This Row],[opened_at]]),MONTH(support_tickets[[#This Row],[opened_at]]),1)</f>
        <v>45658</v>
      </c>
    </row>
    <row r="653" spans="1:22">
      <c r="A653">
        <v>6458740756</v>
      </c>
      <c r="B653">
        <v>691957561</v>
      </c>
      <c r="C653" t="s">
        <v>1276</v>
      </c>
      <c r="D653" t="s">
        <v>1277</v>
      </c>
      <c r="E653">
        <v>81971316</v>
      </c>
      <c r="F653">
        <v>3080288209</v>
      </c>
      <c r="G653" s="1">
        <v>45889.153402777774</v>
      </c>
      <c r="H653" s="1">
        <v>45889.346458333333</v>
      </c>
      <c r="I653" t="s">
        <v>43</v>
      </c>
      <c r="J653" t="s">
        <v>59</v>
      </c>
      <c r="K653" t="s">
        <v>26</v>
      </c>
      <c r="L653" t="s">
        <v>21</v>
      </c>
      <c r="M653">
        <v>30</v>
      </c>
      <c r="N653">
        <v>278</v>
      </c>
      <c r="O653">
        <v>0</v>
      </c>
      <c r="P653" t="s">
        <v>61</v>
      </c>
      <c r="Q653">
        <v>970</v>
      </c>
      <c r="R653" t="s">
        <v>39</v>
      </c>
      <c r="S653">
        <f>IF(support_tickets[[#This Row],[status_cleaned]]="closed",1,0)</f>
        <v>1</v>
      </c>
      <c r="T653" t="str">
        <f>TEXT(support_tickets[[#This Row],[opened_at]],"mmm yyyy")</f>
        <v>Aug 2025</v>
      </c>
      <c r="U653">
        <f>YEAR(support_tickets[[#This Row],[opened_at]])*100+MONTH(support_tickets[[#This Row],[opened_at]])</f>
        <v>202508</v>
      </c>
      <c r="V653" s="29">
        <f>DATE(YEAR(support_tickets[[#This Row],[opened_at]]),MONTH(support_tickets[[#This Row],[opened_at]]),1)</f>
        <v>45870</v>
      </c>
    </row>
    <row r="654" spans="1:22">
      <c r="A654">
        <v>6472086746</v>
      </c>
      <c r="B654">
        <v>690404558</v>
      </c>
      <c r="C654" t="s">
        <v>801</v>
      </c>
      <c r="D654" t="s">
        <v>802</v>
      </c>
      <c r="E654">
        <v>60806024</v>
      </c>
      <c r="F654">
        <v>6473572695</v>
      </c>
      <c r="G654" s="1">
        <v>45917.137743055559</v>
      </c>
      <c r="H654" s="1">
        <v>45917.476631944446</v>
      </c>
      <c r="I654" t="s">
        <v>43</v>
      </c>
      <c r="J654" t="s">
        <v>38</v>
      </c>
      <c r="K654" t="s">
        <v>26</v>
      </c>
      <c r="L654" t="s">
        <v>21</v>
      </c>
      <c r="M654">
        <v>32</v>
      </c>
      <c r="N654">
        <v>488</v>
      </c>
      <c r="O654">
        <v>0</v>
      </c>
      <c r="P654" t="s">
        <v>40</v>
      </c>
      <c r="Q654">
        <v>972</v>
      </c>
      <c r="R654" t="s">
        <v>39</v>
      </c>
      <c r="S654">
        <f>IF(support_tickets[[#This Row],[status_cleaned]]="closed",1,0)</f>
        <v>1</v>
      </c>
      <c r="T654" t="str">
        <f>TEXT(support_tickets[[#This Row],[opened_at]],"mmm yyyy")</f>
        <v>Sep 2025</v>
      </c>
      <c r="U654">
        <f>YEAR(support_tickets[[#This Row],[opened_at]])*100+MONTH(support_tickets[[#This Row],[opened_at]])</f>
        <v>202509</v>
      </c>
      <c r="V654" s="29">
        <f>DATE(YEAR(support_tickets[[#This Row],[opened_at]]),MONTH(support_tickets[[#This Row],[opened_at]]),1)</f>
        <v>45901</v>
      </c>
    </row>
    <row r="655" spans="1:22">
      <c r="A655">
        <v>6559524388</v>
      </c>
      <c r="B655">
        <v>198476695</v>
      </c>
      <c r="C655" t="s">
        <v>1284</v>
      </c>
      <c r="D655" t="s">
        <v>1285</v>
      </c>
      <c r="E655">
        <v>28728463</v>
      </c>
      <c r="G655" s="1">
        <v>45743.023877314816</v>
      </c>
      <c r="H655" s="1">
        <v>45743.574571759258</v>
      </c>
      <c r="I655" t="s">
        <v>43</v>
      </c>
      <c r="J655" t="s">
        <v>25</v>
      </c>
      <c r="K655" t="s">
        <v>26</v>
      </c>
      <c r="L655" t="s">
        <v>21</v>
      </c>
      <c r="M655">
        <v>37</v>
      </c>
      <c r="N655">
        <v>793</v>
      </c>
      <c r="O655">
        <v>0</v>
      </c>
      <c r="P655" t="s">
        <v>27</v>
      </c>
      <c r="Q655">
        <v>980</v>
      </c>
      <c r="R655" t="s">
        <v>39</v>
      </c>
      <c r="S655">
        <f>IF(support_tickets[[#This Row],[status_cleaned]]="closed",1,0)</f>
        <v>1</v>
      </c>
      <c r="T655" t="str">
        <f>TEXT(support_tickets[[#This Row],[opened_at]],"mmm yyyy")</f>
        <v>Mar 2025</v>
      </c>
      <c r="U655">
        <f>YEAR(support_tickets[[#This Row],[opened_at]])*100+MONTH(support_tickets[[#This Row],[opened_at]])</f>
        <v>202503</v>
      </c>
      <c r="V655" s="29">
        <f>DATE(YEAR(support_tickets[[#This Row],[opened_at]]),MONTH(support_tickets[[#This Row],[opened_at]]),1)</f>
        <v>45717</v>
      </c>
    </row>
    <row r="656" spans="1:22">
      <c r="A656">
        <v>6745139935</v>
      </c>
      <c r="B656">
        <v>920772671</v>
      </c>
      <c r="C656" t="s">
        <v>64</v>
      </c>
      <c r="D656" t="s">
        <v>65</v>
      </c>
      <c r="E656">
        <v>45833156</v>
      </c>
      <c r="G656" s="1">
        <v>45813.736296296294</v>
      </c>
      <c r="H656" s="1">
        <v>45813.918240740742</v>
      </c>
      <c r="I656" t="s">
        <v>37</v>
      </c>
      <c r="J656" t="s">
        <v>25</v>
      </c>
      <c r="K656" t="s">
        <v>26</v>
      </c>
      <c r="L656" t="s">
        <v>21</v>
      </c>
      <c r="M656">
        <v>30</v>
      </c>
      <c r="N656">
        <v>262</v>
      </c>
      <c r="O656">
        <v>0</v>
      </c>
      <c r="P656" t="s">
        <v>27</v>
      </c>
      <c r="Q656">
        <v>1003</v>
      </c>
      <c r="R656" t="s">
        <v>39</v>
      </c>
      <c r="S656">
        <f>IF(support_tickets[[#This Row],[status_cleaned]]="closed",1,0)</f>
        <v>1</v>
      </c>
      <c r="T656" t="str">
        <f>TEXT(support_tickets[[#This Row],[opened_at]],"mmm yyyy")</f>
        <v>Jun 2025</v>
      </c>
      <c r="U656">
        <f>YEAR(support_tickets[[#This Row],[opened_at]])*100+MONTH(support_tickets[[#This Row],[opened_at]])</f>
        <v>202506</v>
      </c>
      <c r="V656" s="29">
        <f>DATE(YEAR(support_tickets[[#This Row],[opened_at]]),MONTH(support_tickets[[#This Row],[opened_at]]),1)</f>
        <v>45809</v>
      </c>
    </row>
    <row r="657" spans="1:22">
      <c r="A657">
        <v>6756515920</v>
      </c>
      <c r="B657">
        <v>442863363</v>
      </c>
      <c r="C657" t="s">
        <v>1304</v>
      </c>
      <c r="D657" t="s">
        <v>1305</v>
      </c>
      <c r="E657">
        <v>42868828</v>
      </c>
      <c r="F657">
        <v>3484110392</v>
      </c>
      <c r="G657" s="1">
        <v>45762.021921296298</v>
      </c>
      <c r="H657" s="1">
        <v>45762.269143518519</v>
      </c>
      <c r="I657" t="s">
        <v>52</v>
      </c>
      <c r="J657" t="s">
        <v>25</v>
      </c>
      <c r="K657" t="s">
        <v>26</v>
      </c>
      <c r="L657" t="s">
        <v>21</v>
      </c>
      <c r="M657">
        <v>3</v>
      </c>
      <c r="N657">
        <v>356</v>
      </c>
      <c r="O657">
        <v>0</v>
      </c>
      <c r="P657" t="s">
        <v>27</v>
      </c>
      <c r="Q657">
        <v>1005</v>
      </c>
      <c r="R657" t="s">
        <v>39</v>
      </c>
      <c r="S657">
        <f>IF(support_tickets[[#This Row],[status_cleaned]]="closed",1,0)</f>
        <v>1</v>
      </c>
      <c r="T657" t="str">
        <f>TEXT(support_tickets[[#This Row],[opened_at]],"mmm yyyy")</f>
        <v>Apr 2025</v>
      </c>
      <c r="U657">
        <f>YEAR(support_tickets[[#This Row],[opened_at]])*100+MONTH(support_tickets[[#This Row],[opened_at]])</f>
        <v>202504</v>
      </c>
      <c r="V657" s="29">
        <f>DATE(YEAR(support_tickets[[#This Row],[opened_at]]),MONTH(support_tickets[[#This Row],[opened_at]]),1)</f>
        <v>45748</v>
      </c>
    </row>
    <row r="658" spans="1:22">
      <c r="A658">
        <v>6811615780</v>
      </c>
      <c r="B658">
        <v>760756497</v>
      </c>
      <c r="C658" t="s">
        <v>1308</v>
      </c>
      <c r="D658" t="s">
        <v>1309</v>
      </c>
      <c r="E658">
        <v>83793389</v>
      </c>
      <c r="F658">
        <v>5747956127</v>
      </c>
      <c r="G658" s="1">
        <v>45495.362210648149</v>
      </c>
      <c r="H658" s="1">
        <v>45495.636516203704</v>
      </c>
      <c r="I658" t="s">
        <v>46</v>
      </c>
      <c r="J658" t="s">
        <v>25</v>
      </c>
      <c r="K658" t="s">
        <v>26</v>
      </c>
      <c r="L658" t="s">
        <v>21</v>
      </c>
      <c r="M658">
        <v>32</v>
      </c>
      <c r="N658">
        <v>395</v>
      </c>
      <c r="O658">
        <v>0</v>
      </c>
      <c r="P658" t="s">
        <v>27</v>
      </c>
      <c r="Q658">
        <v>1010</v>
      </c>
      <c r="R658" t="s">
        <v>39</v>
      </c>
      <c r="S658">
        <f>IF(support_tickets[[#This Row],[status_cleaned]]="closed",1,0)</f>
        <v>1</v>
      </c>
      <c r="T658" t="str">
        <f>TEXT(support_tickets[[#This Row],[opened_at]],"mmm yyyy")</f>
        <v>Jul 2024</v>
      </c>
      <c r="U658">
        <f>YEAR(support_tickets[[#This Row],[opened_at]])*100+MONTH(support_tickets[[#This Row],[opened_at]])</f>
        <v>202407</v>
      </c>
      <c r="V658" s="29">
        <f>DATE(YEAR(support_tickets[[#This Row],[opened_at]]),MONTH(support_tickets[[#This Row],[opened_at]]),1)</f>
        <v>45474</v>
      </c>
    </row>
    <row r="659" spans="1:22">
      <c r="A659">
        <v>6964840426</v>
      </c>
      <c r="B659">
        <v>576676179</v>
      </c>
      <c r="C659" t="s">
        <v>1316</v>
      </c>
      <c r="D659" t="s">
        <v>1317</v>
      </c>
      <c r="E659">
        <v>84752529</v>
      </c>
      <c r="F659">
        <v>1995162447</v>
      </c>
      <c r="G659" s="1">
        <v>45803.03334490741</v>
      </c>
      <c r="H659" s="1">
        <v>45803.07640046296</v>
      </c>
      <c r="I659" t="s">
        <v>18</v>
      </c>
      <c r="J659" t="s">
        <v>30</v>
      </c>
      <c r="K659" t="s">
        <v>26</v>
      </c>
      <c r="L659" t="s">
        <v>21</v>
      </c>
      <c r="M659">
        <v>57</v>
      </c>
      <c r="N659">
        <v>62</v>
      </c>
      <c r="O659">
        <v>0</v>
      </c>
      <c r="P659" t="s">
        <v>31</v>
      </c>
      <c r="Q659">
        <v>1022</v>
      </c>
      <c r="R659" t="s">
        <v>39</v>
      </c>
      <c r="S659">
        <f>IF(support_tickets[[#This Row],[status_cleaned]]="closed",1,0)</f>
        <v>1</v>
      </c>
      <c r="T659" t="str">
        <f>TEXT(support_tickets[[#This Row],[opened_at]],"mmm yyyy")</f>
        <v>May 2025</v>
      </c>
      <c r="U659">
        <f>YEAR(support_tickets[[#This Row],[opened_at]])*100+MONTH(support_tickets[[#This Row],[opened_at]])</f>
        <v>202505</v>
      </c>
      <c r="V659" s="29">
        <f>DATE(YEAR(support_tickets[[#This Row],[opened_at]]),MONTH(support_tickets[[#This Row],[opened_at]]),1)</f>
        <v>45778</v>
      </c>
    </row>
    <row r="660" spans="1:22">
      <c r="A660">
        <v>6973965856</v>
      </c>
      <c r="B660">
        <v>582750043</v>
      </c>
      <c r="C660" t="s">
        <v>260</v>
      </c>
      <c r="D660" t="s">
        <v>261</v>
      </c>
      <c r="E660">
        <v>61019678</v>
      </c>
      <c r="F660">
        <v>8376160226</v>
      </c>
      <c r="G660" s="1">
        <v>45807.273969907408</v>
      </c>
      <c r="H660" s="1">
        <v>45807.480914351851</v>
      </c>
      <c r="I660" t="s">
        <v>43</v>
      </c>
      <c r="J660" t="s">
        <v>30</v>
      </c>
      <c r="K660" t="s">
        <v>26</v>
      </c>
      <c r="L660" t="s">
        <v>21</v>
      </c>
      <c r="M660">
        <v>22</v>
      </c>
      <c r="N660">
        <v>298</v>
      </c>
      <c r="O660">
        <v>0</v>
      </c>
      <c r="P660" t="s">
        <v>31</v>
      </c>
      <c r="Q660">
        <v>1025</v>
      </c>
      <c r="R660" t="s">
        <v>39</v>
      </c>
      <c r="S660">
        <f>IF(support_tickets[[#This Row],[status_cleaned]]="closed",1,0)</f>
        <v>1</v>
      </c>
      <c r="T660" t="str">
        <f>TEXT(support_tickets[[#This Row],[opened_at]],"mmm yyyy")</f>
        <v>May 2025</v>
      </c>
      <c r="U660">
        <f>YEAR(support_tickets[[#This Row],[opened_at]])*100+MONTH(support_tickets[[#This Row],[opened_at]])</f>
        <v>202505</v>
      </c>
      <c r="V660" s="29">
        <f>DATE(YEAR(support_tickets[[#This Row],[opened_at]]),MONTH(support_tickets[[#This Row],[opened_at]]),1)</f>
        <v>45778</v>
      </c>
    </row>
    <row r="661" spans="1:22">
      <c r="A661">
        <v>6988219883</v>
      </c>
      <c r="B661">
        <v>483426624</v>
      </c>
      <c r="C661" t="s">
        <v>916</v>
      </c>
      <c r="D661" t="s">
        <v>917</v>
      </c>
      <c r="E661">
        <v>86149359</v>
      </c>
      <c r="G661" s="1">
        <v>45454.015868055554</v>
      </c>
      <c r="H661" s="1">
        <v>45454.655451388891</v>
      </c>
      <c r="I661" t="s">
        <v>46</v>
      </c>
      <c r="J661" t="s">
        <v>86</v>
      </c>
      <c r="K661" t="s">
        <v>26</v>
      </c>
      <c r="L661" t="s">
        <v>21</v>
      </c>
      <c r="M661">
        <v>45</v>
      </c>
      <c r="N661">
        <v>921</v>
      </c>
      <c r="O661">
        <v>0</v>
      </c>
      <c r="P661" t="s">
        <v>87</v>
      </c>
      <c r="Q661">
        <v>1027</v>
      </c>
      <c r="R661" t="s">
        <v>39</v>
      </c>
      <c r="S661">
        <f>IF(support_tickets[[#This Row],[status_cleaned]]="closed",1,0)</f>
        <v>1</v>
      </c>
      <c r="T661" t="str">
        <f>TEXT(support_tickets[[#This Row],[opened_at]],"mmm yyyy")</f>
        <v>Jun 2024</v>
      </c>
      <c r="U661">
        <f>YEAR(support_tickets[[#This Row],[opened_at]])*100+MONTH(support_tickets[[#This Row],[opened_at]])</f>
        <v>202406</v>
      </c>
      <c r="V661" s="29">
        <f>DATE(YEAR(support_tickets[[#This Row],[opened_at]]),MONTH(support_tickets[[#This Row],[opened_at]]),1)</f>
        <v>45444</v>
      </c>
    </row>
    <row r="662" spans="1:22">
      <c r="A662">
        <v>7003928703</v>
      </c>
      <c r="B662">
        <v>747060047</v>
      </c>
      <c r="C662" t="s">
        <v>1322</v>
      </c>
      <c r="D662" t="s">
        <v>1323</v>
      </c>
      <c r="E662">
        <v>21668732</v>
      </c>
      <c r="F662">
        <v>9127754416</v>
      </c>
      <c r="G662" s="1">
        <v>45568.181203703702</v>
      </c>
      <c r="H662" s="1">
        <v>45568.277731481481</v>
      </c>
      <c r="I662" t="s">
        <v>56</v>
      </c>
      <c r="J662" t="s">
        <v>19</v>
      </c>
      <c r="K662" t="s">
        <v>26</v>
      </c>
      <c r="L662" t="s">
        <v>21</v>
      </c>
      <c r="M662">
        <v>77</v>
      </c>
      <c r="N662">
        <v>139</v>
      </c>
      <c r="O662">
        <v>0</v>
      </c>
      <c r="P662" t="s">
        <v>22</v>
      </c>
      <c r="Q662">
        <v>1032</v>
      </c>
      <c r="R662" t="s">
        <v>39</v>
      </c>
      <c r="S662">
        <f>IF(support_tickets[[#This Row],[status_cleaned]]="closed",1,0)</f>
        <v>1</v>
      </c>
      <c r="T662" t="str">
        <f>TEXT(support_tickets[[#This Row],[opened_at]],"mmm yyyy")</f>
        <v>Oct 2024</v>
      </c>
      <c r="U662">
        <f>YEAR(support_tickets[[#This Row],[opened_at]])*100+MONTH(support_tickets[[#This Row],[opened_at]])</f>
        <v>202410</v>
      </c>
      <c r="V662" s="29">
        <f>DATE(YEAR(support_tickets[[#This Row],[opened_at]]),MONTH(support_tickets[[#This Row],[opened_at]]),1)</f>
        <v>45566</v>
      </c>
    </row>
    <row r="663" spans="1:22">
      <c r="A663">
        <v>7097914256</v>
      </c>
      <c r="B663">
        <v>843854609</v>
      </c>
      <c r="C663" t="s">
        <v>496</v>
      </c>
      <c r="D663" t="s">
        <v>497</v>
      </c>
      <c r="E663">
        <v>88461803</v>
      </c>
      <c r="G663" s="1">
        <v>45491.78738425926</v>
      </c>
      <c r="H663" s="1">
        <v>45491.970023148147</v>
      </c>
      <c r="I663" t="s">
        <v>18</v>
      </c>
      <c r="J663" t="s">
        <v>30</v>
      </c>
      <c r="K663" t="s">
        <v>26</v>
      </c>
      <c r="L663" t="s">
        <v>21</v>
      </c>
      <c r="M663">
        <v>59</v>
      </c>
      <c r="N663">
        <v>263</v>
      </c>
      <c r="O663">
        <v>0</v>
      </c>
      <c r="P663" t="s">
        <v>31</v>
      </c>
      <c r="Q663">
        <v>1047</v>
      </c>
      <c r="R663" t="s">
        <v>39</v>
      </c>
      <c r="S663">
        <f>IF(support_tickets[[#This Row],[status_cleaned]]="closed",1,0)</f>
        <v>1</v>
      </c>
      <c r="T663" t="str">
        <f>TEXT(support_tickets[[#This Row],[opened_at]],"mmm yyyy")</f>
        <v>Jul 2024</v>
      </c>
      <c r="U663">
        <f>YEAR(support_tickets[[#This Row],[opened_at]])*100+MONTH(support_tickets[[#This Row],[opened_at]])</f>
        <v>202407</v>
      </c>
      <c r="V663" s="29">
        <f>DATE(YEAR(support_tickets[[#This Row],[opened_at]]),MONTH(support_tickets[[#This Row],[opened_at]]),1)</f>
        <v>45474</v>
      </c>
    </row>
    <row r="664" spans="1:22">
      <c r="A664">
        <v>7108510082</v>
      </c>
      <c r="B664">
        <v>470585534</v>
      </c>
      <c r="C664" t="s">
        <v>190</v>
      </c>
      <c r="D664" t="s">
        <v>191</v>
      </c>
      <c r="E664">
        <v>23756669</v>
      </c>
      <c r="G664" s="1">
        <v>45495.045138888891</v>
      </c>
      <c r="H664" s="1">
        <v>45495.363888888889</v>
      </c>
      <c r="I664" t="s">
        <v>37</v>
      </c>
      <c r="J664" t="s">
        <v>38</v>
      </c>
      <c r="K664" t="s">
        <v>26</v>
      </c>
      <c r="L664" t="s">
        <v>21</v>
      </c>
      <c r="M664">
        <v>47</v>
      </c>
      <c r="N664">
        <v>459</v>
      </c>
      <c r="O664">
        <v>0</v>
      </c>
      <c r="P664" t="s">
        <v>40</v>
      </c>
      <c r="Q664">
        <v>1048</v>
      </c>
      <c r="R664" t="s">
        <v>39</v>
      </c>
      <c r="S664">
        <f>IF(support_tickets[[#This Row],[status_cleaned]]="closed",1,0)</f>
        <v>1</v>
      </c>
      <c r="T664" t="str">
        <f>TEXT(support_tickets[[#This Row],[opened_at]],"mmm yyyy")</f>
        <v>Jul 2024</v>
      </c>
      <c r="U664">
        <f>YEAR(support_tickets[[#This Row],[opened_at]])*100+MONTH(support_tickets[[#This Row],[opened_at]])</f>
        <v>202407</v>
      </c>
      <c r="V664" s="29">
        <f>DATE(YEAR(support_tickets[[#This Row],[opened_at]]),MONTH(support_tickets[[#This Row],[opened_at]]),1)</f>
        <v>45474</v>
      </c>
    </row>
    <row r="665" spans="1:22">
      <c r="A665">
        <v>7164449870</v>
      </c>
      <c r="B665">
        <v>436824737</v>
      </c>
      <c r="C665" t="s">
        <v>194</v>
      </c>
      <c r="D665" t="s">
        <v>195</v>
      </c>
      <c r="E665">
        <v>94374605</v>
      </c>
      <c r="G665" s="1">
        <v>45866.224861111114</v>
      </c>
      <c r="H665" s="1">
        <v>45866.272083333337</v>
      </c>
      <c r="I665" t="s">
        <v>3</v>
      </c>
      <c r="J665" t="s">
        <v>30</v>
      </c>
      <c r="K665" t="s">
        <v>26</v>
      </c>
      <c r="L665" t="s">
        <v>21</v>
      </c>
      <c r="M665">
        <v>63</v>
      </c>
      <c r="N665">
        <v>68</v>
      </c>
      <c r="O665">
        <v>0</v>
      </c>
      <c r="P665" t="s">
        <v>31</v>
      </c>
      <c r="Q665">
        <v>1057</v>
      </c>
      <c r="R665" t="s">
        <v>39</v>
      </c>
      <c r="S665">
        <f>IF(support_tickets[[#This Row],[status_cleaned]]="closed",1,0)</f>
        <v>1</v>
      </c>
      <c r="T665" t="str">
        <f>TEXT(support_tickets[[#This Row],[opened_at]],"mmm yyyy")</f>
        <v>Jul 2025</v>
      </c>
      <c r="U665">
        <f>YEAR(support_tickets[[#This Row],[opened_at]])*100+MONTH(support_tickets[[#This Row],[opened_at]])</f>
        <v>202507</v>
      </c>
      <c r="V665" s="29">
        <f>DATE(YEAR(support_tickets[[#This Row],[opened_at]]),MONTH(support_tickets[[#This Row],[opened_at]]),1)</f>
        <v>45839</v>
      </c>
    </row>
    <row r="666" spans="1:22">
      <c r="A666">
        <v>7314996751</v>
      </c>
      <c r="B666">
        <v>394801573</v>
      </c>
      <c r="C666" t="s">
        <v>442</v>
      </c>
      <c r="D666" t="s">
        <v>443</v>
      </c>
      <c r="E666">
        <v>61019678</v>
      </c>
      <c r="G666" s="1">
        <v>45981.491261574076</v>
      </c>
      <c r="H666" s="1">
        <v>45981.667650462965</v>
      </c>
      <c r="I666" t="s">
        <v>56</v>
      </c>
      <c r="J666" t="s">
        <v>25</v>
      </c>
      <c r="K666" t="s">
        <v>26</v>
      </c>
      <c r="L666" t="s">
        <v>21</v>
      </c>
      <c r="M666">
        <v>60</v>
      </c>
      <c r="N666">
        <v>254</v>
      </c>
      <c r="O666">
        <v>0</v>
      </c>
      <c r="P666" t="s">
        <v>27</v>
      </c>
      <c r="Q666">
        <v>1077</v>
      </c>
      <c r="R666" t="s">
        <v>39</v>
      </c>
      <c r="S666">
        <f>IF(support_tickets[[#This Row],[status_cleaned]]="closed",1,0)</f>
        <v>1</v>
      </c>
      <c r="T666" t="str">
        <f>TEXT(support_tickets[[#This Row],[opened_at]],"mmm yyyy")</f>
        <v>Nov 2025</v>
      </c>
      <c r="U666">
        <f>YEAR(support_tickets[[#This Row],[opened_at]])*100+MONTH(support_tickets[[#This Row],[opened_at]])</f>
        <v>202511</v>
      </c>
      <c r="V666" s="29">
        <f>DATE(YEAR(support_tickets[[#This Row],[opened_at]]),MONTH(support_tickets[[#This Row],[opened_at]]),1)</f>
        <v>45962</v>
      </c>
    </row>
    <row r="667" spans="1:22">
      <c r="A667">
        <v>7327796724</v>
      </c>
      <c r="B667">
        <v>603601664</v>
      </c>
      <c r="C667" t="s">
        <v>368</v>
      </c>
      <c r="D667" t="s">
        <v>369</v>
      </c>
      <c r="E667">
        <v>53524491</v>
      </c>
      <c r="G667" s="1">
        <v>46018.432025462964</v>
      </c>
      <c r="H667" s="1">
        <v>46018.742442129631</v>
      </c>
      <c r="I667" t="s">
        <v>18</v>
      </c>
      <c r="J667" t="s">
        <v>38</v>
      </c>
      <c r="K667" t="s">
        <v>26</v>
      </c>
      <c r="L667" t="s">
        <v>21</v>
      </c>
      <c r="M667">
        <v>59</v>
      </c>
      <c r="N667">
        <v>447</v>
      </c>
      <c r="O667">
        <v>0</v>
      </c>
      <c r="P667" t="s">
        <v>40</v>
      </c>
      <c r="Q667">
        <v>1079</v>
      </c>
      <c r="R667" t="s">
        <v>39</v>
      </c>
      <c r="S667">
        <f>IF(support_tickets[[#This Row],[status_cleaned]]="closed",1,0)</f>
        <v>1</v>
      </c>
      <c r="T667" t="str">
        <f>TEXT(support_tickets[[#This Row],[opened_at]],"mmm yyyy")</f>
        <v>Dec 2025</v>
      </c>
      <c r="U667">
        <f>YEAR(support_tickets[[#This Row],[opened_at]])*100+MONTH(support_tickets[[#This Row],[opened_at]])</f>
        <v>202512</v>
      </c>
      <c r="V667" s="29">
        <f>DATE(YEAR(support_tickets[[#This Row],[opened_at]]),MONTH(support_tickets[[#This Row],[opened_at]]),1)</f>
        <v>45992</v>
      </c>
    </row>
    <row r="668" spans="1:22">
      <c r="A668">
        <v>7436733989</v>
      </c>
      <c r="B668">
        <v>932111777</v>
      </c>
      <c r="C668" t="s">
        <v>1366</v>
      </c>
      <c r="D668" t="s">
        <v>1367</v>
      </c>
      <c r="E668">
        <v>36687537</v>
      </c>
      <c r="F668">
        <v>2052463740</v>
      </c>
      <c r="G668" s="1">
        <v>46089.850081018521</v>
      </c>
      <c r="H668" s="1">
        <v>46090.005636574075</v>
      </c>
      <c r="I668" t="s">
        <v>3</v>
      </c>
      <c r="J668" t="s">
        <v>25</v>
      </c>
      <c r="K668" t="s">
        <v>26</v>
      </c>
      <c r="L668" t="s">
        <v>21</v>
      </c>
      <c r="M668">
        <v>41</v>
      </c>
      <c r="N668">
        <v>224</v>
      </c>
      <c r="O668">
        <v>0</v>
      </c>
      <c r="P668" t="s">
        <v>27</v>
      </c>
      <c r="Q668">
        <v>1096</v>
      </c>
      <c r="R668" t="s">
        <v>39</v>
      </c>
      <c r="S668">
        <f>IF(support_tickets[[#This Row],[status_cleaned]]="closed",1,0)</f>
        <v>1</v>
      </c>
      <c r="T668" t="str">
        <f>TEXT(support_tickets[[#This Row],[opened_at]],"mmm yyyy")</f>
        <v>Mar 2026</v>
      </c>
      <c r="U668">
        <f>YEAR(support_tickets[[#This Row],[opened_at]])*100+MONTH(support_tickets[[#This Row],[opened_at]])</f>
        <v>202603</v>
      </c>
      <c r="V668" s="29">
        <f>DATE(YEAR(support_tickets[[#This Row],[opened_at]]),MONTH(support_tickets[[#This Row],[opened_at]]),1)</f>
        <v>46082</v>
      </c>
    </row>
    <row r="669" spans="1:22">
      <c r="A669">
        <v>7454380175</v>
      </c>
      <c r="B669">
        <v>771112648</v>
      </c>
      <c r="C669" t="s">
        <v>646</v>
      </c>
      <c r="D669" t="s">
        <v>647</v>
      </c>
      <c r="E669">
        <v>55657579</v>
      </c>
      <c r="G669" s="1">
        <v>45823.65184027778</v>
      </c>
      <c r="H669" s="1">
        <v>45823.908090277779</v>
      </c>
      <c r="I669" t="s">
        <v>18</v>
      </c>
      <c r="J669" t="s">
        <v>19</v>
      </c>
      <c r="K669" t="s">
        <v>26</v>
      </c>
      <c r="L669" t="s">
        <v>21</v>
      </c>
      <c r="M669">
        <v>29</v>
      </c>
      <c r="N669">
        <v>369</v>
      </c>
      <c r="O669">
        <v>0</v>
      </c>
      <c r="P669" t="s">
        <v>22</v>
      </c>
      <c r="Q669">
        <v>1098</v>
      </c>
      <c r="R669" t="s">
        <v>39</v>
      </c>
      <c r="S669">
        <f>IF(support_tickets[[#This Row],[status_cleaned]]="closed",1,0)</f>
        <v>1</v>
      </c>
      <c r="T669" t="str">
        <f>TEXT(support_tickets[[#This Row],[opened_at]],"mmm yyyy")</f>
        <v>Jun 2025</v>
      </c>
      <c r="U669">
        <f>YEAR(support_tickets[[#This Row],[opened_at]])*100+MONTH(support_tickets[[#This Row],[opened_at]])</f>
        <v>202506</v>
      </c>
      <c r="V669" s="29">
        <f>DATE(YEAR(support_tickets[[#This Row],[opened_at]]),MONTH(support_tickets[[#This Row],[opened_at]]),1)</f>
        <v>45809</v>
      </c>
    </row>
    <row r="670" spans="1:22">
      <c r="A670">
        <v>7476447244</v>
      </c>
      <c r="B670">
        <v>366338529</v>
      </c>
      <c r="C670" t="s">
        <v>1086</v>
      </c>
      <c r="D670" t="s">
        <v>1087</v>
      </c>
      <c r="E670">
        <v>66661351</v>
      </c>
      <c r="G670" s="1">
        <v>46017.625034722223</v>
      </c>
      <c r="H670" s="1">
        <v>46017.686840277776</v>
      </c>
      <c r="I670" t="s">
        <v>56</v>
      </c>
      <c r="J670" t="s">
        <v>86</v>
      </c>
      <c r="K670" t="s">
        <v>26</v>
      </c>
      <c r="L670" t="s">
        <v>21</v>
      </c>
      <c r="M670">
        <v>5</v>
      </c>
      <c r="N670">
        <v>89</v>
      </c>
      <c r="O670">
        <v>0</v>
      </c>
      <c r="P670" t="s">
        <v>87</v>
      </c>
      <c r="Q670">
        <v>1101</v>
      </c>
      <c r="R670" t="s">
        <v>39</v>
      </c>
      <c r="S670">
        <f>IF(support_tickets[[#This Row],[status_cleaned]]="closed",1,0)</f>
        <v>1</v>
      </c>
      <c r="T670" t="str">
        <f>TEXT(support_tickets[[#This Row],[opened_at]],"mmm yyyy")</f>
        <v>Dec 2025</v>
      </c>
      <c r="U670">
        <f>YEAR(support_tickets[[#This Row],[opened_at]])*100+MONTH(support_tickets[[#This Row],[opened_at]])</f>
        <v>202512</v>
      </c>
      <c r="V670" s="29">
        <f>DATE(YEAR(support_tickets[[#This Row],[opened_at]]),MONTH(support_tickets[[#This Row],[opened_at]]),1)</f>
        <v>45992</v>
      </c>
    </row>
    <row r="671" spans="1:22">
      <c r="A671">
        <v>7542776656</v>
      </c>
      <c r="B671">
        <v>161587757</v>
      </c>
      <c r="C671" t="s">
        <v>378</v>
      </c>
      <c r="D671" t="s">
        <v>379</v>
      </c>
      <c r="E671">
        <v>42857966</v>
      </c>
      <c r="G671" s="1">
        <v>45557.12903935185</v>
      </c>
      <c r="H671" s="1">
        <v>45557.276956018519</v>
      </c>
      <c r="I671" t="s">
        <v>18</v>
      </c>
      <c r="J671" t="s">
        <v>30</v>
      </c>
      <c r="K671" t="s">
        <v>26</v>
      </c>
      <c r="L671" t="s">
        <v>21</v>
      </c>
      <c r="M671">
        <v>1</v>
      </c>
      <c r="N671">
        <v>213</v>
      </c>
      <c r="O671">
        <v>0</v>
      </c>
      <c r="P671" t="s">
        <v>31</v>
      </c>
      <c r="Q671">
        <v>1115</v>
      </c>
      <c r="R671" t="s">
        <v>39</v>
      </c>
      <c r="S671">
        <f>IF(support_tickets[[#This Row],[status_cleaned]]="closed",1,0)</f>
        <v>1</v>
      </c>
      <c r="T671" t="str">
        <f>TEXT(support_tickets[[#This Row],[opened_at]],"mmm yyyy")</f>
        <v>Sep 2024</v>
      </c>
      <c r="U671">
        <f>YEAR(support_tickets[[#This Row],[opened_at]])*100+MONTH(support_tickets[[#This Row],[opened_at]])</f>
        <v>202409</v>
      </c>
      <c r="V671" s="29">
        <f>DATE(YEAR(support_tickets[[#This Row],[opened_at]]),MONTH(support_tickets[[#This Row],[opened_at]]),1)</f>
        <v>45536</v>
      </c>
    </row>
    <row r="672" spans="1:22">
      <c r="A672">
        <v>7667810623</v>
      </c>
      <c r="B672">
        <v>874597473</v>
      </c>
      <c r="C672" t="s">
        <v>680</v>
      </c>
      <c r="D672" t="s">
        <v>681</v>
      </c>
      <c r="E672">
        <v>81182864</v>
      </c>
      <c r="F672">
        <v>5093296976</v>
      </c>
      <c r="G672" s="1">
        <v>45732.608668981484</v>
      </c>
      <c r="H672" s="1">
        <v>45732.900335648148</v>
      </c>
      <c r="I672" t="s">
        <v>43</v>
      </c>
      <c r="J672" t="s">
        <v>25</v>
      </c>
      <c r="K672" t="s">
        <v>26</v>
      </c>
      <c r="L672" t="s">
        <v>21</v>
      </c>
      <c r="M672">
        <v>63</v>
      </c>
      <c r="N672">
        <v>420</v>
      </c>
      <c r="O672">
        <v>0</v>
      </c>
      <c r="P672" t="s">
        <v>27</v>
      </c>
      <c r="Q672">
        <v>1139</v>
      </c>
      <c r="R672" t="s">
        <v>39</v>
      </c>
      <c r="S672">
        <f>IF(support_tickets[[#This Row],[status_cleaned]]="closed",1,0)</f>
        <v>1</v>
      </c>
      <c r="T672" t="str">
        <f>TEXT(support_tickets[[#This Row],[opened_at]],"mmm yyyy")</f>
        <v>Mar 2025</v>
      </c>
      <c r="U672">
        <f>YEAR(support_tickets[[#This Row],[opened_at]])*100+MONTH(support_tickets[[#This Row],[opened_at]])</f>
        <v>202503</v>
      </c>
      <c r="V672" s="29">
        <f>DATE(YEAR(support_tickets[[#This Row],[opened_at]]),MONTH(support_tickets[[#This Row],[opened_at]]),1)</f>
        <v>45717</v>
      </c>
    </row>
    <row r="673" spans="1:22">
      <c r="A673">
        <v>7747301617</v>
      </c>
      <c r="B673">
        <v>703091482</v>
      </c>
      <c r="C673" t="s">
        <v>1392</v>
      </c>
      <c r="D673" t="s">
        <v>1393</v>
      </c>
      <c r="E673">
        <v>53507489</v>
      </c>
      <c r="F673">
        <v>7704266577</v>
      </c>
      <c r="G673" s="1">
        <v>45880.815358796295</v>
      </c>
      <c r="H673" s="1">
        <v>45881.336886574078</v>
      </c>
      <c r="I673" t="s">
        <v>46</v>
      </c>
      <c r="J673" t="s">
        <v>19</v>
      </c>
      <c r="K673" t="s">
        <v>26</v>
      </c>
      <c r="L673" t="s">
        <v>21</v>
      </c>
      <c r="M673">
        <v>113</v>
      </c>
      <c r="N673">
        <v>751</v>
      </c>
      <c r="O673">
        <v>0</v>
      </c>
      <c r="P673" t="s">
        <v>22</v>
      </c>
      <c r="Q673">
        <v>1148</v>
      </c>
      <c r="R673" t="s">
        <v>39</v>
      </c>
      <c r="S673">
        <f>IF(support_tickets[[#This Row],[status_cleaned]]="closed",1,0)</f>
        <v>1</v>
      </c>
      <c r="T673" t="str">
        <f>TEXT(support_tickets[[#This Row],[opened_at]],"mmm yyyy")</f>
        <v>Aug 2025</v>
      </c>
      <c r="U673">
        <f>YEAR(support_tickets[[#This Row],[opened_at]])*100+MONTH(support_tickets[[#This Row],[opened_at]])</f>
        <v>202508</v>
      </c>
      <c r="V673" s="29">
        <f>DATE(YEAR(support_tickets[[#This Row],[opened_at]]),MONTH(support_tickets[[#This Row],[opened_at]]),1)</f>
        <v>45870</v>
      </c>
    </row>
    <row r="674" spans="1:22">
      <c r="A674">
        <v>7952417701</v>
      </c>
      <c r="B674">
        <v>560891752</v>
      </c>
      <c r="C674" t="s">
        <v>1418</v>
      </c>
      <c r="D674" t="s">
        <v>1419</v>
      </c>
      <c r="E674">
        <v>77827638</v>
      </c>
      <c r="G674" s="1">
        <v>45509.836597222224</v>
      </c>
      <c r="H674" s="1">
        <v>45510.226875</v>
      </c>
      <c r="I674" t="s">
        <v>3</v>
      </c>
      <c r="J674" t="s">
        <v>30</v>
      </c>
      <c r="K674" t="s">
        <v>26</v>
      </c>
      <c r="L674" t="s">
        <v>21</v>
      </c>
      <c r="M674">
        <v>51</v>
      </c>
      <c r="N674">
        <v>562</v>
      </c>
      <c r="O674">
        <v>0</v>
      </c>
      <c r="P674" t="s">
        <v>31</v>
      </c>
      <c r="Q674">
        <v>1180</v>
      </c>
      <c r="R674" t="s">
        <v>39</v>
      </c>
      <c r="S674">
        <f>IF(support_tickets[[#This Row],[status_cleaned]]="closed",1,0)</f>
        <v>1</v>
      </c>
      <c r="T674" t="str">
        <f>TEXT(support_tickets[[#This Row],[opened_at]],"mmm yyyy")</f>
        <v>Aug 2024</v>
      </c>
      <c r="U674">
        <f>YEAR(support_tickets[[#This Row],[opened_at]])*100+MONTH(support_tickets[[#This Row],[opened_at]])</f>
        <v>202408</v>
      </c>
      <c r="V674" s="29">
        <f>DATE(YEAR(support_tickets[[#This Row],[opened_at]]),MONTH(support_tickets[[#This Row],[opened_at]]),1)</f>
        <v>45505</v>
      </c>
    </row>
    <row r="675" spans="1:22">
      <c r="A675">
        <v>8166969410</v>
      </c>
      <c r="B675">
        <v>992649957</v>
      </c>
      <c r="C675" t="s">
        <v>742</v>
      </c>
      <c r="D675" t="s">
        <v>743</v>
      </c>
      <c r="E675">
        <v>22448136</v>
      </c>
      <c r="G675" s="1">
        <v>45388.206458333334</v>
      </c>
      <c r="H675" s="1">
        <v>45388.764791666668</v>
      </c>
      <c r="I675" t="s">
        <v>3</v>
      </c>
      <c r="J675" t="s">
        <v>86</v>
      </c>
      <c r="K675" t="s">
        <v>26</v>
      </c>
      <c r="L675" t="s">
        <v>21</v>
      </c>
      <c r="M675">
        <v>55</v>
      </c>
      <c r="N675">
        <v>804</v>
      </c>
      <c r="O675">
        <v>0</v>
      </c>
      <c r="P675" t="s">
        <v>87</v>
      </c>
      <c r="Q675">
        <v>1205</v>
      </c>
      <c r="R675" t="s">
        <v>39</v>
      </c>
      <c r="S675">
        <f>IF(support_tickets[[#This Row],[status_cleaned]]="closed",1,0)</f>
        <v>1</v>
      </c>
      <c r="T675" t="str">
        <f>TEXT(support_tickets[[#This Row],[opened_at]],"mmm yyyy")</f>
        <v>Apr 2024</v>
      </c>
      <c r="U675">
        <f>YEAR(support_tickets[[#This Row],[opened_at]])*100+MONTH(support_tickets[[#This Row],[opened_at]])</f>
        <v>202404</v>
      </c>
      <c r="V675" s="29">
        <f>DATE(YEAR(support_tickets[[#This Row],[opened_at]]),MONTH(support_tickets[[#This Row],[opened_at]]),1)</f>
        <v>45383</v>
      </c>
    </row>
    <row r="676" spans="1:22">
      <c r="A676">
        <v>8200221515</v>
      </c>
      <c r="B676">
        <v>391651334</v>
      </c>
      <c r="C676" t="s">
        <v>1076</v>
      </c>
      <c r="D676" t="s">
        <v>1077</v>
      </c>
      <c r="E676">
        <v>95899313</v>
      </c>
      <c r="G676" s="1">
        <v>46093.924537037034</v>
      </c>
      <c r="H676" s="1">
        <v>46094.530092592591</v>
      </c>
      <c r="I676" t="s">
        <v>56</v>
      </c>
      <c r="J676" t="s">
        <v>86</v>
      </c>
      <c r="K676" t="s">
        <v>26</v>
      </c>
      <c r="L676" t="s">
        <v>21</v>
      </c>
      <c r="M676">
        <v>8</v>
      </c>
      <c r="N676">
        <v>872</v>
      </c>
      <c r="O676">
        <v>0</v>
      </c>
      <c r="P676" t="s">
        <v>87</v>
      </c>
      <c r="Q676">
        <v>1211</v>
      </c>
      <c r="R676" t="s">
        <v>39</v>
      </c>
      <c r="S676">
        <f>IF(support_tickets[[#This Row],[status_cleaned]]="closed",1,0)</f>
        <v>1</v>
      </c>
      <c r="T676" t="str">
        <f>TEXT(support_tickets[[#This Row],[opened_at]],"mmm yyyy")</f>
        <v>Mar 2026</v>
      </c>
      <c r="U676">
        <f>YEAR(support_tickets[[#This Row],[opened_at]])*100+MONTH(support_tickets[[#This Row],[opened_at]])</f>
        <v>202603</v>
      </c>
      <c r="V676" s="29">
        <f>DATE(YEAR(support_tickets[[#This Row],[opened_at]]),MONTH(support_tickets[[#This Row],[opened_at]]),1)</f>
        <v>46082</v>
      </c>
    </row>
    <row r="677" spans="1:22">
      <c r="A677">
        <v>8211796419</v>
      </c>
      <c r="B677">
        <v>773412230</v>
      </c>
      <c r="C677" t="s">
        <v>1441</v>
      </c>
      <c r="D677" t="s">
        <v>1442</v>
      </c>
      <c r="E677">
        <v>47295260</v>
      </c>
      <c r="G677" s="1">
        <v>45970.441377314812</v>
      </c>
      <c r="H677" s="1">
        <v>45970.87054398148</v>
      </c>
      <c r="I677" t="s">
        <v>52</v>
      </c>
      <c r="J677" t="s">
        <v>38</v>
      </c>
      <c r="K677" t="s">
        <v>26</v>
      </c>
      <c r="L677" t="s">
        <v>21</v>
      </c>
      <c r="M677">
        <v>4</v>
      </c>
      <c r="N677">
        <v>618</v>
      </c>
      <c r="O677">
        <v>0</v>
      </c>
      <c r="P677" t="s">
        <v>40</v>
      </c>
      <c r="Q677">
        <v>1214</v>
      </c>
      <c r="R677" t="s">
        <v>39</v>
      </c>
      <c r="S677">
        <f>IF(support_tickets[[#This Row],[status_cleaned]]="closed",1,0)</f>
        <v>1</v>
      </c>
      <c r="T677" t="str">
        <f>TEXT(support_tickets[[#This Row],[opened_at]],"mmm yyyy")</f>
        <v>Nov 2025</v>
      </c>
      <c r="U677">
        <f>YEAR(support_tickets[[#This Row],[opened_at]])*100+MONTH(support_tickets[[#This Row],[opened_at]])</f>
        <v>202511</v>
      </c>
      <c r="V677" s="29">
        <f>DATE(YEAR(support_tickets[[#This Row],[opened_at]]),MONTH(support_tickets[[#This Row],[opened_at]]),1)</f>
        <v>45962</v>
      </c>
    </row>
    <row r="678" spans="1:22">
      <c r="A678">
        <v>8416359231</v>
      </c>
      <c r="B678">
        <v>247709679</v>
      </c>
      <c r="C678" t="s">
        <v>768</v>
      </c>
      <c r="D678" t="s">
        <v>769</v>
      </c>
      <c r="E678">
        <v>55657579</v>
      </c>
      <c r="F678">
        <v>5589770880</v>
      </c>
      <c r="G678" s="1">
        <v>45415.782384259262</v>
      </c>
      <c r="H678" s="1">
        <v>45415.978912037041</v>
      </c>
      <c r="I678" t="s">
        <v>18</v>
      </c>
      <c r="J678" t="s">
        <v>19</v>
      </c>
      <c r="K678" t="s">
        <v>26</v>
      </c>
      <c r="L678" t="s">
        <v>21</v>
      </c>
      <c r="M678">
        <v>19</v>
      </c>
      <c r="N678">
        <v>283</v>
      </c>
      <c r="O678">
        <v>0</v>
      </c>
      <c r="P678" t="s">
        <v>22</v>
      </c>
      <c r="Q678">
        <v>1241</v>
      </c>
      <c r="R678" t="s">
        <v>39</v>
      </c>
      <c r="S678">
        <f>IF(support_tickets[[#This Row],[status_cleaned]]="closed",1,0)</f>
        <v>1</v>
      </c>
      <c r="T678" t="str">
        <f>TEXT(support_tickets[[#This Row],[opened_at]],"mmm yyyy")</f>
        <v>May 2024</v>
      </c>
      <c r="U678">
        <f>YEAR(support_tickets[[#This Row],[opened_at]])*100+MONTH(support_tickets[[#This Row],[opened_at]])</f>
        <v>202405</v>
      </c>
      <c r="V678" s="29">
        <f>DATE(YEAR(support_tickets[[#This Row],[opened_at]]),MONTH(support_tickets[[#This Row],[opened_at]]),1)</f>
        <v>45413</v>
      </c>
    </row>
    <row r="679" spans="1:22">
      <c r="A679">
        <v>8424513063</v>
      </c>
      <c r="B679">
        <v>655511084</v>
      </c>
      <c r="C679" t="s">
        <v>186</v>
      </c>
      <c r="D679" t="s">
        <v>187</v>
      </c>
      <c r="E679">
        <v>47308985</v>
      </c>
      <c r="G679" s="1">
        <v>45312.316041666665</v>
      </c>
      <c r="H679" s="1">
        <v>45312.420208333337</v>
      </c>
      <c r="I679" t="s">
        <v>3</v>
      </c>
      <c r="J679" t="s">
        <v>59</v>
      </c>
      <c r="K679" t="s">
        <v>26</v>
      </c>
      <c r="L679" t="s">
        <v>21</v>
      </c>
      <c r="M679">
        <v>24</v>
      </c>
      <c r="N679">
        <v>150</v>
      </c>
      <c r="O679">
        <v>0</v>
      </c>
      <c r="P679" t="s">
        <v>61</v>
      </c>
      <c r="Q679">
        <v>1242</v>
      </c>
      <c r="R679" t="s">
        <v>39</v>
      </c>
      <c r="S679">
        <f>IF(support_tickets[[#This Row],[status_cleaned]]="closed",1,0)</f>
        <v>1</v>
      </c>
      <c r="T679" t="str">
        <f>TEXT(support_tickets[[#This Row],[opened_at]],"mmm yyyy")</f>
        <v>Jan 2024</v>
      </c>
      <c r="U679">
        <f>YEAR(support_tickets[[#This Row],[opened_at]])*100+MONTH(support_tickets[[#This Row],[opened_at]])</f>
        <v>202401</v>
      </c>
      <c r="V679" s="29">
        <f>DATE(YEAR(support_tickets[[#This Row],[opened_at]]),MONTH(support_tickets[[#This Row],[opened_at]]),1)</f>
        <v>45292</v>
      </c>
    </row>
    <row r="680" spans="1:22">
      <c r="A680">
        <v>8439951403</v>
      </c>
      <c r="B680">
        <v>322562836</v>
      </c>
      <c r="C680" t="s">
        <v>850</v>
      </c>
      <c r="D680" t="s">
        <v>851</v>
      </c>
      <c r="E680">
        <v>19335534</v>
      </c>
      <c r="G680" s="1">
        <v>46096.37394675926</v>
      </c>
      <c r="H680" s="1">
        <v>46096.742002314815</v>
      </c>
      <c r="I680" t="s">
        <v>46</v>
      </c>
      <c r="J680" t="s">
        <v>38</v>
      </c>
      <c r="K680" t="s">
        <v>26</v>
      </c>
      <c r="L680" t="s">
        <v>21</v>
      </c>
      <c r="M680">
        <v>3</v>
      </c>
      <c r="N680">
        <v>530</v>
      </c>
      <c r="O680">
        <v>0</v>
      </c>
      <c r="P680" t="s">
        <v>40</v>
      </c>
      <c r="Q680">
        <v>1244</v>
      </c>
      <c r="R680" t="s">
        <v>39</v>
      </c>
      <c r="S680">
        <f>IF(support_tickets[[#This Row],[status_cleaned]]="closed",1,0)</f>
        <v>1</v>
      </c>
      <c r="T680" t="str">
        <f>TEXT(support_tickets[[#This Row],[opened_at]],"mmm yyyy")</f>
        <v>Mar 2026</v>
      </c>
      <c r="U680">
        <f>YEAR(support_tickets[[#This Row],[opened_at]])*100+MONTH(support_tickets[[#This Row],[opened_at]])</f>
        <v>202603</v>
      </c>
      <c r="V680" s="29">
        <f>DATE(YEAR(support_tickets[[#This Row],[opened_at]]),MONTH(support_tickets[[#This Row],[opened_at]]),1)</f>
        <v>46082</v>
      </c>
    </row>
    <row r="681" spans="1:22">
      <c r="A681">
        <v>8443415675</v>
      </c>
      <c r="B681">
        <v>210163669</v>
      </c>
      <c r="C681" t="s">
        <v>1024</v>
      </c>
      <c r="D681" t="s">
        <v>1025</v>
      </c>
      <c r="E681">
        <v>29175900</v>
      </c>
      <c r="G681" s="1">
        <v>45350.362280092595</v>
      </c>
      <c r="H681" s="1">
        <v>45350.645613425928</v>
      </c>
      <c r="I681" t="s">
        <v>18</v>
      </c>
      <c r="J681" t="s">
        <v>19</v>
      </c>
      <c r="K681" t="s">
        <v>26</v>
      </c>
      <c r="L681" t="s">
        <v>21</v>
      </c>
      <c r="M681">
        <v>4</v>
      </c>
      <c r="N681">
        <v>408</v>
      </c>
      <c r="O681">
        <v>0</v>
      </c>
      <c r="P681" t="s">
        <v>22</v>
      </c>
      <c r="Q681">
        <v>1246</v>
      </c>
      <c r="R681" t="s">
        <v>39</v>
      </c>
      <c r="S681">
        <f>IF(support_tickets[[#This Row],[status_cleaned]]="closed",1,0)</f>
        <v>1</v>
      </c>
      <c r="T681" t="str">
        <f>TEXT(support_tickets[[#This Row],[opened_at]],"mmm yyyy")</f>
        <v>Feb 2024</v>
      </c>
      <c r="U681">
        <f>YEAR(support_tickets[[#This Row],[opened_at]])*100+MONTH(support_tickets[[#This Row],[opened_at]])</f>
        <v>202402</v>
      </c>
      <c r="V681" s="29">
        <f>DATE(YEAR(support_tickets[[#This Row],[opened_at]]),MONTH(support_tickets[[#This Row],[opened_at]]),1)</f>
        <v>45323</v>
      </c>
    </row>
    <row r="682" spans="1:22">
      <c r="A682">
        <v>8509485283</v>
      </c>
      <c r="B682">
        <v>774585778</v>
      </c>
      <c r="C682" t="s">
        <v>372</v>
      </c>
      <c r="D682" t="s">
        <v>373</v>
      </c>
      <c r="E682">
        <v>23756669</v>
      </c>
      <c r="G682" s="1">
        <v>46035.101793981485</v>
      </c>
      <c r="H682" s="1">
        <v>46035.307349537034</v>
      </c>
      <c r="I682" t="s">
        <v>43</v>
      </c>
      <c r="J682" t="s">
        <v>86</v>
      </c>
      <c r="K682" t="s">
        <v>26</v>
      </c>
      <c r="L682" t="s">
        <v>21</v>
      </c>
      <c r="M682">
        <v>32</v>
      </c>
      <c r="N682">
        <v>296</v>
      </c>
      <c r="O682">
        <v>0</v>
      </c>
      <c r="P682" t="s">
        <v>87</v>
      </c>
      <c r="Q682">
        <v>1258</v>
      </c>
      <c r="R682" t="s">
        <v>39</v>
      </c>
      <c r="S682">
        <f>IF(support_tickets[[#This Row],[status_cleaned]]="closed",1,0)</f>
        <v>1</v>
      </c>
      <c r="T682" t="str">
        <f>TEXT(support_tickets[[#This Row],[opened_at]],"mmm yyyy")</f>
        <v>Jan 2026</v>
      </c>
      <c r="U682">
        <f>YEAR(support_tickets[[#This Row],[opened_at]])*100+MONTH(support_tickets[[#This Row],[opened_at]])</f>
        <v>202601</v>
      </c>
      <c r="V682" s="29">
        <f>DATE(YEAR(support_tickets[[#This Row],[opened_at]]),MONTH(support_tickets[[#This Row],[opened_at]]),1)</f>
        <v>46023</v>
      </c>
    </row>
    <row r="683" spans="1:22">
      <c r="A683">
        <v>8511615755</v>
      </c>
      <c r="B683">
        <v>825708356</v>
      </c>
      <c r="C683" t="s">
        <v>652</v>
      </c>
      <c r="D683" t="s">
        <v>653</v>
      </c>
      <c r="E683">
        <v>39476249</v>
      </c>
      <c r="F683">
        <v>6070949719</v>
      </c>
      <c r="G683" s="1">
        <v>45620.558981481481</v>
      </c>
      <c r="H683" s="1">
        <v>45620.61037037037</v>
      </c>
      <c r="I683" t="s">
        <v>3</v>
      </c>
      <c r="J683" t="s">
        <v>19</v>
      </c>
      <c r="K683" t="s">
        <v>26</v>
      </c>
      <c r="L683" t="s">
        <v>21</v>
      </c>
      <c r="M683">
        <v>69</v>
      </c>
      <c r="N683">
        <v>74</v>
      </c>
      <c r="O683">
        <v>0</v>
      </c>
      <c r="P683" t="s">
        <v>22</v>
      </c>
      <c r="Q683">
        <v>1259</v>
      </c>
      <c r="R683" t="s">
        <v>39</v>
      </c>
      <c r="S683">
        <f>IF(support_tickets[[#This Row],[status_cleaned]]="closed",1,0)</f>
        <v>1</v>
      </c>
      <c r="T683" t="str">
        <f>TEXT(support_tickets[[#This Row],[opened_at]],"mmm yyyy")</f>
        <v>Nov 2024</v>
      </c>
      <c r="U683">
        <f>YEAR(support_tickets[[#This Row],[opened_at]])*100+MONTH(support_tickets[[#This Row],[opened_at]])</f>
        <v>202411</v>
      </c>
      <c r="V683" s="29">
        <f>DATE(YEAR(support_tickets[[#This Row],[opened_at]]),MONTH(support_tickets[[#This Row],[opened_at]]),1)</f>
        <v>45597</v>
      </c>
    </row>
    <row r="684" spans="1:22">
      <c r="A684">
        <v>8531385585</v>
      </c>
      <c r="B684">
        <v>645127678</v>
      </c>
      <c r="C684" t="s">
        <v>1244</v>
      </c>
      <c r="D684" t="s">
        <v>1245</v>
      </c>
      <c r="E684">
        <v>70291817</v>
      </c>
      <c r="G684" s="1">
        <v>46074.408391203702</v>
      </c>
      <c r="H684" s="1">
        <v>46074.445196759261</v>
      </c>
      <c r="I684" t="s">
        <v>3</v>
      </c>
      <c r="J684" t="s">
        <v>25</v>
      </c>
      <c r="K684" t="s">
        <v>26</v>
      </c>
      <c r="L684" t="s">
        <v>21</v>
      </c>
      <c r="M684">
        <v>48</v>
      </c>
      <c r="N684">
        <v>53</v>
      </c>
      <c r="O684">
        <v>0</v>
      </c>
      <c r="P684" t="s">
        <v>27</v>
      </c>
      <c r="Q684">
        <v>1265</v>
      </c>
      <c r="R684" t="s">
        <v>39</v>
      </c>
      <c r="S684">
        <f>IF(support_tickets[[#This Row],[status_cleaned]]="closed",1,0)</f>
        <v>1</v>
      </c>
      <c r="T684" t="str">
        <f>TEXT(support_tickets[[#This Row],[opened_at]],"mmm yyyy")</f>
        <v>Feb 2026</v>
      </c>
      <c r="U684">
        <f>YEAR(support_tickets[[#This Row],[opened_at]])*100+MONTH(support_tickets[[#This Row],[opened_at]])</f>
        <v>202602</v>
      </c>
      <c r="V684" s="29">
        <f>DATE(YEAR(support_tickets[[#This Row],[opened_at]]),MONTH(support_tickets[[#This Row],[opened_at]]),1)</f>
        <v>46054</v>
      </c>
    </row>
    <row r="685" spans="1:22">
      <c r="A685">
        <v>8757585120</v>
      </c>
      <c r="B685">
        <v>843937341</v>
      </c>
      <c r="C685" t="s">
        <v>698</v>
      </c>
      <c r="D685" t="s">
        <v>699</v>
      </c>
      <c r="E685">
        <v>48840994</v>
      </c>
      <c r="G685" s="1">
        <v>45629.734340277777</v>
      </c>
      <c r="H685" s="1">
        <v>45629.907256944447</v>
      </c>
      <c r="I685" t="s">
        <v>56</v>
      </c>
      <c r="J685" t="s">
        <v>38</v>
      </c>
      <c r="K685" t="s">
        <v>26</v>
      </c>
      <c r="L685" t="s">
        <v>21</v>
      </c>
      <c r="M685">
        <v>25</v>
      </c>
      <c r="N685">
        <v>249</v>
      </c>
      <c r="O685">
        <v>0</v>
      </c>
      <c r="P685" t="s">
        <v>40</v>
      </c>
      <c r="Q685">
        <v>1306</v>
      </c>
      <c r="R685" t="s">
        <v>39</v>
      </c>
      <c r="S685">
        <f>IF(support_tickets[[#This Row],[status_cleaned]]="closed",1,0)</f>
        <v>1</v>
      </c>
      <c r="T685" t="str">
        <f>TEXT(support_tickets[[#This Row],[opened_at]],"mmm yyyy")</f>
        <v>Dec 2024</v>
      </c>
      <c r="U685">
        <f>YEAR(support_tickets[[#This Row],[opened_at]])*100+MONTH(support_tickets[[#This Row],[opened_at]])</f>
        <v>202412</v>
      </c>
      <c r="V685" s="29">
        <f>DATE(YEAR(support_tickets[[#This Row],[opened_at]]),MONTH(support_tickets[[#This Row],[opened_at]]),1)</f>
        <v>45627</v>
      </c>
    </row>
    <row r="686" spans="1:22">
      <c r="A686">
        <v>8857213588</v>
      </c>
      <c r="B686">
        <v>402104065</v>
      </c>
      <c r="C686" t="s">
        <v>1455</v>
      </c>
      <c r="D686" t="s">
        <v>1456</v>
      </c>
      <c r="E686">
        <v>66722344</v>
      </c>
      <c r="G686" s="1">
        <v>45390.148402777777</v>
      </c>
      <c r="H686" s="1">
        <v>45390.288680555554</v>
      </c>
      <c r="I686" t="s">
        <v>52</v>
      </c>
      <c r="J686" t="s">
        <v>30</v>
      </c>
      <c r="K686" t="s">
        <v>26</v>
      </c>
      <c r="L686" t="s">
        <v>21</v>
      </c>
      <c r="M686">
        <v>47</v>
      </c>
      <c r="N686">
        <v>202</v>
      </c>
      <c r="O686">
        <v>0</v>
      </c>
      <c r="P686" t="s">
        <v>31</v>
      </c>
      <c r="Q686">
        <v>1319</v>
      </c>
      <c r="R686" t="s">
        <v>39</v>
      </c>
      <c r="S686">
        <f>IF(support_tickets[[#This Row],[status_cleaned]]="closed",1,0)</f>
        <v>1</v>
      </c>
      <c r="T686" t="str">
        <f>TEXT(support_tickets[[#This Row],[opened_at]],"mmm yyyy")</f>
        <v>Apr 2024</v>
      </c>
      <c r="U686">
        <f>YEAR(support_tickets[[#This Row],[opened_at]])*100+MONTH(support_tickets[[#This Row],[opened_at]])</f>
        <v>202404</v>
      </c>
      <c r="V686" s="29">
        <f>DATE(YEAR(support_tickets[[#This Row],[opened_at]]),MONTH(support_tickets[[#This Row],[opened_at]]),1)</f>
        <v>45383</v>
      </c>
    </row>
    <row r="687" spans="1:22">
      <c r="A687">
        <v>8880041726</v>
      </c>
      <c r="B687">
        <v>866803374</v>
      </c>
      <c r="C687" t="s">
        <v>642</v>
      </c>
      <c r="D687" t="s">
        <v>643</v>
      </c>
      <c r="E687">
        <v>85345555</v>
      </c>
      <c r="F687">
        <v>1840592753</v>
      </c>
      <c r="G687" s="1">
        <v>45873.221122685187</v>
      </c>
      <c r="H687" s="1">
        <v>45873.610011574077</v>
      </c>
      <c r="I687" t="s">
        <v>3</v>
      </c>
      <c r="J687" t="s">
        <v>25</v>
      </c>
      <c r="K687" t="s">
        <v>26</v>
      </c>
      <c r="L687" t="s">
        <v>21</v>
      </c>
      <c r="M687">
        <v>5</v>
      </c>
      <c r="N687">
        <v>560</v>
      </c>
      <c r="O687">
        <v>0</v>
      </c>
      <c r="P687" t="s">
        <v>27</v>
      </c>
      <c r="Q687">
        <v>1323</v>
      </c>
      <c r="R687" t="s">
        <v>39</v>
      </c>
      <c r="S687">
        <f>IF(support_tickets[[#This Row],[status_cleaned]]="closed",1,0)</f>
        <v>1</v>
      </c>
      <c r="T687" t="str">
        <f>TEXT(support_tickets[[#This Row],[opened_at]],"mmm yyyy")</f>
        <v>Aug 2025</v>
      </c>
      <c r="U687">
        <f>YEAR(support_tickets[[#This Row],[opened_at]])*100+MONTH(support_tickets[[#This Row],[opened_at]])</f>
        <v>202508</v>
      </c>
      <c r="V687" s="29">
        <f>DATE(YEAR(support_tickets[[#This Row],[opened_at]]),MONTH(support_tickets[[#This Row],[opened_at]]),1)</f>
        <v>45870</v>
      </c>
    </row>
    <row r="688" spans="1:22">
      <c r="A688">
        <v>9031063171</v>
      </c>
      <c r="B688">
        <v>543778963</v>
      </c>
      <c r="C688" t="s">
        <v>1505</v>
      </c>
      <c r="D688" t="s">
        <v>1506</v>
      </c>
      <c r="E688">
        <v>11540956</v>
      </c>
      <c r="G688" s="1">
        <v>45337.710497685184</v>
      </c>
      <c r="H688" s="1">
        <v>45338.152858796297</v>
      </c>
      <c r="I688" t="s">
        <v>46</v>
      </c>
      <c r="J688" t="s">
        <v>25</v>
      </c>
      <c r="K688" t="s">
        <v>26</v>
      </c>
      <c r="L688" t="s">
        <v>21</v>
      </c>
      <c r="M688">
        <v>35</v>
      </c>
      <c r="N688">
        <v>637</v>
      </c>
      <c r="O688">
        <v>0</v>
      </c>
      <c r="P688" t="s">
        <v>27</v>
      </c>
      <c r="Q688">
        <v>1351</v>
      </c>
      <c r="R688" t="s">
        <v>39</v>
      </c>
      <c r="S688">
        <f>IF(support_tickets[[#This Row],[status_cleaned]]="closed",1,0)</f>
        <v>1</v>
      </c>
      <c r="T688" t="str">
        <f>TEXT(support_tickets[[#This Row],[opened_at]],"mmm yyyy")</f>
        <v>Feb 2024</v>
      </c>
      <c r="U688">
        <f>YEAR(support_tickets[[#This Row],[opened_at]])*100+MONTH(support_tickets[[#This Row],[opened_at]])</f>
        <v>202402</v>
      </c>
      <c r="V688" s="29">
        <f>DATE(YEAR(support_tickets[[#This Row],[opened_at]]),MONTH(support_tickets[[#This Row],[opened_at]]),1)</f>
        <v>45323</v>
      </c>
    </row>
    <row r="689" spans="1:22">
      <c r="A689">
        <v>9127170166</v>
      </c>
      <c r="B689">
        <v>726745401</v>
      </c>
      <c r="C689" t="s">
        <v>1519</v>
      </c>
      <c r="D689" t="s">
        <v>1520</v>
      </c>
      <c r="E689">
        <v>63843426</v>
      </c>
      <c r="G689" s="1">
        <v>46080.389652777776</v>
      </c>
      <c r="H689" s="1">
        <v>46080.657708333332</v>
      </c>
      <c r="I689" t="s">
        <v>52</v>
      </c>
      <c r="J689" t="s">
        <v>59</v>
      </c>
      <c r="K689" t="s">
        <v>26</v>
      </c>
      <c r="L689" t="s">
        <v>21</v>
      </c>
      <c r="M689">
        <v>54</v>
      </c>
      <c r="N689">
        <v>386</v>
      </c>
      <c r="O689">
        <v>0</v>
      </c>
      <c r="P689" t="s">
        <v>61</v>
      </c>
      <c r="Q689">
        <v>1373</v>
      </c>
      <c r="R689" t="s">
        <v>39</v>
      </c>
      <c r="S689">
        <f>IF(support_tickets[[#This Row],[status_cleaned]]="closed",1,0)</f>
        <v>1</v>
      </c>
      <c r="T689" t="str">
        <f>TEXT(support_tickets[[#This Row],[opened_at]],"mmm yyyy")</f>
        <v>Feb 2026</v>
      </c>
      <c r="U689">
        <f>YEAR(support_tickets[[#This Row],[opened_at]])*100+MONTH(support_tickets[[#This Row],[opened_at]])</f>
        <v>202602</v>
      </c>
      <c r="V689" s="29">
        <f>DATE(YEAR(support_tickets[[#This Row],[opened_at]]),MONTH(support_tickets[[#This Row],[opened_at]]),1)</f>
        <v>46054</v>
      </c>
    </row>
    <row r="690" spans="1:22">
      <c r="A690">
        <v>9137456001</v>
      </c>
      <c r="B690">
        <v>936597989</v>
      </c>
      <c r="C690" t="s">
        <v>32</v>
      </c>
      <c r="D690" t="s">
        <v>33</v>
      </c>
      <c r="E690">
        <v>60806024</v>
      </c>
      <c r="F690">
        <v>6768680689</v>
      </c>
      <c r="G690" s="1">
        <v>45512.140567129631</v>
      </c>
      <c r="H690" s="1">
        <v>45512.703761574077</v>
      </c>
      <c r="I690" t="s">
        <v>56</v>
      </c>
      <c r="J690" t="s">
        <v>59</v>
      </c>
      <c r="K690" t="s">
        <v>26</v>
      </c>
      <c r="L690" t="s">
        <v>21</v>
      </c>
      <c r="M690">
        <v>7</v>
      </c>
      <c r="N690">
        <v>811</v>
      </c>
      <c r="O690">
        <v>0</v>
      </c>
      <c r="P690" t="s">
        <v>61</v>
      </c>
      <c r="Q690">
        <v>1378</v>
      </c>
      <c r="R690" t="s">
        <v>39</v>
      </c>
      <c r="S690">
        <f>IF(support_tickets[[#This Row],[status_cleaned]]="closed",1,0)</f>
        <v>1</v>
      </c>
      <c r="T690" t="str">
        <f>TEXT(support_tickets[[#This Row],[opened_at]],"mmm yyyy")</f>
        <v>Aug 2024</v>
      </c>
      <c r="U690">
        <f>YEAR(support_tickets[[#This Row],[opened_at]])*100+MONTH(support_tickets[[#This Row],[opened_at]])</f>
        <v>202408</v>
      </c>
      <c r="V690" s="29">
        <f>DATE(YEAR(support_tickets[[#This Row],[opened_at]]),MONTH(support_tickets[[#This Row],[opened_at]]),1)</f>
        <v>45505</v>
      </c>
    </row>
    <row r="691" spans="1:22">
      <c r="A691">
        <v>9232680680</v>
      </c>
      <c r="B691">
        <v>409011489</v>
      </c>
      <c r="C691" t="s">
        <v>1000</v>
      </c>
      <c r="D691" t="s">
        <v>1001</v>
      </c>
      <c r="E691">
        <v>90048665</v>
      </c>
      <c r="G691" s="1">
        <v>45521.494027777779</v>
      </c>
      <c r="H691" s="1">
        <v>45521.696805555555</v>
      </c>
      <c r="I691" t="s">
        <v>56</v>
      </c>
      <c r="J691" t="s">
        <v>19</v>
      </c>
      <c r="K691" t="s">
        <v>26</v>
      </c>
      <c r="L691" t="s">
        <v>21</v>
      </c>
      <c r="M691">
        <v>14</v>
      </c>
      <c r="N691">
        <v>292</v>
      </c>
      <c r="O691">
        <v>0</v>
      </c>
      <c r="P691" t="s">
        <v>22</v>
      </c>
      <c r="Q691">
        <v>1389</v>
      </c>
      <c r="R691" t="s">
        <v>39</v>
      </c>
      <c r="S691">
        <f>IF(support_tickets[[#This Row],[status_cleaned]]="closed",1,0)</f>
        <v>1</v>
      </c>
      <c r="T691" t="str">
        <f>TEXT(support_tickets[[#This Row],[opened_at]],"mmm yyyy")</f>
        <v>Aug 2024</v>
      </c>
      <c r="U691">
        <f>YEAR(support_tickets[[#This Row],[opened_at]])*100+MONTH(support_tickets[[#This Row],[opened_at]])</f>
        <v>202408</v>
      </c>
      <c r="V691" s="29">
        <f>DATE(YEAR(support_tickets[[#This Row],[opened_at]]),MONTH(support_tickets[[#This Row],[opened_at]]),1)</f>
        <v>45505</v>
      </c>
    </row>
    <row r="692" spans="1:22">
      <c r="A692">
        <v>9251842917</v>
      </c>
      <c r="B692">
        <v>493342201</v>
      </c>
      <c r="C692" t="s">
        <v>926</v>
      </c>
      <c r="D692" t="s">
        <v>927</v>
      </c>
      <c r="E692">
        <v>81971316</v>
      </c>
      <c r="G692" s="1">
        <v>45362.482893518521</v>
      </c>
      <c r="H692" s="1">
        <v>45362.678032407406</v>
      </c>
      <c r="I692" t="s">
        <v>56</v>
      </c>
      <c r="J692" t="s">
        <v>86</v>
      </c>
      <c r="K692" t="s">
        <v>26</v>
      </c>
      <c r="L692" t="s">
        <v>21</v>
      </c>
      <c r="M692">
        <v>23</v>
      </c>
      <c r="N692">
        <v>281</v>
      </c>
      <c r="O692">
        <v>0</v>
      </c>
      <c r="P692" t="s">
        <v>87</v>
      </c>
      <c r="Q692">
        <v>1395</v>
      </c>
      <c r="R692" t="s">
        <v>39</v>
      </c>
      <c r="S692">
        <f>IF(support_tickets[[#This Row],[status_cleaned]]="closed",1,0)</f>
        <v>1</v>
      </c>
      <c r="T692" t="str">
        <f>TEXT(support_tickets[[#This Row],[opened_at]],"mmm yyyy")</f>
        <v>Mar 2024</v>
      </c>
      <c r="U692">
        <f>YEAR(support_tickets[[#This Row],[opened_at]])*100+MONTH(support_tickets[[#This Row],[opened_at]])</f>
        <v>202403</v>
      </c>
      <c r="V692" s="29">
        <f>DATE(YEAR(support_tickets[[#This Row],[opened_at]]),MONTH(support_tickets[[#This Row],[opened_at]]),1)</f>
        <v>45352</v>
      </c>
    </row>
    <row r="693" spans="1:22">
      <c r="A693">
        <v>9269704128</v>
      </c>
      <c r="B693">
        <v>459748735</v>
      </c>
      <c r="C693" t="s">
        <v>258</v>
      </c>
      <c r="D693" t="s">
        <v>259</v>
      </c>
      <c r="E693">
        <v>23556182</v>
      </c>
      <c r="G693" s="1">
        <v>45779.156990740739</v>
      </c>
      <c r="H693" s="1">
        <v>45779.524351851855</v>
      </c>
      <c r="I693" t="s">
        <v>46</v>
      </c>
      <c r="J693" t="s">
        <v>38</v>
      </c>
      <c r="K693" t="s">
        <v>26</v>
      </c>
      <c r="L693" t="s">
        <v>21</v>
      </c>
      <c r="M693">
        <v>41</v>
      </c>
      <c r="N693">
        <v>529</v>
      </c>
      <c r="O693">
        <v>0</v>
      </c>
      <c r="P693" t="s">
        <v>40</v>
      </c>
      <c r="Q693">
        <v>1397</v>
      </c>
      <c r="R693" t="s">
        <v>39</v>
      </c>
      <c r="S693">
        <f>IF(support_tickets[[#This Row],[status_cleaned]]="closed",1,0)</f>
        <v>1</v>
      </c>
      <c r="T693" t="str">
        <f>TEXT(support_tickets[[#This Row],[opened_at]],"mmm yyyy")</f>
        <v>May 2025</v>
      </c>
      <c r="U693">
        <f>YEAR(support_tickets[[#This Row],[opened_at]])*100+MONTH(support_tickets[[#This Row],[opened_at]])</f>
        <v>202505</v>
      </c>
      <c r="V693" s="29">
        <f>DATE(YEAR(support_tickets[[#This Row],[opened_at]]),MONTH(support_tickets[[#This Row],[opened_at]]),1)</f>
        <v>45778</v>
      </c>
    </row>
    <row r="694" spans="1:22">
      <c r="A694">
        <v>9305688531</v>
      </c>
      <c r="B694">
        <v>303832812</v>
      </c>
      <c r="C694" t="s">
        <v>1537</v>
      </c>
      <c r="D694" t="s">
        <v>1538</v>
      </c>
      <c r="E694">
        <v>22575562</v>
      </c>
      <c r="F694">
        <v>1558605632</v>
      </c>
      <c r="G694" s="1">
        <v>45878.769317129627</v>
      </c>
      <c r="H694" s="1">
        <v>45879.10056712963</v>
      </c>
      <c r="I694" t="s">
        <v>18</v>
      </c>
      <c r="J694" t="s">
        <v>38</v>
      </c>
      <c r="K694" t="s">
        <v>26</v>
      </c>
      <c r="L694" t="s">
        <v>21</v>
      </c>
      <c r="M694">
        <v>66</v>
      </c>
      <c r="N694">
        <v>477</v>
      </c>
      <c r="O694">
        <v>0</v>
      </c>
      <c r="P694" t="s">
        <v>40</v>
      </c>
      <c r="Q694">
        <v>1401</v>
      </c>
      <c r="R694" t="s">
        <v>39</v>
      </c>
      <c r="S694">
        <f>IF(support_tickets[[#This Row],[status_cleaned]]="closed",1,0)</f>
        <v>1</v>
      </c>
      <c r="T694" t="str">
        <f>TEXT(support_tickets[[#This Row],[opened_at]],"mmm yyyy")</f>
        <v>Aug 2025</v>
      </c>
      <c r="U694">
        <f>YEAR(support_tickets[[#This Row],[opened_at]])*100+MONTH(support_tickets[[#This Row],[opened_at]])</f>
        <v>202508</v>
      </c>
      <c r="V694" s="29">
        <f>DATE(YEAR(support_tickets[[#This Row],[opened_at]]),MONTH(support_tickets[[#This Row],[opened_at]]),1)</f>
        <v>45870</v>
      </c>
    </row>
    <row r="695" spans="1:22">
      <c r="A695">
        <v>9351548768</v>
      </c>
      <c r="B695">
        <v>249027517</v>
      </c>
      <c r="C695" t="s">
        <v>1340</v>
      </c>
      <c r="D695" t="s">
        <v>1341</v>
      </c>
      <c r="E695">
        <v>55667651</v>
      </c>
      <c r="F695">
        <v>8755065294</v>
      </c>
      <c r="G695" s="1">
        <v>45904.200023148151</v>
      </c>
      <c r="H695" s="1">
        <v>45904.279189814813</v>
      </c>
      <c r="I695" t="s">
        <v>46</v>
      </c>
      <c r="J695" t="s">
        <v>86</v>
      </c>
      <c r="K695" t="s">
        <v>26</v>
      </c>
      <c r="L695" t="s">
        <v>21</v>
      </c>
      <c r="M695">
        <v>16</v>
      </c>
      <c r="N695">
        <v>114</v>
      </c>
      <c r="O695">
        <v>0</v>
      </c>
      <c r="P695" t="s">
        <v>87</v>
      </c>
      <c r="Q695">
        <v>1409</v>
      </c>
      <c r="R695" t="s">
        <v>39</v>
      </c>
      <c r="S695">
        <f>IF(support_tickets[[#This Row],[status_cleaned]]="closed",1,0)</f>
        <v>1</v>
      </c>
      <c r="T695" t="str">
        <f>TEXT(support_tickets[[#This Row],[opened_at]],"mmm yyyy")</f>
        <v>Sep 2025</v>
      </c>
      <c r="U695">
        <f>YEAR(support_tickets[[#This Row],[opened_at]])*100+MONTH(support_tickets[[#This Row],[opened_at]])</f>
        <v>202509</v>
      </c>
      <c r="V695" s="29">
        <f>DATE(YEAR(support_tickets[[#This Row],[opened_at]]),MONTH(support_tickets[[#This Row],[opened_at]]),1)</f>
        <v>45901</v>
      </c>
    </row>
    <row r="696" spans="1:22">
      <c r="A696">
        <v>9355830578</v>
      </c>
      <c r="B696">
        <v>847401602</v>
      </c>
      <c r="C696" t="s">
        <v>1427</v>
      </c>
      <c r="D696" t="s">
        <v>1428</v>
      </c>
      <c r="E696">
        <v>72820592</v>
      </c>
      <c r="F696">
        <v>7287605035</v>
      </c>
      <c r="G696" s="1">
        <v>45880.727951388886</v>
      </c>
      <c r="H696" s="1">
        <v>45880.957118055558</v>
      </c>
      <c r="I696" t="s">
        <v>37</v>
      </c>
      <c r="J696" t="s">
        <v>30</v>
      </c>
      <c r="K696" t="s">
        <v>26</v>
      </c>
      <c r="L696" t="s">
        <v>21</v>
      </c>
      <c r="M696">
        <v>53</v>
      </c>
      <c r="N696">
        <v>330</v>
      </c>
      <c r="O696">
        <v>0</v>
      </c>
      <c r="P696" t="s">
        <v>31</v>
      </c>
      <c r="Q696">
        <v>1411</v>
      </c>
      <c r="R696" t="s">
        <v>39</v>
      </c>
      <c r="S696">
        <f>IF(support_tickets[[#This Row],[status_cleaned]]="closed",1,0)</f>
        <v>1</v>
      </c>
      <c r="T696" t="str">
        <f>TEXT(support_tickets[[#This Row],[opened_at]],"mmm yyyy")</f>
        <v>Aug 2025</v>
      </c>
      <c r="U696">
        <f>YEAR(support_tickets[[#This Row],[opened_at]])*100+MONTH(support_tickets[[#This Row],[opened_at]])</f>
        <v>202508</v>
      </c>
      <c r="V696" s="29">
        <f>DATE(YEAR(support_tickets[[#This Row],[opened_at]]),MONTH(support_tickets[[#This Row],[opened_at]]),1)</f>
        <v>45870</v>
      </c>
    </row>
    <row r="697" spans="1:22">
      <c r="A697">
        <v>9395338827</v>
      </c>
      <c r="B697">
        <v>581682167</v>
      </c>
      <c r="C697" t="s">
        <v>1094</v>
      </c>
      <c r="D697" t="s">
        <v>1095</v>
      </c>
      <c r="E697">
        <v>58966946</v>
      </c>
      <c r="G697" s="1">
        <v>46041.05982638889</v>
      </c>
      <c r="H697" s="1">
        <v>46041.316076388888</v>
      </c>
      <c r="I697" t="s">
        <v>52</v>
      </c>
      <c r="J697" t="s">
        <v>59</v>
      </c>
      <c r="K697" t="s">
        <v>26</v>
      </c>
      <c r="L697" t="s">
        <v>21</v>
      </c>
      <c r="M697">
        <v>19</v>
      </c>
      <c r="N697">
        <v>369</v>
      </c>
      <c r="O697">
        <v>0</v>
      </c>
      <c r="P697" t="s">
        <v>61</v>
      </c>
      <c r="Q697">
        <v>1417</v>
      </c>
      <c r="R697" t="s">
        <v>39</v>
      </c>
      <c r="S697">
        <f>IF(support_tickets[[#This Row],[status_cleaned]]="closed",1,0)</f>
        <v>1</v>
      </c>
      <c r="T697" t="str">
        <f>TEXT(support_tickets[[#This Row],[opened_at]],"mmm yyyy")</f>
        <v>Jan 2026</v>
      </c>
      <c r="U697">
        <f>YEAR(support_tickets[[#This Row],[opened_at]])*100+MONTH(support_tickets[[#This Row],[opened_at]])</f>
        <v>202601</v>
      </c>
      <c r="V697" s="29">
        <f>DATE(YEAR(support_tickets[[#This Row],[opened_at]]),MONTH(support_tickets[[#This Row],[opened_at]]),1)</f>
        <v>46023</v>
      </c>
    </row>
    <row r="698" spans="1:22">
      <c r="A698">
        <v>9418700024</v>
      </c>
      <c r="B698">
        <v>120333847</v>
      </c>
      <c r="C698" t="s">
        <v>168</v>
      </c>
      <c r="D698" t="s">
        <v>169</v>
      </c>
      <c r="E698">
        <v>35808537</v>
      </c>
      <c r="G698" s="1">
        <v>45326.012384259258</v>
      </c>
      <c r="H698" s="1">
        <v>45326.242939814816</v>
      </c>
      <c r="I698" t="s">
        <v>52</v>
      </c>
      <c r="J698" t="s">
        <v>30</v>
      </c>
      <c r="K698" t="s">
        <v>26</v>
      </c>
      <c r="L698" t="s">
        <v>21</v>
      </c>
      <c r="M698">
        <v>68</v>
      </c>
      <c r="N698">
        <v>332</v>
      </c>
      <c r="O698">
        <v>0</v>
      </c>
      <c r="P698" t="s">
        <v>31</v>
      </c>
      <c r="Q698">
        <v>1422</v>
      </c>
      <c r="R698" t="s">
        <v>39</v>
      </c>
      <c r="S698">
        <f>IF(support_tickets[[#This Row],[status_cleaned]]="closed",1,0)</f>
        <v>1</v>
      </c>
      <c r="T698" t="str">
        <f>TEXT(support_tickets[[#This Row],[opened_at]],"mmm yyyy")</f>
        <v>Feb 2024</v>
      </c>
      <c r="U698">
        <f>YEAR(support_tickets[[#This Row],[opened_at]])*100+MONTH(support_tickets[[#This Row],[opened_at]])</f>
        <v>202402</v>
      </c>
      <c r="V698" s="29">
        <f>DATE(YEAR(support_tickets[[#This Row],[opened_at]]),MONTH(support_tickets[[#This Row],[opened_at]]),1)</f>
        <v>45323</v>
      </c>
    </row>
    <row r="699" spans="1:22">
      <c r="A699">
        <v>9861808974</v>
      </c>
      <c r="B699">
        <v>838781242</v>
      </c>
      <c r="C699" t="s">
        <v>1439</v>
      </c>
      <c r="D699" t="s">
        <v>1440</v>
      </c>
      <c r="E699">
        <v>41244663</v>
      </c>
      <c r="G699" s="1">
        <v>45737.035266203704</v>
      </c>
      <c r="H699" s="1">
        <v>45737.314432870371</v>
      </c>
      <c r="I699" t="s">
        <v>37</v>
      </c>
      <c r="J699" t="s">
        <v>30</v>
      </c>
      <c r="K699" t="s">
        <v>26</v>
      </c>
      <c r="L699" t="s">
        <v>21</v>
      </c>
      <c r="M699">
        <v>38</v>
      </c>
      <c r="N699">
        <v>402</v>
      </c>
      <c r="O699">
        <v>0</v>
      </c>
      <c r="P699" t="s">
        <v>31</v>
      </c>
      <c r="Q699">
        <v>1488</v>
      </c>
      <c r="R699" t="s">
        <v>39</v>
      </c>
      <c r="S699">
        <f>IF(support_tickets[[#This Row],[status_cleaned]]="closed",1,0)</f>
        <v>1</v>
      </c>
      <c r="T699" t="str">
        <f>TEXT(support_tickets[[#This Row],[opened_at]],"mmm yyyy")</f>
        <v>Mar 2025</v>
      </c>
      <c r="U699">
        <f>YEAR(support_tickets[[#This Row],[opened_at]])*100+MONTH(support_tickets[[#This Row],[opened_at]])</f>
        <v>202503</v>
      </c>
      <c r="V699" s="29">
        <f>DATE(YEAR(support_tickets[[#This Row],[opened_at]]),MONTH(support_tickets[[#This Row],[opened_at]]),1)</f>
        <v>45717</v>
      </c>
    </row>
    <row r="700" spans="1:22">
      <c r="A700">
        <v>9941761270</v>
      </c>
      <c r="B700">
        <v>256819248</v>
      </c>
      <c r="C700" t="s">
        <v>362</v>
      </c>
      <c r="D700" t="s">
        <v>363</v>
      </c>
      <c r="E700">
        <v>19289546</v>
      </c>
      <c r="F700">
        <v>5893467877</v>
      </c>
      <c r="G700" s="1">
        <v>45584.178622685184</v>
      </c>
      <c r="H700" s="1">
        <v>45584.614039351851</v>
      </c>
      <c r="I700" t="s">
        <v>18</v>
      </c>
      <c r="J700" t="s">
        <v>59</v>
      </c>
      <c r="K700" t="s">
        <v>26</v>
      </c>
      <c r="L700" t="s">
        <v>21</v>
      </c>
      <c r="M700">
        <v>13</v>
      </c>
      <c r="N700">
        <v>627</v>
      </c>
      <c r="O700">
        <v>0</v>
      </c>
      <c r="P700" t="s">
        <v>61</v>
      </c>
      <c r="Q700">
        <v>1494</v>
      </c>
      <c r="R700" t="s">
        <v>39</v>
      </c>
      <c r="S700">
        <f>IF(support_tickets[[#This Row],[status_cleaned]]="closed",1,0)</f>
        <v>1</v>
      </c>
      <c r="T700" t="str">
        <f>TEXT(support_tickets[[#This Row],[opened_at]],"mmm yyyy")</f>
        <v>Oct 2024</v>
      </c>
      <c r="U700">
        <f>YEAR(support_tickets[[#This Row],[opened_at]])*100+MONTH(support_tickets[[#This Row],[opened_at]])</f>
        <v>202410</v>
      </c>
      <c r="V700" s="29">
        <f>DATE(YEAR(support_tickets[[#This Row],[opened_at]]),MONTH(support_tickets[[#This Row],[opened_at]]),1)</f>
        <v>45566</v>
      </c>
    </row>
    <row r="701" spans="1:22">
      <c r="A701">
        <v>9964017816</v>
      </c>
      <c r="B701">
        <v>671595541</v>
      </c>
      <c r="C701" t="s">
        <v>1583</v>
      </c>
      <c r="D701" t="s">
        <v>1584</v>
      </c>
      <c r="E701">
        <v>31682744</v>
      </c>
      <c r="G701" s="1">
        <v>45825.578900462962</v>
      </c>
      <c r="H701" s="1">
        <v>45825.785844907405</v>
      </c>
      <c r="I701" t="s">
        <v>43</v>
      </c>
      <c r="J701" t="s">
        <v>86</v>
      </c>
      <c r="K701" t="s">
        <v>26</v>
      </c>
      <c r="L701" t="s">
        <v>21</v>
      </c>
      <c r="M701">
        <v>29</v>
      </c>
      <c r="N701">
        <v>298</v>
      </c>
      <c r="O701">
        <v>0</v>
      </c>
      <c r="P701" t="s">
        <v>87</v>
      </c>
      <c r="Q701">
        <v>1496</v>
      </c>
      <c r="R701" t="s">
        <v>39</v>
      </c>
      <c r="S701">
        <f>IF(support_tickets[[#This Row],[status_cleaned]]="closed",1,0)</f>
        <v>1</v>
      </c>
      <c r="T701" t="str">
        <f>TEXT(support_tickets[[#This Row],[opened_at]],"mmm yyyy")</f>
        <v>Jun 2025</v>
      </c>
      <c r="U701">
        <f>YEAR(support_tickets[[#This Row],[opened_at]])*100+MONTH(support_tickets[[#This Row],[opened_at]])</f>
        <v>202506</v>
      </c>
      <c r="V701" s="29">
        <f>DATE(YEAR(support_tickets[[#This Row],[opened_at]]),MONTH(support_tickets[[#This Row],[opened_at]]),1)</f>
        <v>45809</v>
      </c>
    </row>
    <row r="702" spans="1:22">
      <c r="A702">
        <v>1213934655</v>
      </c>
      <c r="B702">
        <v>208599066</v>
      </c>
      <c r="C702" t="s">
        <v>122</v>
      </c>
      <c r="D702" t="s">
        <v>123</v>
      </c>
      <c r="E702">
        <v>72043515</v>
      </c>
      <c r="G702" s="1">
        <v>45968.383726851855</v>
      </c>
      <c r="H702" s="1">
        <v>45968.444143518522</v>
      </c>
      <c r="I702" t="s">
        <v>43</v>
      </c>
      <c r="J702" t="s">
        <v>19</v>
      </c>
      <c r="K702" t="s">
        <v>47</v>
      </c>
      <c r="L702" t="s">
        <v>39</v>
      </c>
      <c r="M702">
        <v>26</v>
      </c>
      <c r="N702">
        <v>87</v>
      </c>
      <c r="O702">
        <v>0</v>
      </c>
      <c r="P702" t="s">
        <v>22</v>
      </c>
      <c r="Q702">
        <v>40</v>
      </c>
      <c r="R702" t="s">
        <v>39</v>
      </c>
      <c r="S702">
        <f>IF(support_tickets[[#This Row],[status_cleaned]]="closed",1,0)</f>
        <v>1</v>
      </c>
      <c r="T702" t="str">
        <f>TEXT(support_tickets[[#This Row],[opened_at]],"mmm yyyy")</f>
        <v>Nov 2025</v>
      </c>
      <c r="U702">
        <f>YEAR(support_tickets[[#This Row],[opened_at]])*100+MONTH(support_tickets[[#This Row],[opened_at]])</f>
        <v>202511</v>
      </c>
      <c r="V702" s="29">
        <f>DATE(YEAR(support_tickets[[#This Row],[opened_at]]),MONTH(support_tickets[[#This Row],[opened_at]]),1)</f>
        <v>45962</v>
      </c>
    </row>
    <row r="703" spans="1:22">
      <c r="A703">
        <v>1245499456</v>
      </c>
      <c r="B703">
        <v>406084084</v>
      </c>
      <c r="C703" t="s">
        <v>23</v>
      </c>
      <c r="D703" t="s">
        <v>24</v>
      </c>
      <c r="E703">
        <v>66792612</v>
      </c>
      <c r="G703" s="1">
        <v>45979.489722222221</v>
      </c>
      <c r="H703" s="1">
        <v>45979.573055555556</v>
      </c>
      <c r="I703" t="s">
        <v>52</v>
      </c>
      <c r="J703" t="s">
        <v>30</v>
      </c>
      <c r="K703" t="s">
        <v>47</v>
      </c>
      <c r="L703" t="s">
        <v>39</v>
      </c>
      <c r="M703">
        <v>25</v>
      </c>
      <c r="N703">
        <v>120</v>
      </c>
      <c r="O703">
        <v>0</v>
      </c>
      <c r="P703" t="s">
        <v>31</v>
      </c>
      <c r="Q703">
        <v>49</v>
      </c>
      <c r="R703" t="s">
        <v>39</v>
      </c>
      <c r="S703">
        <f>IF(support_tickets[[#This Row],[status_cleaned]]="closed",1,0)</f>
        <v>1</v>
      </c>
      <c r="T703" t="str">
        <f>TEXT(support_tickets[[#This Row],[opened_at]],"mmm yyyy")</f>
        <v>Nov 2025</v>
      </c>
      <c r="U703">
        <f>YEAR(support_tickets[[#This Row],[opened_at]])*100+MONTH(support_tickets[[#This Row],[opened_at]])</f>
        <v>202511</v>
      </c>
      <c r="V703" s="29">
        <f>DATE(YEAR(support_tickets[[#This Row],[opened_at]]),MONTH(support_tickets[[#This Row],[opened_at]]),1)</f>
        <v>45962</v>
      </c>
    </row>
    <row r="704" spans="1:22">
      <c r="A704">
        <v>1285873517</v>
      </c>
      <c r="B704">
        <v>409883716</v>
      </c>
      <c r="C704" t="s">
        <v>35</v>
      </c>
      <c r="D704" t="s">
        <v>36</v>
      </c>
      <c r="E704">
        <v>45812670</v>
      </c>
      <c r="F704">
        <v>6361566970</v>
      </c>
      <c r="G704" s="1">
        <v>45348.457650462966</v>
      </c>
      <c r="H704" s="1">
        <v>45348.537511574075</v>
      </c>
      <c r="I704" t="s">
        <v>3</v>
      </c>
      <c r="J704" t="s">
        <v>38</v>
      </c>
      <c r="K704" t="s">
        <v>47</v>
      </c>
      <c r="L704" t="s">
        <v>39</v>
      </c>
      <c r="M704">
        <v>41</v>
      </c>
      <c r="N704">
        <v>115</v>
      </c>
      <c r="O704">
        <v>0</v>
      </c>
      <c r="P704" t="s">
        <v>40</v>
      </c>
      <c r="Q704">
        <v>59</v>
      </c>
      <c r="R704" t="s">
        <v>39</v>
      </c>
      <c r="S704">
        <f>IF(support_tickets[[#This Row],[status_cleaned]]="closed",1,0)</f>
        <v>1</v>
      </c>
      <c r="T704" t="str">
        <f>TEXT(support_tickets[[#This Row],[opened_at]],"mmm yyyy")</f>
        <v>Feb 2024</v>
      </c>
      <c r="U704">
        <f>YEAR(support_tickets[[#This Row],[opened_at]])*100+MONTH(support_tickets[[#This Row],[opened_at]])</f>
        <v>202402</v>
      </c>
      <c r="V704" s="29">
        <f>DATE(YEAR(support_tickets[[#This Row],[opened_at]]),MONTH(support_tickets[[#This Row],[opened_at]]),1)</f>
        <v>45323</v>
      </c>
    </row>
    <row r="705" spans="1:22">
      <c r="A705">
        <v>1558305950</v>
      </c>
      <c r="B705">
        <v>730104453</v>
      </c>
      <c r="C705" t="s">
        <v>218</v>
      </c>
      <c r="D705" t="s">
        <v>219</v>
      </c>
      <c r="E705">
        <v>84752529</v>
      </c>
      <c r="G705" s="1">
        <v>45773.275405092594</v>
      </c>
      <c r="H705" s="1">
        <v>45773.648321759261</v>
      </c>
      <c r="I705" t="s">
        <v>52</v>
      </c>
      <c r="J705" t="s">
        <v>59</v>
      </c>
      <c r="K705" t="s">
        <v>47</v>
      </c>
      <c r="L705" t="s">
        <v>39</v>
      </c>
      <c r="M705">
        <v>5</v>
      </c>
      <c r="N705">
        <v>537</v>
      </c>
      <c r="O705">
        <v>0</v>
      </c>
      <c r="P705" t="s">
        <v>61</v>
      </c>
      <c r="Q705">
        <v>94</v>
      </c>
      <c r="R705" t="s">
        <v>39</v>
      </c>
      <c r="S705">
        <f>IF(support_tickets[[#This Row],[status_cleaned]]="closed",1,0)</f>
        <v>1</v>
      </c>
      <c r="T705" t="str">
        <f>TEXT(support_tickets[[#This Row],[opened_at]],"mmm yyyy")</f>
        <v>Apr 2025</v>
      </c>
      <c r="U705">
        <f>YEAR(support_tickets[[#This Row],[opened_at]])*100+MONTH(support_tickets[[#This Row],[opened_at]])</f>
        <v>202504</v>
      </c>
      <c r="V705" s="29">
        <f>DATE(YEAR(support_tickets[[#This Row],[opened_at]]),MONTH(support_tickets[[#This Row],[opened_at]]),1)</f>
        <v>45748</v>
      </c>
    </row>
    <row r="706" spans="1:22">
      <c r="A706">
        <v>1568821556</v>
      </c>
      <c r="B706">
        <v>868847524</v>
      </c>
      <c r="C706" t="s">
        <v>222</v>
      </c>
      <c r="D706" t="s">
        <v>223</v>
      </c>
      <c r="E706">
        <v>60185867</v>
      </c>
      <c r="G706" s="1">
        <v>45760.527499999997</v>
      </c>
      <c r="H706" s="1">
        <v>45760.862916666665</v>
      </c>
      <c r="I706" t="s">
        <v>46</v>
      </c>
      <c r="J706" t="s">
        <v>30</v>
      </c>
      <c r="K706" t="s">
        <v>47</v>
      </c>
      <c r="L706" t="s">
        <v>39</v>
      </c>
      <c r="M706">
        <v>31</v>
      </c>
      <c r="N706">
        <v>483</v>
      </c>
      <c r="O706">
        <v>0</v>
      </c>
      <c r="P706" t="s">
        <v>31</v>
      </c>
      <c r="Q706">
        <v>96</v>
      </c>
      <c r="R706" t="s">
        <v>39</v>
      </c>
      <c r="S706">
        <f>IF(support_tickets[[#This Row],[status_cleaned]]="closed",1,0)</f>
        <v>1</v>
      </c>
      <c r="T706" t="str">
        <f>TEXT(support_tickets[[#This Row],[opened_at]],"mmm yyyy")</f>
        <v>Apr 2025</v>
      </c>
      <c r="U706">
        <f>YEAR(support_tickets[[#This Row],[opened_at]])*100+MONTH(support_tickets[[#This Row],[opened_at]])</f>
        <v>202504</v>
      </c>
      <c r="V706" s="29">
        <f>DATE(YEAR(support_tickets[[#This Row],[opened_at]]),MONTH(support_tickets[[#This Row],[opened_at]]),1)</f>
        <v>45748</v>
      </c>
    </row>
    <row r="707" spans="1:22">
      <c r="A707">
        <v>1659754058</v>
      </c>
      <c r="B707">
        <v>459748735</v>
      </c>
      <c r="C707" t="s">
        <v>258</v>
      </c>
      <c r="D707" t="s">
        <v>259</v>
      </c>
      <c r="E707">
        <v>95822412</v>
      </c>
      <c r="G707" s="1">
        <v>45970.85733796296</v>
      </c>
      <c r="H707" s="1">
        <v>45971.111504629633</v>
      </c>
      <c r="I707" t="s">
        <v>52</v>
      </c>
      <c r="J707" t="s">
        <v>25</v>
      </c>
      <c r="K707" t="s">
        <v>47</v>
      </c>
      <c r="L707" t="s">
        <v>39</v>
      </c>
      <c r="M707">
        <v>60</v>
      </c>
      <c r="N707">
        <v>366</v>
      </c>
      <c r="O707">
        <v>0</v>
      </c>
      <c r="P707" t="s">
        <v>27</v>
      </c>
      <c r="Q707">
        <v>116</v>
      </c>
      <c r="R707" t="s">
        <v>39</v>
      </c>
      <c r="S707">
        <f>IF(support_tickets[[#This Row],[status_cleaned]]="closed",1,0)</f>
        <v>1</v>
      </c>
      <c r="T707" t="str">
        <f>TEXT(support_tickets[[#This Row],[opened_at]],"mmm yyyy")</f>
        <v>Nov 2025</v>
      </c>
      <c r="U707">
        <f>YEAR(support_tickets[[#This Row],[opened_at]])*100+MONTH(support_tickets[[#This Row],[opened_at]])</f>
        <v>202511</v>
      </c>
      <c r="V707" s="29">
        <f>DATE(YEAR(support_tickets[[#This Row],[opened_at]]),MONTH(support_tickets[[#This Row],[opened_at]]),1)</f>
        <v>45962</v>
      </c>
    </row>
    <row r="708" spans="1:22">
      <c r="A708">
        <v>1683002790</v>
      </c>
      <c r="B708">
        <v>226444910</v>
      </c>
      <c r="C708" t="s">
        <v>266</v>
      </c>
      <c r="D708" t="s">
        <v>267</v>
      </c>
      <c r="E708">
        <v>97226012</v>
      </c>
      <c r="G708" s="1">
        <v>45609.943483796298</v>
      </c>
      <c r="H708" s="1">
        <v>45610.55667824074</v>
      </c>
      <c r="I708" t="s">
        <v>18</v>
      </c>
      <c r="J708" t="s">
        <v>59</v>
      </c>
      <c r="K708" t="s">
        <v>47</v>
      </c>
      <c r="L708" t="s">
        <v>39</v>
      </c>
      <c r="M708">
        <v>2</v>
      </c>
      <c r="N708">
        <v>883</v>
      </c>
      <c r="O708">
        <v>0</v>
      </c>
      <c r="P708" t="s">
        <v>61</v>
      </c>
      <c r="Q708">
        <v>120</v>
      </c>
      <c r="R708" t="s">
        <v>39</v>
      </c>
      <c r="S708">
        <f>IF(support_tickets[[#This Row],[status_cleaned]]="closed",1,0)</f>
        <v>1</v>
      </c>
      <c r="T708" t="str">
        <f>TEXT(support_tickets[[#This Row],[opened_at]],"mmm yyyy")</f>
        <v>Nov 2024</v>
      </c>
      <c r="U708">
        <f>YEAR(support_tickets[[#This Row],[opened_at]])*100+MONTH(support_tickets[[#This Row],[opened_at]])</f>
        <v>202411</v>
      </c>
      <c r="V708" s="29">
        <f>DATE(YEAR(support_tickets[[#This Row],[opened_at]]),MONTH(support_tickets[[#This Row],[opened_at]]),1)</f>
        <v>45597</v>
      </c>
    </row>
    <row r="709" spans="1:22">
      <c r="A709">
        <v>1703197090</v>
      </c>
      <c r="B709">
        <v>356927167</v>
      </c>
      <c r="C709" t="s">
        <v>272</v>
      </c>
      <c r="D709" t="s">
        <v>273</v>
      </c>
      <c r="E709">
        <v>49349722</v>
      </c>
      <c r="G709" s="1">
        <v>45628.951990740738</v>
      </c>
      <c r="H709" s="1">
        <v>45629.485324074078</v>
      </c>
      <c r="I709" t="s">
        <v>46</v>
      </c>
      <c r="J709" t="s">
        <v>25</v>
      </c>
      <c r="K709" t="s">
        <v>47</v>
      </c>
      <c r="L709" t="s">
        <v>39</v>
      </c>
      <c r="M709">
        <v>68</v>
      </c>
      <c r="N709">
        <v>768</v>
      </c>
      <c r="O709">
        <v>0</v>
      </c>
      <c r="P709" t="s">
        <v>27</v>
      </c>
      <c r="Q709">
        <v>124</v>
      </c>
      <c r="R709" t="s">
        <v>39</v>
      </c>
      <c r="S709">
        <f>IF(support_tickets[[#This Row],[status_cleaned]]="closed",1,0)</f>
        <v>1</v>
      </c>
      <c r="T709" t="str">
        <f>TEXT(support_tickets[[#This Row],[opened_at]],"mmm yyyy")</f>
        <v>Dec 2024</v>
      </c>
      <c r="U709">
        <f>YEAR(support_tickets[[#This Row],[opened_at]])*100+MONTH(support_tickets[[#This Row],[opened_at]])</f>
        <v>202412</v>
      </c>
      <c r="V709" s="29">
        <f>DATE(YEAR(support_tickets[[#This Row],[opened_at]]),MONTH(support_tickets[[#This Row],[opened_at]]),1)</f>
        <v>45627</v>
      </c>
    </row>
    <row r="710" spans="1:22">
      <c r="A710">
        <v>1732838768</v>
      </c>
      <c r="B710">
        <v>415081566</v>
      </c>
      <c r="C710" t="s">
        <v>286</v>
      </c>
      <c r="D710" t="s">
        <v>287</v>
      </c>
      <c r="E710">
        <v>31429110</v>
      </c>
      <c r="G710" s="1">
        <v>45406.316736111112</v>
      </c>
      <c r="H710" s="1">
        <v>45406.438958333332</v>
      </c>
      <c r="I710" t="s">
        <v>56</v>
      </c>
      <c r="J710" t="s">
        <v>19</v>
      </c>
      <c r="K710" t="s">
        <v>47</v>
      </c>
      <c r="L710" t="s">
        <v>39</v>
      </c>
      <c r="M710">
        <v>53</v>
      </c>
      <c r="N710">
        <v>176</v>
      </c>
      <c r="O710">
        <v>0</v>
      </c>
      <c r="P710" t="s">
        <v>22</v>
      </c>
      <c r="Q710">
        <v>132</v>
      </c>
      <c r="R710" t="s">
        <v>39</v>
      </c>
      <c r="S710">
        <f>IF(support_tickets[[#This Row],[status_cleaned]]="closed",1,0)</f>
        <v>1</v>
      </c>
      <c r="T710" t="str">
        <f>TEXT(support_tickets[[#This Row],[opened_at]],"mmm yyyy")</f>
        <v>Apr 2024</v>
      </c>
      <c r="U710">
        <f>YEAR(support_tickets[[#This Row],[opened_at]])*100+MONTH(support_tickets[[#This Row],[opened_at]])</f>
        <v>202404</v>
      </c>
      <c r="V710" s="29">
        <f>DATE(YEAR(support_tickets[[#This Row],[opened_at]]),MONTH(support_tickets[[#This Row],[opened_at]]),1)</f>
        <v>45383</v>
      </c>
    </row>
    <row r="711" spans="1:22">
      <c r="A711">
        <v>1780773101</v>
      </c>
      <c r="B711">
        <v>946066287</v>
      </c>
      <c r="C711" t="s">
        <v>320</v>
      </c>
      <c r="D711" t="s">
        <v>321</v>
      </c>
      <c r="E711">
        <v>23718431</v>
      </c>
      <c r="G711" s="1">
        <v>45967.039687500001</v>
      </c>
      <c r="H711" s="1">
        <v>45967.359131944446</v>
      </c>
      <c r="I711" t="s">
        <v>18</v>
      </c>
      <c r="J711" t="s">
        <v>19</v>
      </c>
      <c r="K711" t="s">
        <v>47</v>
      </c>
      <c r="L711" t="s">
        <v>39</v>
      </c>
      <c r="M711">
        <v>25</v>
      </c>
      <c r="N711">
        <v>460</v>
      </c>
      <c r="O711">
        <v>0</v>
      </c>
      <c r="P711" t="s">
        <v>22</v>
      </c>
      <c r="Q711">
        <v>152</v>
      </c>
      <c r="R711" t="s">
        <v>39</v>
      </c>
      <c r="S711">
        <f>IF(support_tickets[[#This Row],[status_cleaned]]="closed",1,0)</f>
        <v>1</v>
      </c>
      <c r="T711" t="str">
        <f>TEXT(support_tickets[[#This Row],[opened_at]],"mmm yyyy")</f>
        <v>Nov 2025</v>
      </c>
      <c r="U711">
        <f>YEAR(support_tickets[[#This Row],[opened_at]])*100+MONTH(support_tickets[[#This Row],[opened_at]])</f>
        <v>202511</v>
      </c>
      <c r="V711" s="29">
        <f>DATE(YEAR(support_tickets[[#This Row],[opened_at]]),MONTH(support_tickets[[#This Row],[opened_at]]),1)</f>
        <v>45962</v>
      </c>
    </row>
    <row r="712" spans="1:22">
      <c r="A712">
        <v>2005178800</v>
      </c>
      <c r="B712">
        <v>941599226</v>
      </c>
      <c r="C712" t="s">
        <v>396</v>
      </c>
      <c r="D712" t="s">
        <v>397</v>
      </c>
      <c r="E712">
        <v>20709497</v>
      </c>
      <c r="G712" s="1">
        <v>45632.807604166665</v>
      </c>
      <c r="H712" s="1">
        <v>45632.918715277781</v>
      </c>
      <c r="I712" t="s">
        <v>18</v>
      </c>
      <c r="J712" t="s">
        <v>38</v>
      </c>
      <c r="K712" t="s">
        <v>47</v>
      </c>
      <c r="L712" t="s">
        <v>39</v>
      </c>
      <c r="M712">
        <v>40</v>
      </c>
      <c r="N712">
        <v>160</v>
      </c>
      <c r="O712">
        <v>0</v>
      </c>
      <c r="P712" t="s">
        <v>40</v>
      </c>
      <c r="Q712">
        <v>199</v>
      </c>
      <c r="R712" t="s">
        <v>39</v>
      </c>
      <c r="S712">
        <f>IF(support_tickets[[#This Row],[status_cleaned]]="closed",1,0)</f>
        <v>1</v>
      </c>
      <c r="T712" t="str">
        <f>TEXT(support_tickets[[#This Row],[opened_at]],"mmm yyyy")</f>
        <v>Dec 2024</v>
      </c>
      <c r="U712">
        <f>YEAR(support_tickets[[#This Row],[opened_at]])*100+MONTH(support_tickets[[#This Row],[opened_at]])</f>
        <v>202412</v>
      </c>
      <c r="V712" s="29">
        <f>DATE(YEAR(support_tickets[[#This Row],[opened_at]]),MONTH(support_tickets[[#This Row],[opened_at]]),1)</f>
        <v>45627</v>
      </c>
    </row>
    <row r="713" spans="1:22">
      <c r="A713">
        <v>2016027792</v>
      </c>
      <c r="B713">
        <v>642716859</v>
      </c>
      <c r="C713" t="s">
        <v>398</v>
      </c>
      <c r="D713" t="s">
        <v>399</v>
      </c>
      <c r="E713">
        <v>18883684</v>
      </c>
      <c r="F713">
        <v>8585779744</v>
      </c>
      <c r="G713" s="1">
        <v>45977.848541666666</v>
      </c>
      <c r="H713" s="1">
        <v>45978.459652777776</v>
      </c>
      <c r="I713" t="s">
        <v>56</v>
      </c>
      <c r="J713" t="s">
        <v>25</v>
      </c>
      <c r="K713" t="s">
        <v>47</v>
      </c>
      <c r="L713" t="s">
        <v>39</v>
      </c>
      <c r="M713">
        <v>30</v>
      </c>
      <c r="N713">
        <v>880</v>
      </c>
      <c r="O713">
        <v>0</v>
      </c>
      <c r="P713" t="s">
        <v>27</v>
      </c>
      <c r="Q713">
        <v>200</v>
      </c>
      <c r="R713" t="s">
        <v>39</v>
      </c>
      <c r="S713">
        <f>IF(support_tickets[[#This Row],[status_cleaned]]="closed",1,0)</f>
        <v>1</v>
      </c>
      <c r="T713" t="str">
        <f>TEXT(support_tickets[[#This Row],[opened_at]],"mmm yyyy")</f>
        <v>Nov 2025</v>
      </c>
      <c r="U713">
        <f>YEAR(support_tickets[[#This Row],[opened_at]])*100+MONTH(support_tickets[[#This Row],[opened_at]])</f>
        <v>202511</v>
      </c>
      <c r="V713" s="29">
        <f>DATE(YEAR(support_tickets[[#This Row],[opened_at]]),MONTH(support_tickets[[#This Row],[opened_at]]),1)</f>
        <v>45962</v>
      </c>
    </row>
    <row r="714" spans="1:22">
      <c r="A714">
        <v>2183736293</v>
      </c>
      <c r="B714">
        <v>316456682</v>
      </c>
      <c r="C714" t="s">
        <v>430</v>
      </c>
      <c r="D714" t="s">
        <v>431</v>
      </c>
      <c r="E714">
        <v>66722344</v>
      </c>
      <c r="G714" s="1">
        <v>45941.191782407404</v>
      </c>
      <c r="H714" s="1">
        <v>45941.706365740742</v>
      </c>
      <c r="I714" t="s">
        <v>37</v>
      </c>
      <c r="J714" t="s">
        <v>38</v>
      </c>
      <c r="K714" t="s">
        <v>47</v>
      </c>
      <c r="L714" t="s">
        <v>39</v>
      </c>
      <c r="M714">
        <v>27</v>
      </c>
      <c r="N714">
        <v>741</v>
      </c>
      <c r="O714">
        <v>0</v>
      </c>
      <c r="P714" t="s">
        <v>40</v>
      </c>
      <c r="Q714">
        <v>220</v>
      </c>
      <c r="R714" t="s">
        <v>39</v>
      </c>
      <c r="S714">
        <f>IF(support_tickets[[#This Row],[status_cleaned]]="closed",1,0)</f>
        <v>1</v>
      </c>
      <c r="T714" t="str">
        <f>TEXT(support_tickets[[#This Row],[opened_at]],"mmm yyyy")</f>
        <v>Oct 2025</v>
      </c>
      <c r="U714">
        <f>YEAR(support_tickets[[#This Row],[opened_at]])*100+MONTH(support_tickets[[#This Row],[opened_at]])</f>
        <v>202510</v>
      </c>
      <c r="V714" s="29">
        <f>DATE(YEAR(support_tickets[[#This Row],[opened_at]]),MONTH(support_tickets[[#This Row],[opened_at]]),1)</f>
        <v>45931</v>
      </c>
    </row>
    <row r="715" spans="1:22">
      <c r="A715">
        <v>2364919386</v>
      </c>
      <c r="B715">
        <v>567013808</v>
      </c>
      <c r="C715" t="s">
        <v>474</v>
      </c>
      <c r="D715" t="s">
        <v>475</v>
      </c>
      <c r="E715">
        <v>45575298</v>
      </c>
      <c r="F715">
        <v>2149575829</v>
      </c>
      <c r="G715" s="1">
        <v>45318.783645833333</v>
      </c>
      <c r="H715" s="1">
        <v>45318.922534722224</v>
      </c>
      <c r="I715" t="s">
        <v>46</v>
      </c>
      <c r="J715" t="s">
        <v>30</v>
      </c>
      <c r="K715" t="s">
        <v>47</v>
      </c>
      <c r="L715" t="s">
        <v>39</v>
      </c>
      <c r="M715">
        <v>63</v>
      </c>
      <c r="N715">
        <v>200</v>
      </c>
      <c r="O715">
        <v>0</v>
      </c>
      <c r="P715" t="s">
        <v>31</v>
      </c>
      <c r="Q715">
        <v>249</v>
      </c>
      <c r="R715" t="s">
        <v>39</v>
      </c>
      <c r="S715">
        <f>IF(support_tickets[[#This Row],[status_cleaned]]="closed",1,0)</f>
        <v>1</v>
      </c>
      <c r="T715" t="str">
        <f>TEXT(support_tickets[[#This Row],[opened_at]],"mmm yyyy")</f>
        <v>Jan 2024</v>
      </c>
      <c r="U715">
        <f>YEAR(support_tickets[[#This Row],[opened_at]])*100+MONTH(support_tickets[[#This Row],[opened_at]])</f>
        <v>202401</v>
      </c>
      <c r="V715" s="29">
        <f>DATE(YEAR(support_tickets[[#This Row],[opened_at]]),MONTH(support_tickets[[#This Row],[opened_at]]),1)</f>
        <v>45292</v>
      </c>
    </row>
    <row r="716" spans="1:22">
      <c r="A716">
        <v>2399522129</v>
      </c>
      <c r="B716">
        <v>986090690</v>
      </c>
      <c r="C716" t="s">
        <v>460</v>
      </c>
      <c r="D716" t="s">
        <v>461</v>
      </c>
      <c r="E716">
        <v>45812670</v>
      </c>
      <c r="F716">
        <v>2175304017</v>
      </c>
      <c r="G716" s="1">
        <v>45717.154224537036</v>
      </c>
      <c r="H716" s="1">
        <v>45717.625057870369</v>
      </c>
      <c r="I716" t="s">
        <v>3</v>
      </c>
      <c r="J716" t="s">
        <v>30</v>
      </c>
      <c r="K716" t="s">
        <v>47</v>
      </c>
      <c r="L716" t="s">
        <v>39</v>
      </c>
      <c r="M716">
        <v>35</v>
      </c>
      <c r="N716">
        <v>678</v>
      </c>
      <c r="O716">
        <v>0</v>
      </c>
      <c r="P716" t="s">
        <v>31</v>
      </c>
      <c r="Q716">
        <v>254</v>
      </c>
      <c r="R716" t="s">
        <v>39</v>
      </c>
      <c r="S716">
        <f>IF(support_tickets[[#This Row],[status_cleaned]]="closed",1,0)</f>
        <v>1</v>
      </c>
      <c r="T716" t="str">
        <f>TEXT(support_tickets[[#This Row],[opened_at]],"mmm yyyy")</f>
        <v>Mar 2025</v>
      </c>
      <c r="U716">
        <f>YEAR(support_tickets[[#This Row],[opened_at]])*100+MONTH(support_tickets[[#This Row],[opened_at]])</f>
        <v>202503</v>
      </c>
      <c r="V716" s="29">
        <f>DATE(YEAR(support_tickets[[#This Row],[opened_at]]),MONTH(support_tickets[[#This Row],[opened_at]]),1)</f>
        <v>45717</v>
      </c>
    </row>
    <row r="717" spans="1:22">
      <c r="A717">
        <v>2431813429</v>
      </c>
      <c r="B717">
        <v>607294618</v>
      </c>
      <c r="C717" t="s">
        <v>492</v>
      </c>
      <c r="D717" t="s">
        <v>493</v>
      </c>
      <c r="E717">
        <v>25374874</v>
      </c>
      <c r="F717">
        <v>8210601642</v>
      </c>
      <c r="G717" s="1">
        <v>46018.476967592593</v>
      </c>
      <c r="H717" s="1">
        <v>46018.903356481482</v>
      </c>
      <c r="I717" t="s">
        <v>37</v>
      </c>
      <c r="J717" t="s">
        <v>30</v>
      </c>
      <c r="K717" t="s">
        <v>47</v>
      </c>
      <c r="L717" t="s">
        <v>39</v>
      </c>
      <c r="M717">
        <v>43</v>
      </c>
      <c r="N717">
        <v>614</v>
      </c>
      <c r="O717">
        <v>0</v>
      </c>
      <c r="P717" t="s">
        <v>31</v>
      </c>
      <c r="Q717">
        <v>262</v>
      </c>
      <c r="R717" t="s">
        <v>39</v>
      </c>
      <c r="S717">
        <f>IF(support_tickets[[#This Row],[status_cleaned]]="closed",1,0)</f>
        <v>1</v>
      </c>
      <c r="T717" t="str">
        <f>TEXT(support_tickets[[#This Row],[opened_at]],"mmm yyyy")</f>
        <v>Dec 2025</v>
      </c>
      <c r="U717">
        <f>YEAR(support_tickets[[#This Row],[opened_at]])*100+MONTH(support_tickets[[#This Row],[opened_at]])</f>
        <v>202512</v>
      </c>
      <c r="V717" s="29">
        <f>DATE(YEAR(support_tickets[[#This Row],[opened_at]]),MONTH(support_tickets[[#This Row],[opened_at]]),1)</f>
        <v>45992</v>
      </c>
    </row>
    <row r="718" spans="1:22">
      <c r="A718">
        <v>2656323007</v>
      </c>
      <c r="B718">
        <v>244096091</v>
      </c>
      <c r="C718" t="s">
        <v>440</v>
      </c>
      <c r="D718" t="s">
        <v>441</v>
      </c>
      <c r="E718">
        <v>89978790</v>
      </c>
      <c r="G718" s="1">
        <v>45720.955833333333</v>
      </c>
      <c r="H718" s="1">
        <v>45721.476666666669</v>
      </c>
      <c r="I718" t="s">
        <v>3</v>
      </c>
      <c r="J718" t="s">
        <v>19</v>
      </c>
      <c r="K718" t="s">
        <v>47</v>
      </c>
      <c r="L718" t="s">
        <v>39</v>
      </c>
      <c r="M718">
        <v>31</v>
      </c>
      <c r="N718">
        <v>750</v>
      </c>
      <c r="O718">
        <v>0</v>
      </c>
      <c r="P718" t="s">
        <v>22</v>
      </c>
      <c r="Q718">
        <v>295</v>
      </c>
      <c r="R718" t="s">
        <v>39</v>
      </c>
      <c r="S718">
        <f>IF(support_tickets[[#This Row],[status_cleaned]]="closed",1,0)</f>
        <v>1</v>
      </c>
      <c r="T718" t="str">
        <f>TEXT(support_tickets[[#This Row],[opened_at]],"mmm yyyy")</f>
        <v>Mar 2025</v>
      </c>
      <c r="U718">
        <f>YEAR(support_tickets[[#This Row],[opened_at]])*100+MONTH(support_tickets[[#This Row],[opened_at]])</f>
        <v>202503</v>
      </c>
      <c r="V718" s="29">
        <f>DATE(YEAR(support_tickets[[#This Row],[opened_at]]),MONTH(support_tickets[[#This Row],[opened_at]]),1)</f>
        <v>45717</v>
      </c>
    </row>
    <row r="719" spans="1:22">
      <c r="A719">
        <v>2664801050</v>
      </c>
      <c r="B719">
        <v>166874023</v>
      </c>
      <c r="C719" t="s">
        <v>54</v>
      </c>
      <c r="D719" t="s">
        <v>55</v>
      </c>
      <c r="E719">
        <v>26879290</v>
      </c>
      <c r="G719" s="1">
        <v>45361.090069444443</v>
      </c>
      <c r="H719" s="1">
        <v>45361.65048611111</v>
      </c>
      <c r="I719" t="s">
        <v>56</v>
      </c>
      <c r="J719" t="s">
        <v>25</v>
      </c>
      <c r="K719" t="s">
        <v>47</v>
      </c>
      <c r="L719" t="s">
        <v>39</v>
      </c>
      <c r="M719">
        <v>26</v>
      </c>
      <c r="N719">
        <v>807</v>
      </c>
      <c r="O719">
        <v>0</v>
      </c>
      <c r="P719" t="s">
        <v>27</v>
      </c>
      <c r="Q719">
        <v>296</v>
      </c>
      <c r="R719" t="s">
        <v>39</v>
      </c>
      <c r="S719">
        <f>IF(support_tickets[[#This Row],[status_cleaned]]="closed",1,0)</f>
        <v>1</v>
      </c>
      <c r="T719" t="str">
        <f>TEXT(support_tickets[[#This Row],[opened_at]],"mmm yyyy")</f>
        <v>Mar 2024</v>
      </c>
      <c r="U719">
        <f>YEAR(support_tickets[[#This Row],[opened_at]])*100+MONTH(support_tickets[[#This Row],[opened_at]])</f>
        <v>202403</v>
      </c>
      <c r="V719" s="29">
        <f>DATE(YEAR(support_tickets[[#This Row],[opened_at]]),MONTH(support_tickets[[#This Row],[opened_at]]),1)</f>
        <v>45352</v>
      </c>
    </row>
    <row r="720" spans="1:22">
      <c r="A720">
        <v>2872140357</v>
      </c>
      <c r="B720">
        <v>430366556</v>
      </c>
      <c r="C720" t="s">
        <v>592</v>
      </c>
      <c r="D720" t="s">
        <v>593</v>
      </c>
      <c r="E720">
        <v>71586053</v>
      </c>
      <c r="G720" s="1">
        <v>45790.066099537034</v>
      </c>
      <c r="H720" s="1">
        <v>45790.139016203706</v>
      </c>
      <c r="I720" t="s">
        <v>37</v>
      </c>
      <c r="J720" t="s">
        <v>59</v>
      </c>
      <c r="K720" t="s">
        <v>47</v>
      </c>
      <c r="L720" t="s">
        <v>39</v>
      </c>
      <c r="M720">
        <v>42</v>
      </c>
      <c r="N720">
        <v>105</v>
      </c>
      <c r="O720">
        <v>0</v>
      </c>
      <c r="P720" t="s">
        <v>61</v>
      </c>
      <c r="Q720">
        <v>336</v>
      </c>
      <c r="R720" t="s">
        <v>39</v>
      </c>
      <c r="S720">
        <f>IF(support_tickets[[#This Row],[status_cleaned]]="closed",1,0)</f>
        <v>1</v>
      </c>
      <c r="T720" t="str">
        <f>TEXT(support_tickets[[#This Row],[opened_at]],"mmm yyyy")</f>
        <v>May 2025</v>
      </c>
      <c r="U720">
        <f>YEAR(support_tickets[[#This Row],[opened_at]])*100+MONTH(support_tickets[[#This Row],[opened_at]])</f>
        <v>202505</v>
      </c>
      <c r="V720" s="29">
        <f>DATE(YEAR(support_tickets[[#This Row],[opened_at]]),MONTH(support_tickets[[#This Row],[opened_at]]),1)</f>
        <v>45778</v>
      </c>
    </row>
    <row r="721" spans="1:22">
      <c r="A721">
        <v>2983672651</v>
      </c>
      <c r="B721">
        <v>272134062</v>
      </c>
      <c r="C721" t="s">
        <v>626</v>
      </c>
      <c r="D721" t="s">
        <v>627</v>
      </c>
      <c r="E721">
        <v>70291817</v>
      </c>
      <c r="G721" s="1">
        <v>45893.824421296296</v>
      </c>
      <c r="H721" s="1">
        <v>45894.266087962962</v>
      </c>
      <c r="I721" t="s">
        <v>56</v>
      </c>
      <c r="J721" t="s">
        <v>19</v>
      </c>
      <c r="K721" t="s">
        <v>47</v>
      </c>
      <c r="L721" t="s">
        <v>39</v>
      </c>
      <c r="M721">
        <v>72</v>
      </c>
      <c r="N721">
        <v>636</v>
      </c>
      <c r="O721">
        <v>0</v>
      </c>
      <c r="P721" t="s">
        <v>22</v>
      </c>
      <c r="Q721">
        <v>358</v>
      </c>
      <c r="R721" t="s">
        <v>39</v>
      </c>
      <c r="S721">
        <f>IF(support_tickets[[#This Row],[status_cleaned]]="closed",1,0)</f>
        <v>1</v>
      </c>
      <c r="T721" t="str">
        <f>TEXT(support_tickets[[#This Row],[opened_at]],"mmm yyyy")</f>
        <v>Aug 2025</v>
      </c>
      <c r="U721">
        <f>YEAR(support_tickets[[#This Row],[opened_at]])*100+MONTH(support_tickets[[#This Row],[opened_at]])</f>
        <v>202508</v>
      </c>
      <c r="V721" s="29">
        <f>DATE(YEAR(support_tickets[[#This Row],[opened_at]]),MONTH(support_tickets[[#This Row],[opened_at]]),1)</f>
        <v>45870</v>
      </c>
    </row>
    <row r="722" spans="1:22">
      <c r="A722">
        <v>3041045082</v>
      </c>
      <c r="B722">
        <v>231680929</v>
      </c>
      <c r="C722" t="s">
        <v>202</v>
      </c>
      <c r="D722" t="s">
        <v>203</v>
      </c>
      <c r="E722">
        <v>58966946</v>
      </c>
      <c r="F722">
        <v>8503699096</v>
      </c>
      <c r="G722" s="1">
        <v>45582.015231481484</v>
      </c>
      <c r="H722" s="1">
        <v>45582.308981481481</v>
      </c>
      <c r="I722" t="s">
        <v>56</v>
      </c>
      <c r="J722" t="s">
        <v>59</v>
      </c>
      <c r="K722" t="s">
        <v>47</v>
      </c>
      <c r="L722" t="s">
        <v>39</v>
      </c>
      <c r="M722">
        <v>63</v>
      </c>
      <c r="N722">
        <v>423</v>
      </c>
      <c r="O722">
        <v>0</v>
      </c>
      <c r="P722" t="s">
        <v>61</v>
      </c>
      <c r="Q722">
        <v>373</v>
      </c>
      <c r="R722" t="s">
        <v>39</v>
      </c>
      <c r="S722">
        <f>IF(support_tickets[[#This Row],[status_cleaned]]="closed",1,0)</f>
        <v>1</v>
      </c>
      <c r="T722" t="str">
        <f>TEXT(support_tickets[[#This Row],[opened_at]],"mmm yyyy")</f>
        <v>Oct 2024</v>
      </c>
      <c r="U722">
        <f>YEAR(support_tickets[[#This Row],[opened_at]])*100+MONTH(support_tickets[[#This Row],[opened_at]])</f>
        <v>202410</v>
      </c>
      <c r="V722" s="29">
        <f>DATE(YEAR(support_tickets[[#This Row],[opened_at]]),MONTH(support_tickets[[#This Row],[opened_at]]),1)</f>
        <v>45566</v>
      </c>
    </row>
    <row r="723" spans="1:22">
      <c r="A723">
        <v>3054567093</v>
      </c>
      <c r="B723">
        <v>587853601</v>
      </c>
      <c r="C723" t="s">
        <v>648</v>
      </c>
      <c r="D723" t="s">
        <v>649</v>
      </c>
      <c r="E723">
        <v>76238574</v>
      </c>
      <c r="G723" s="1">
        <v>45678.724409722221</v>
      </c>
      <c r="H723" s="1">
        <v>45678.793854166666</v>
      </c>
      <c r="I723" t="s">
        <v>37</v>
      </c>
      <c r="J723" t="s">
        <v>25</v>
      </c>
      <c r="K723" t="s">
        <v>47</v>
      </c>
      <c r="L723" t="s">
        <v>39</v>
      </c>
      <c r="M723">
        <v>52</v>
      </c>
      <c r="N723">
        <v>100</v>
      </c>
      <c r="O723">
        <v>0</v>
      </c>
      <c r="P723" t="s">
        <v>27</v>
      </c>
      <c r="Q723">
        <v>375</v>
      </c>
      <c r="R723" t="s">
        <v>39</v>
      </c>
      <c r="S723">
        <f>IF(support_tickets[[#This Row],[status_cleaned]]="closed",1,0)</f>
        <v>1</v>
      </c>
      <c r="T723" t="str">
        <f>TEXT(support_tickets[[#This Row],[opened_at]],"mmm yyyy")</f>
        <v>Jan 2025</v>
      </c>
      <c r="U723">
        <f>YEAR(support_tickets[[#This Row],[opened_at]])*100+MONTH(support_tickets[[#This Row],[opened_at]])</f>
        <v>202501</v>
      </c>
      <c r="V723" s="29">
        <f>DATE(YEAR(support_tickets[[#This Row],[opened_at]]),MONTH(support_tickets[[#This Row],[opened_at]]),1)</f>
        <v>45658</v>
      </c>
    </row>
    <row r="724" spans="1:22">
      <c r="A724">
        <v>3123741586</v>
      </c>
      <c r="B724">
        <v>487195336</v>
      </c>
      <c r="C724" t="s">
        <v>664</v>
      </c>
      <c r="D724" t="s">
        <v>665</v>
      </c>
      <c r="E724">
        <v>80823176</v>
      </c>
      <c r="G724" s="1">
        <v>45616.663090277776</v>
      </c>
      <c r="H724" s="1">
        <v>45616.972118055557</v>
      </c>
      <c r="I724" t="s">
        <v>3</v>
      </c>
      <c r="J724" t="s">
        <v>86</v>
      </c>
      <c r="K724" t="s">
        <v>47</v>
      </c>
      <c r="L724" t="s">
        <v>39</v>
      </c>
      <c r="M724">
        <v>110</v>
      </c>
      <c r="N724">
        <v>445</v>
      </c>
      <c r="O724">
        <v>0</v>
      </c>
      <c r="P724" t="s">
        <v>87</v>
      </c>
      <c r="Q724">
        <v>385</v>
      </c>
      <c r="R724" t="s">
        <v>39</v>
      </c>
      <c r="S724">
        <f>IF(support_tickets[[#This Row],[status_cleaned]]="closed",1,0)</f>
        <v>1</v>
      </c>
      <c r="T724" t="str">
        <f>TEXT(support_tickets[[#This Row],[opened_at]],"mmm yyyy")</f>
        <v>Nov 2024</v>
      </c>
      <c r="U724">
        <f>YEAR(support_tickets[[#This Row],[opened_at]])*100+MONTH(support_tickets[[#This Row],[opened_at]])</f>
        <v>202411</v>
      </c>
      <c r="V724" s="29">
        <f>DATE(YEAR(support_tickets[[#This Row],[opened_at]]),MONTH(support_tickets[[#This Row],[opened_at]]),1)</f>
        <v>45597</v>
      </c>
    </row>
    <row r="725" spans="1:22">
      <c r="A725">
        <v>3284482549</v>
      </c>
      <c r="B725">
        <v>756102581</v>
      </c>
      <c r="C725" t="s">
        <v>688</v>
      </c>
      <c r="D725" t="s">
        <v>689</v>
      </c>
      <c r="E725">
        <v>25014631</v>
      </c>
      <c r="G725" s="1">
        <v>45977.111331018517</v>
      </c>
      <c r="H725" s="1">
        <v>45977.665497685186</v>
      </c>
      <c r="I725" t="s">
        <v>46</v>
      </c>
      <c r="J725" t="s">
        <v>86</v>
      </c>
      <c r="K725" t="s">
        <v>47</v>
      </c>
      <c r="L725" t="s">
        <v>39</v>
      </c>
      <c r="M725">
        <v>50</v>
      </c>
      <c r="N725">
        <v>798</v>
      </c>
      <c r="O725">
        <v>0</v>
      </c>
      <c r="P725" t="s">
        <v>87</v>
      </c>
      <c r="Q725">
        <v>407</v>
      </c>
      <c r="R725" t="s">
        <v>39</v>
      </c>
      <c r="S725">
        <f>IF(support_tickets[[#This Row],[status_cleaned]]="closed",1,0)</f>
        <v>1</v>
      </c>
      <c r="T725" t="str">
        <f>TEXT(support_tickets[[#This Row],[opened_at]],"mmm yyyy")</f>
        <v>Nov 2025</v>
      </c>
      <c r="U725">
        <f>YEAR(support_tickets[[#This Row],[opened_at]])*100+MONTH(support_tickets[[#This Row],[opened_at]])</f>
        <v>202511</v>
      </c>
      <c r="V725" s="29">
        <f>DATE(YEAR(support_tickets[[#This Row],[opened_at]]),MONTH(support_tickets[[#This Row],[opened_at]]),1)</f>
        <v>45962</v>
      </c>
    </row>
    <row r="726" spans="1:22">
      <c r="A726">
        <v>3305711735</v>
      </c>
      <c r="B726">
        <v>179512774</v>
      </c>
      <c r="C726" t="s">
        <v>696</v>
      </c>
      <c r="D726" t="s">
        <v>697</v>
      </c>
      <c r="E726">
        <v>43101783</v>
      </c>
      <c r="G726" s="1">
        <v>45518.076388888891</v>
      </c>
      <c r="H726" s="1">
        <v>45518.563194444447</v>
      </c>
      <c r="I726" t="s">
        <v>18</v>
      </c>
      <c r="J726" t="s">
        <v>30</v>
      </c>
      <c r="K726" t="s">
        <v>47</v>
      </c>
      <c r="L726" t="s">
        <v>39</v>
      </c>
      <c r="M726">
        <v>33</v>
      </c>
      <c r="N726">
        <v>701</v>
      </c>
      <c r="O726">
        <v>0</v>
      </c>
      <c r="P726" t="s">
        <v>31</v>
      </c>
      <c r="Q726">
        <v>413</v>
      </c>
      <c r="R726" t="s">
        <v>39</v>
      </c>
      <c r="S726">
        <f>IF(support_tickets[[#This Row],[status_cleaned]]="closed",1,0)</f>
        <v>1</v>
      </c>
      <c r="T726" t="str">
        <f>TEXT(support_tickets[[#This Row],[opened_at]],"mmm yyyy")</f>
        <v>Aug 2024</v>
      </c>
      <c r="U726">
        <f>YEAR(support_tickets[[#This Row],[opened_at]])*100+MONTH(support_tickets[[#This Row],[opened_at]])</f>
        <v>202408</v>
      </c>
      <c r="V726" s="29">
        <f>DATE(YEAR(support_tickets[[#This Row],[opened_at]]),MONTH(support_tickets[[#This Row],[opened_at]]),1)</f>
        <v>45505</v>
      </c>
    </row>
    <row r="727" spans="1:22">
      <c r="A727">
        <v>3312094332</v>
      </c>
      <c r="B727">
        <v>220483278</v>
      </c>
      <c r="C727" t="s">
        <v>700</v>
      </c>
      <c r="D727" t="s">
        <v>701</v>
      </c>
      <c r="E727">
        <v>46913810</v>
      </c>
      <c r="G727" s="1">
        <v>45843.911076388889</v>
      </c>
      <c r="H727" s="1">
        <v>45844.414548611108</v>
      </c>
      <c r="I727" t="s">
        <v>37</v>
      </c>
      <c r="J727" t="s">
        <v>86</v>
      </c>
      <c r="K727" t="s">
        <v>47</v>
      </c>
      <c r="L727" t="s">
        <v>39</v>
      </c>
      <c r="M727">
        <v>53</v>
      </c>
      <c r="N727">
        <v>725</v>
      </c>
      <c r="O727">
        <v>0</v>
      </c>
      <c r="P727" t="s">
        <v>87</v>
      </c>
      <c r="Q727">
        <v>415</v>
      </c>
      <c r="R727" t="s">
        <v>39</v>
      </c>
      <c r="S727">
        <f>IF(support_tickets[[#This Row],[status_cleaned]]="closed",1,0)</f>
        <v>1</v>
      </c>
      <c r="T727" t="str">
        <f>TEXT(support_tickets[[#This Row],[opened_at]],"mmm yyyy")</f>
        <v>Jul 2025</v>
      </c>
      <c r="U727">
        <f>YEAR(support_tickets[[#This Row],[opened_at]])*100+MONTH(support_tickets[[#This Row],[opened_at]])</f>
        <v>202507</v>
      </c>
      <c r="V727" s="29">
        <f>DATE(YEAR(support_tickets[[#This Row],[opened_at]]),MONTH(support_tickets[[#This Row],[opened_at]]),1)</f>
        <v>45839</v>
      </c>
    </row>
    <row r="728" spans="1:22">
      <c r="A728">
        <v>3341857514</v>
      </c>
      <c r="B728">
        <v>416779880</v>
      </c>
      <c r="C728" t="s">
        <v>710</v>
      </c>
      <c r="D728" t="s">
        <v>711</v>
      </c>
      <c r="E728">
        <v>38119557</v>
      </c>
      <c r="G728" s="1">
        <v>46001.934421296297</v>
      </c>
      <c r="H728" s="1">
        <v>46002.021921296298</v>
      </c>
      <c r="I728" t="s">
        <v>46</v>
      </c>
      <c r="J728" t="s">
        <v>38</v>
      </c>
      <c r="K728" t="s">
        <v>47</v>
      </c>
      <c r="L728" t="s">
        <v>39</v>
      </c>
      <c r="M728">
        <v>69</v>
      </c>
      <c r="N728">
        <v>126</v>
      </c>
      <c r="O728">
        <v>0</v>
      </c>
      <c r="P728" t="s">
        <v>40</v>
      </c>
      <c r="Q728">
        <v>422</v>
      </c>
      <c r="R728" t="s">
        <v>39</v>
      </c>
      <c r="S728">
        <f>IF(support_tickets[[#This Row],[status_cleaned]]="closed",1,0)</f>
        <v>1</v>
      </c>
      <c r="T728" t="str">
        <f>TEXT(support_tickets[[#This Row],[opened_at]],"mmm yyyy")</f>
        <v>Dec 2025</v>
      </c>
      <c r="U728">
        <f>YEAR(support_tickets[[#This Row],[opened_at]])*100+MONTH(support_tickets[[#This Row],[opened_at]])</f>
        <v>202512</v>
      </c>
      <c r="V728" s="29">
        <f>DATE(YEAR(support_tickets[[#This Row],[opened_at]]),MONTH(support_tickets[[#This Row],[opened_at]]),1)</f>
        <v>45992</v>
      </c>
    </row>
    <row r="729" spans="1:22">
      <c r="A729">
        <v>3426768854</v>
      </c>
      <c r="B729">
        <v>470228863</v>
      </c>
      <c r="C729" t="s">
        <v>738</v>
      </c>
      <c r="D729" t="s">
        <v>739</v>
      </c>
      <c r="E729">
        <v>24716857</v>
      </c>
      <c r="F729">
        <v>8767592581</v>
      </c>
      <c r="G729" s="1">
        <v>45629.045995370368</v>
      </c>
      <c r="H729" s="1">
        <v>45629.261967592596</v>
      </c>
      <c r="I729" t="s">
        <v>56</v>
      </c>
      <c r="J729" t="s">
        <v>19</v>
      </c>
      <c r="K729" t="s">
        <v>47</v>
      </c>
      <c r="L729" t="s">
        <v>39</v>
      </c>
      <c r="M729">
        <v>53</v>
      </c>
      <c r="N729">
        <v>311</v>
      </c>
      <c r="O729">
        <v>0</v>
      </c>
      <c r="P729" t="s">
        <v>22</v>
      </c>
      <c r="Q729">
        <v>438</v>
      </c>
      <c r="R729" t="s">
        <v>39</v>
      </c>
      <c r="S729">
        <f>IF(support_tickets[[#This Row],[status_cleaned]]="closed",1,0)</f>
        <v>1</v>
      </c>
      <c r="T729" t="str">
        <f>TEXT(support_tickets[[#This Row],[opened_at]],"mmm yyyy")</f>
        <v>Dec 2024</v>
      </c>
      <c r="U729">
        <f>YEAR(support_tickets[[#This Row],[opened_at]])*100+MONTH(support_tickets[[#This Row],[opened_at]])</f>
        <v>202412</v>
      </c>
      <c r="V729" s="29">
        <f>DATE(YEAR(support_tickets[[#This Row],[opened_at]]),MONTH(support_tickets[[#This Row],[opened_at]]),1)</f>
        <v>45627</v>
      </c>
    </row>
    <row r="730" spans="1:22">
      <c r="A730">
        <v>3482007078</v>
      </c>
      <c r="B730">
        <v>478557676</v>
      </c>
      <c r="C730" t="s">
        <v>750</v>
      </c>
      <c r="D730" t="s">
        <v>751</v>
      </c>
      <c r="E730">
        <v>29175900</v>
      </c>
      <c r="G730" s="1">
        <v>45438.512870370374</v>
      </c>
      <c r="H730" s="1">
        <v>45438.632314814815</v>
      </c>
      <c r="I730" t="s">
        <v>52</v>
      </c>
      <c r="J730" t="s">
        <v>38</v>
      </c>
      <c r="K730" t="s">
        <v>47</v>
      </c>
      <c r="L730" t="s">
        <v>39</v>
      </c>
      <c r="M730">
        <v>62</v>
      </c>
      <c r="N730">
        <v>172</v>
      </c>
      <c r="O730">
        <v>0</v>
      </c>
      <c r="P730" t="s">
        <v>40</v>
      </c>
      <c r="Q730">
        <v>446</v>
      </c>
      <c r="R730" t="s">
        <v>39</v>
      </c>
      <c r="S730">
        <f>IF(support_tickets[[#This Row],[status_cleaned]]="closed",1,0)</f>
        <v>1</v>
      </c>
      <c r="T730" t="str">
        <f>TEXT(support_tickets[[#This Row],[opened_at]],"mmm yyyy")</f>
        <v>May 2024</v>
      </c>
      <c r="U730">
        <f>YEAR(support_tickets[[#This Row],[opened_at]])*100+MONTH(support_tickets[[#This Row],[opened_at]])</f>
        <v>202405</v>
      </c>
      <c r="V730" s="29">
        <f>DATE(YEAR(support_tickets[[#This Row],[opened_at]]),MONTH(support_tickets[[#This Row],[opened_at]]),1)</f>
        <v>45413</v>
      </c>
    </row>
    <row r="731" spans="1:22">
      <c r="A731">
        <v>3640494685</v>
      </c>
      <c r="B731">
        <v>471539452</v>
      </c>
      <c r="C731" t="s">
        <v>782</v>
      </c>
      <c r="D731" t="s">
        <v>783</v>
      </c>
      <c r="E731">
        <v>58718453</v>
      </c>
      <c r="G731" s="1">
        <v>45905.273668981485</v>
      </c>
      <c r="H731" s="1">
        <v>45905.881307870368</v>
      </c>
      <c r="I731" t="s">
        <v>56</v>
      </c>
      <c r="J731" t="s">
        <v>30</v>
      </c>
      <c r="K731" t="s">
        <v>47</v>
      </c>
      <c r="L731" t="s">
        <v>39</v>
      </c>
      <c r="M731">
        <v>44</v>
      </c>
      <c r="N731">
        <v>875</v>
      </c>
      <c r="O731">
        <v>0</v>
      </c>
      <c r="P731" t="s">
        <v>31</v>
      </c>
      <c r="Q731">
        <v>472</v>
      </c>
      <c r="R731" t="s">
        <v>39</v>
      </c>
      <c r="S731">
        <f>IF(support_tickets[[#This Row],[status_cleaned]]="closed",1,0)</f>
        <v>1</v>
      </c>
      <c r="T731" t="str">
        <f>TEXT(support_tickets[[#This Row],[opened_at]],"mmm yyyy")</f>
        <v>Sep 2025</v>
      </c>
      <c r="U731">
        <f>YEAR(support_tickets[[#This Row],[opened_at]])*100+MONTH(support_tickets[[#This Row],[opened_at]])</f>
        <v>202509</v>
      </c>
      <c r="V731" s="29">
        <f>DATE(YEAR(support_tickets[[#This Row],[opened_at]]),MONTH(support_tickets[[#This Row],[opened_at]]),1)</f>
        <v>45901</v>
      </c>
    </row>
    <row r="732" spans="1:22">
      <c r="A732">
        <v>3752718584</v>
      </c>
      <c r="B732">
        <v>166874023</v>
      </c>
      <c r="C732" t="s">
        <v>54</v>
      </c>
      <c r="D732" t="s">
        <v>55</v>
      </c>
      <c r="E732">
        <v>45833156</v>
      </c>
      <c r="G732" s="1">
        <v>45678.303240740737</v>
      </c>
      <c r="H732" s="1">
        <v>45678.780324074076</v>
      </c>
      <c r="I732" t="s">
        <v>18</v>
      </c>
      <c r="J732" t="s">
        <v>25</v>
      </c>
      <c r="K732" t="s">
        <v>47</v>
      </c>
      <c r="L732" t="s">
        <v>39</v>
      </c>
      <c r="M732">
        <v>35</v>
      </c>
      <c r="N732">
        <v>687</v>
      </c>
      <c r="O732">
        <v>0</v>
      </c>
      <c r="P732" t="s">
        <v>27</v>
      </c>
      <c r="Q732">
        <v>492</v>
      </c>
      <c r="R732" t="s">
        <v>39</v>
      </c>
      <c r="S732">
        <f>IF(support_tickets[[#This Row],[status_cleaned]]="closed",1,0)</f>
        <v>1</v>
      </c>
      <c r="T732" t="str">
        <f>TEXT(support_tickets[[#This Row],[opened_at]],"mmm yyyy")</f>
        <v>Jan 2025</v>
      </c>
      <c r="U732">
        <f>YEAR(support_tickets[[#This Row],[opened_at]])*100+MONTH(support_tickets[[#This Row],[opened_at]])</f>
        <v>202501</v>
      </c>
      <c r="V732" s="29">
        <f>DATE(YEAR(support_tickets[[#This Row],[opened_at]]),MONTH(support_tickets[[#This Row],[opened_at]]),1)</f>
        <v>45658</v>
      </c>
    </row>
    <row r="733" spans="1:22">
      <c r="A733">
        <v>3963929215</v>
      </c>
      <c r="B733">
        <v>927720428</v>
      </c>
      <c r="C733" t="s">
        <v>836</v>
      </c>
      <c r="D733" t="s">
        <v>837</v>
      </c>
      <c r="E733">
        <v>17507864</v>
      </c>
      <c r="G733" s="1">
        <v>45407.764722222222</v>
      </c>
      <c r="H733" s="1">
        <v>45407.967499999999</v>
      </c>
      <c r="I733" t="s">
        <v>43</v>
      </c>
      <c r="J733" t="s">
        <v>25</v>
      </c>
      <c r="K733" t="s">
        <v>47</v>
      </c>
      <c r="L733" t="s">
        <v>39</v>
      </c>
      <c r="M733">
        <v>33</v>
      </c>
      <c r="N733">
        <v>292</v>
      </c>
      <c r="O733">
        <v>0</v>
      </c>
      <c r="P733" t="s">
        <v>27</v>
      </c>
      <c r="Q733">
        <v>516</v>
      </c>
      <c r="R733" t="s">
        <v>39</v>
      </c>
      <c r="S733">
        <f>IF(support_tickets[[#This Row],[status_cleaned]]="closed",1,0)</f>
        <v>1</v>
      </c>
      <c r="T733" t="str">
        <f>TEXT(support_tickets[[#This Row],[opened_at]],"mmm yyyy")</f>
        <v>Apr 2024</v>
      </c>
      <c r="U733">
        <f>YEAR(support_tickets[[#This Row],[opened_at]])*100+MONTH(support_tickets[[#This Row],[opened_at]])</f>
        <v>202404</v>
      </c>
      <c r="V733" s="29">
        <f>DATE(YEAR(support_tickets[[#This Row],[opened_at]]),MONTH(support_tickets[[#This Row],[opened_at]]),1)</f>
        <v>45383</v>
      </c>
    </row>
    <row r="734" spans="1:22">
      <c r="A734">
        <v>4232557668</v>
      </c>
      <c r="B734">
        <v>419561201</v>
      </c>
      <c r="C734" t="s">
        <v>174</v>
      </c>
      <c r="D734" t="s">
        <v>175</v>
      </c>
      <c r="E734">
        <v>45812670</v>
      </c>
      <c r="G734" s="1">
        <v>46062.185381944444</v>
      </c>
      <c r="H734" s="1">
        <v>46062.670798611114</v>
      </c>
      <c r="I734" t="s">
        <v>43</v>
      </c>
      <c r="J734" t="s">
        <v>59</v>
      </c>
      <c r="K734" t="s">
        <v>47</v>
      </c>
      <c r="L734" t="s">
        <v>39</v>
      </c>
      <c r="M734">
        <v>17</v>
      </c>
      <c r="N734">
        <v>699</v>
      </c>
      <c r="O734">
        <v>0</v>
      </c>
      <c r="P734" t="s">
        <v>61</v>
      </c>
      <c r="Q734">
        <v>557</v>
      </c>
      <c r="R734" t="s">
        <v>39</v>
      </c>
      <c r="S734">
        <f>IF(support_tickets[[#This Row],[status_cleaned]]="closed",1,0)</f>
        <v>1</v>
      </c>
      <c r="T734" t="str">
        <f>TEXT(support_tickets[[#This Row],[opened_at]],"mmm yyyy")</f>
        <v>Feb 2026</v>
      </c>
      <c r="U734">
        <f>YEAR(support_tickets[[#This Row],[opened_at]])*100+MONTH(support_tickets[[#This Row],[opened_at]])</f>
        <v>202602</v>
      </c>
      <c r="V734" s="29">
        <f>DATE(YEAR(support_tickets[[#This Row],[opened_at]]),MONTH(support_tickets[[#This Row],[opened_at]]),1)</f>
        <v>46054</v>
      </c>
    </row>
    <row r="735" spans="1:22">
      <c r="A735">
        <v>4242622958</v>
      </c>
      <c r="B735">
        <v>714327645</v>
      </c>
      <c r="C735" t="s">
        <v>886</v>
      </c>
      <c r="D735" t="s">
        <v>887</v>
      </c>
      <c r="E735">
        <v>90801586</v>
      </c>
      <c r="F735">
        <v>1069888983</v>
      </c>
      <c r="G735" s="1">
        <v>45751.33326388889</v>
      </c>
      <c r="H735" s="1">
        <v>45751.971458333333</v>
      </c>
      <c r="I735" t="s">
        <v>3</v>
      </c>
      <c r="J735" t="s">
        <v>86</v>
      </c>
      <c r="K735" t="s">
        <v>47</v>
      </c>
      <c r="L735" t="s">
        <v>39</v>
      </c>
      <c r="M735">
        <v>47</v>
      </c>
      <c r="N735">
        <v>919</v>
      </c>
      <c r="O735">
        <v>0</v>
      </c>
      <c r="P735" t="s">
        <v>87</v>
      </c>
      <c r="Q735">
        <v>558</v>
      </c>
      <c r="R735" t="s">
        <v>39</v>
      </c>
      <c r="S735">
        <f>IF(support_tickets[[#This Row],[status_cleaned]]="closed",1,0)</f>
        <v>1</v>
      </c>
      <c r="T735" t="str">
        <f>TEXT(support_tickets[[#This Row],[opened_at]],"mmm yyyy")</f>
        <v>Apr 2025</v>
      </c>
      <c r="U735">
        <f>YEAR(support_tickets[[#This Row],[opened_at]])*100+MONTH(support_tickets[[#This Row],[opened_at]])</f>
        <v>202504</v>
      </c>
      <c r="V735" s="29">
        <f>DATE(YEAR(support_tickets[[#This Row],[opened_at]]),MONTH(support_tickets[[#This Row],[opened_at]]),1)</f>
        <v>45748</v>
      </c>
    </row>
    <row r="736" spans="1:22">
      <c r="A736">
        <v>4266119897</v>
      </c>
      <c r="B736">
        <v>601238919</v>
      </c>
      <c r="C736" t="s">
        <v>892</v>
      </c>
      <c r="D736" t="s">
        <v>893</v>
      </c>
      <c r="E736">
        <v>19583482</v>
      </c>
      <c r="G736" s="1">
        <v>45749.987766203703</v>
      </c>
      <c r="H736" s="1">
        <v>45750.117627314816</v>
      </c>
      <c r="I736" t="s">
        <v>18</v>
      </c>
      <c r="J736" t="s">
        <v>38</v>
      </c>
      <c r="K736" t="s">
        <v>47</v>
      </c>
      <c r="L736" t="s">
        <v>39</v>
      </c>
      <c r="M736">
        <v>26</v>
      </c>
      <c r="N736">
        <v>187</v>
      </c>
      <c r="O736">
        <v>0</v>
      </c>
      <c r="P736" t="s">
        <v>40</v>
      </c>
      <c r="Q736">
        <v>563</v>
      </c>
      <c r="R736" t="s">
        <v>39</v>
      </c>
      <c r="S736">
        <f>IF(support_tickets[[#This Row],[status_cleaned]]="closed",1,0)</f>
        <v>1</v>
      </c>
      <c r="T736" t="str">
        <f>TEXT(support_tickets[[#This Row],[opened_at]],"mmm yyyy")</f>
        <v>Apr 2025</v>
      </c>
      <c r="U736">
        <f>YEAR(support_tickets[[#This Row],[opened_at]])*100+MONTH(support_tickets[[#This Row],[opened_at]])</f>
        <v>202504</v>
      </c>
      <c r="V736" s="29">
        <f>DATE(YEAR(support_tickets[[#This Row],[opened_at]]),MONTH(support_tickets[[#This Row],[opened_at]]),1)</f>
        <v>45748</v>
      </c>
    </row>
    <row r="737" spans="1:22">
      <c r="A737">
        <v>4277085912</v>
      </c>
      <c r="B737">
        <v>272134062</v>
      </c>
      <c r="C737" t="s">
        <v>626</v>
      </c>
      <c r="D737" t="s">
        <v>627</v>
      </c>
      <c r="E737">
        <v>78139880</v>
      </c>
      <c r="G737" s="1">
        <v>45685.156793981485</v>
      </c>
      <c r="H737" s="1">
        <v>45685.397766203707</v>
      </c>
      <c r="I737" t="s">
        <v>56</v>
      </c>
      <c r="J737" t="s">
        <v>86</v>
      </c>
      <c r="K737" t="s">
        <v>47</v>
      </c>
      <c r="L737" t="s">
        <v>39</v>
      </c>
      <c r="M737">
        <v>59</v>
      </c>
      <c r="N737">
        <v>347</v>
      </c>
      <c r="O737">
        <v>0</v>
      </c>
      <c r="P737" t="s">
        <v>87</v>
      </c>
      <c r="Q737">
        <v>565</v>
      </c>
      <c r="R737" t="s">
        <v>39</v>
      </c>
      <c r="S737">
        <f>IF(support_tickets[[#This Row],[status_cleaned]]="closed",1,0)</f>
        <v>1</v>
      </c>
      <c r="T737" t="str">
        <f>TEXT(support_tickets[[#This Row],[opened_at]],"mmm yyyy")</f>
        <v>Jan 2025</v>
      </c>
      <c r="U737">
        <f>YEAR(support_tickets[[#This Row],[opened_at]])*100+MONTH(support_tickets[[#This Row],[opened_at]])</f>
        <v>202501</v>
      </c>
      <c r="V737" s="29">
        <f>DATE(YEAR(support_tickets[[#This Row],[opened_at]]),MONTH(support_tickets[[#This Row],[opened_at]]),1)</f>
        <v>45658</v>
      </c>
    </row>
    <row r="738" spans="1:22">
      <c r="A738">
        <v>4343771107</v>
      </c>
      <c r="B738">
        <v>856881618</v>
      </c>
      <c r="C738" t="s">
        <v>906</v>
      </c>
      <c r="D738" t="s">
        <v>907</v>
      </c>
      <c r="E738">
        <v>77187530</v>
      </c>
      <c r="F738">
        <v>7723528199</v>
      </c>
      <c r="G738" s="1">
        <v>45833.534039351849</v>
      </c>
      <c r="H738" s="1">
        <v>45833.734039351853</v>
      </c>
      <c r="I738" t="s">
        <v>43</v>
      </c>
      <c r="J738" t="s">
        <v>59</v>
      </c>
      <c r="K738" t="s">
        <v>47</v>
      </c>
      <c r="L738" t="s">
        <v>39</v>
      </c>
      <c r="M738">
        <v>23</v>
      </c>
      <c r="N738">
        <v>288</v>
      </c>
      <c r="O738">
        <v>0</v>
      </c>
      <c r="P738" t="s">
        <v>61</v>
      </c>
      <c r="Q738">
        <v>580</v>
      </c>
      <c r="R738" t="s">
        <v>39</v>
      </c>
      <c r="S738">
        <f>IF(support_tickets[[#This Row],[status_cleaned]]="closed",1,0)</f>
        <v>1</v>
      </c>
      <c r="T738" t="str">
        <f>TEXT(support_tickets[[#This Row],[opened_at]],"mmm yyyy")</f>
        <v>Jun 2025</v>
      </c>
      <c r="U738">
        <f>YEAR(support_tickets[[#This Row],[opened_at]])*100+MONTH(support_tickets[[#This Row],[opened_at]])</f>
        <v>202506</v>
      </c>
      <c r="V738" s="29">
        <f>DATE(YEAR(support_tickets[[#This Row],[opened_at]]),MONTH(support_tickets[[#This Row],[opened_at]]),1)</f>
        <v>45809</v>
      </c>
    </row>
    <row r="739" spans="1:22">
      <c r="A739">
        <v>4359141052</v>
      </c>
      <c r="B739">
        <v>686277792</v>
      </c>
      <c r="C739" t="s">
        <v>910</v>
      </c>
      <c r="D739" t="s">
        <v>911</v>
      </c>
      <c r="E739">
        <v>93926371</v>
      </c>
      <c r="F739">
        <v>5926890511</v>
      </c>
      <c r="G739" s="1">
        <v>45985.805081018516</v>
      </c>
      <c r="H739" s="1">
        <v>45985.857164351852</v>
      </c>
      <c r="I739" t="s">
        <v>43</v>
      </c>
      <c r="J739" t="s">
        <v>38</v>
      </c>
      <c r="K739" t="s">
        <v>47</v>
      </c>
      <c r="L739" t="s">
        <v>39</v>
      </c>
      <c r="M739">
        <v>49</v>
      </c>
      <c r="N739">
        <v>75</v>
      </c>
      <c r="O739">
        <v>0</v>
      </c>
      <c r="P739" t="s">
        <v>40</v>
      </c>
      <c r="Q739">
        <v>582</v>
      </c>
      <c r="R739" t="s">
        <v>39</v>
      </c>
      <c r="S739">
        <f>IF(support_tickets[[#This Row],[status_cleaned]]="closed",1,0)</f>
        <v>1</v>
      </c>
      <c r="T739" t="str">
        <f>TEXT(support_tickets[[#This Row],[opened_at]],"mmm yyyy")</f>
        <v>Nov 2025</v>
      </c>
      <c r="U739">
        <f>YEAR(support_tickets[[#This Row],[opened_at]])*100+MONTH(support_tickets[[#This Row],[opened_at]])</f>
        <v>202511</v>
      </c>
      <c r="V739" s="29">
        <f>DATE(YEAR(support_tickets[[#This Row],[opened_at]]),MONTH(support_tickets[[#This Row],[opened_at]]),1)</f>
        <v>45962</v>
      </c>
    </row>
    <row r="740" spans="1:22">
      <c r="A740">
        <v>4492695244</v>
      </c>
      <c r="B740">
        <v>683364453</v>
      </c>
      <c r="C740" t="s">
        <v>178</v>
      </c>
      <c r="D740" t="s">
        <v>179</v>
      </c>
      <c r="E740">
        <v>45812670</v>
      </c>
      <c r="G740" s="1">
        <v>45424.797418981485</v>
      </c>
      <c r="H740" s="1">
        <v>45425.11478009259</v>
      </c>
      <c r="I740" t="s">
        <v>43</v>
      </c>
      <c r="J740" t="s">
        <v>19</v>
      </c>
      <c r="K740" t="s">
        <v>47</v>
      </c>
      <c r="L740" t="s">
        <v>39</v>
      </c>
      <c r="M740">
        <v>44</v>
      </c>
      <c r="N740">
        <v>457</v>
      </c>
      <c r="O740">
        <v>0</v>
      </c>
      <c r="P740" t="s">
        <v>22</v>
      </c>
      <c r="Q740">
        <v>610</v>
      </c>
      <c r="R740" t="s">
        <v>39</v>
      </c>
      <c r="S740">
        <f>IF(support_tickets[[#This Row],[status_cleaned]]="closed",1,0)</f>
        <v>1</v>
      </c>
      <c r="T740" t="str">
        <f>TEXT(support_tickets[[#This Row],[opened_at]],"mmm yyyy")</f>
        <v>May 2024</v>
      </c>
      <c r="U740">
        <f>YEAR(support_tickets[[#This Row],[opened_at]])*100+MONTH(support_tickets[[#This Row],[opened_at]])</f>
        <v>202405</v>
      </c>
      <c r="V740" s="29">
        <f>DATE(YEAR(support_tickets[[#This Row],[opened_at]]),MONTH(support_tickets[[#This Row],[opened_at]]),1)</f>
        <v>45413</v>
      </c>
    </row>
    <row r="741" spans="1:22">
      <c r="A741">
        <v>4527619641</v>
      </c>
      <c r="B741">
        <v>844439496</v>
      </c>
      <c r="C741" t="s">
        <v>954</v>
      </c>
      <c r="D741" t="s">
        <v>955</v>
      </c>
      <c r="E741">
        <v>77005685</v>
      </c>
      <c r="G741" s="1">
        <v>45325.227511574078</v>
      </c>
      <c r="H741" s="1">
        <v>45325.755289351851</v>
      </c>
      <c r="I741" t="s">
        <v>56</v>
      </c>
      <c r="J741" t="s">
        <v>38</v>
      </c>
      <c r="K741" t="s">
        <v>47</v>
      </c>
      <c r="L741" t="s">
        <v>39</v>
      </c>
      <c r="M741">
        <v>36</v>
      </c>
      <c r="N741">
        <v>760</v>
      </c>
      <c r="O741">
        <v>0</v>
      </c>
      <c r="P741" t="s">
        <v>40</v>
      </c>
      <c r="Q741">
        <v>617</v>
      </c>
      <c r="R741" t="s">
        <v>39</v>
      </c>
      <c r="S741">
        <f>IF(support_tickets[[#This Row],[status_cleaned]]="closed",1,0)</f>
        <v>1</v>
      </c>
      <c r="T741" t="str">
        <f>TEXT(support_tickets[[#This Row],[opened_at]],"mmm yyyy")</f>
        <v>Feb 2024</v>
      </c>
      <c r="U741">
        <f>YEAR(support_tickets[[#This Row],[opened_at]])*100+MONTH(support_tickets[[#This Row],[opened_at]])</f>
        <v>202402</v>
      </c>
      <c r="V741" s="29">
        <f>DATE(YEAR(support_tickets[[#This Row],[opened_at]]),MONTH(support_tickets[[#This Row],[opened_at]]),1)</f>
        <v>45323</v>
      </c>
    </row>
    <row r="742" spans="1:22">
      <c r="A742">
        <v>4613425662</v>
      </c>
      <c r="B742">
        <v>461178244</v>
      </c>
      <c r="C742" t="s">
        <v>928</v>
      </c>
      <c r="D742" t="s">
        <v>929</v>
      </c>
      <c r="E742">
        <v>81691040</v>
      </c>
      <c r="F742">
        <v>6669955364</v>
      </c>
      <c r="G742" s="1">
        <v>45530.078125</v>
      </c>
      <c r="H742" s="1">
        <v>45530.390625</v>
      </c>
      <c r="I742" t="s">
        <v>18</v>
      </c>
      <c r="J742" t="s">
        <v>30</v>
      </c>
      <c r="K742" t="s">
        <v>47</v>
      </c>
      <c r="L742" t="s">
        <v>39</v>
      </c>
      <c r="M742">
        <v>40</v>
      </c>
      <c r="N742">
        <v>450</v>
      </c>
      <c r="O742">
        <v>0</v>
      </c>
      <c r="P742" t="s">
        <v>31</v>
      </c>
      <c r="Q742">
        <v>631</v>
      </c>
      <c r="R742" t="s">
        <v>39</v>
      </c>
      <c r="S742">
        <f>IF(support_tickets[[#This Row],[status_cleaned]]="closed",1,0)</f>
        <v>1</v>
      </c>
      <c r="T742" t="str">
        <f>TEXT(support_tickets[[#This Row],[opened_at]],"mmm yyyy")</f>
        <v>Aug 2024</v>
      </c>
      <c r="U742">
        <f>YEAR(support_tickets[[#This Row],[opened_at]])*100+MONTH(support_tickets[[#This Row],[opened_at]])</f>
        <v>202408</v>
      </c>
      <c r="V742" s="29">
        <f>DATE(YEAR(support_tickets[[#This Row],[opened_at]]),MONTH(support_tickets[[#This Row],[opened_at]]),1)</f>
        <v>45505</v>
      </c>
    </row>
    <row r="743" spans="1:22">
      <c r="A743">
        <v>4654980450</v>
      </c>
      <c r="B743">
        <v>781887358</v>
      </c>
      <c r="C743" t="s">
        <v>714</v>
      </c>
      <c r="D743" t="s">
        <v>715</v>
      </c>
      <c r="E743">
        <v>58181396</v>
      </c>
      <c r="G743" s="1">
        <v>45786.782337962963</v>
      </c>
      <c r="H743" s="1">
        <v>45787.244837962964</v>
      </c>
      <c r="I743" t="s">
        <v>37</v>
      </c>
      <c r="J743" t="s">
        <v>59</v>
      </c>
      <c r="K743" t="s">
        <v>47</v>
      </c>
      <c r="L743" t="s">
        <v>39</v>
      </c>
      <c r="M743">
        <v>50</v>
      </c>
      <c r="N743">
        <v>666</v>
      </c>
      <c r="O743">
        <v>0</v>
      </c>
      <c r="P743" t="s">
        <v>61</v>
      </c>
      <c r="Q743">
        <v>640</v>
      </c>
      <c r="R743" t="s">
        <v>39</v>
      </c>
      <c r="S743">
        <f>IF(support_tickets[[#This Row],[status_cleaned]]="closed",1,0)</f>
        <v>1</v>
      </c>
      <c r="T743" t="str">
        <f>TEXT(support_tickets[[#This Row],[opened_at]],"mmm yyyy")</f>
        <v>May 2025</v>
      </c>
      <c r="U743">
        <f>YEAR(support_tickets[[#This Row],[opened_at]])*100+MONTH(support_tickets[[#This Row],[opened_at]])</f>
        <v>202505</v>
      </c>
      <c r="V743" s="29">
        <f>DATE(YEAR(support_tickets[[#This Row],[opened_at]]),MONTH(support_tickets[[#This Row],[opened_at]]),1)</f>
        <v>45778</v>
      </c>
    </row>
    <row r="744" spans="1:22">
      <c r="A744">
        <v>4707807308</v>
      </c>
      <c r="B744">
        <v>952225000</v>
      </c>
      <c r="C744" t="s">
        <v>996</v>
      </c>
      <c r="D744" t="s">
        <v>997</v>
      </c>
      <c r="E744">
        <v>84752529</v>
      </c>
      <c r="G744" s="1">
        <v>45516.068599537037</v>
      </c>
      <c r="H744" s="1">
        <v>45516.342210648145</v>
      </c>
      <c r="I744" t="s">
        <v>46</v>
      </c>
      <c r="J744" t="s">
        <v>30</v>
      </c>
      <c r="K744" t="s">
        <v>47</v>
      </c>
      <c r="L744" t="s">
        <v>39</v>
      </c>
      <c r="M744">
        <v>18</v>
      </c>
      <c r="N744">
        <v>394</v>
      </c>
      <c r="O744">
        <v>0</v>
      </c>
      <c r="P744" t="s">
        <v>31</v>
      </c>
      <c r="Q744">
        <v>650</v>
      </c>
      <c r="R744" t="s">
        <v>39</v>
      </c>
      <c r="S744">
        <f>IF(support_tickets[[#This Row],[status_cleaned]]="closed",1,0)</f>
        <v>1</v>
      </c>
      <c r="T744" t="str">
        <f>TEXT(support_tickets[[#This Row],[opened_at]],"mmm yyyy")</f>
        <v>Aug 2024</v>
      </c>
      <c r="U744">
        <f>YEAR(support_tickets[[#This Row],[opened_at]])*100+MONTH(support_tickets[[#This Row],[opened_at]])</f>
        <v>202408</v>
      </c>
      <c r="V744" s="29">
        <f>DATE(YEAR(support_tickets[[#This Row],[opened_at]]),MONTH(support_tickets[[#This Row],[opened_at]]),1)</f>
        <v>45505</v>
      </c>
    </row>
    <row r="745" spans="1:22">
      <c r="A745">
        <v>4778864717</v>
      </c>
      <c r="B745">
        <v>156361897</v>
      </c>
      <c r="C745" t="s">
        <v>1012</v>
      </c>
      <c r="D745" t="s">
        <v>1013</v>
      </c>
      <c r="E745">
        <v>82340307</v>
      </c>
      <c r="G745" s="1">
        <v>45486.529398148145</v>
      </c>
      <c r="H745" s="1">
        <v>45486.780092592591</v>
      </c>
      <c r="I745" t="s">
        <v>46</v>
      </c>
      <c r="J745" t="s">
        <v>19</v>
      </c>
      <c r="K745" t="s">
        <v>47</v>
      </c>
      <c r="L745" t="s">
        <v>39</v>
      </c>
      <c r="M745">
        <v>31</v>
      </c>
      <c r="N745">
        <v>361</v>
      </c>
      <c r="O745">
        <v>0</v>
      </c>
      <c r="P745" t="s">
        <v>22</v>
      </c>
      <c r="Q745">
        <v>663</v>
      </c>
      <c r="R745" t="s">
        <v>39</v>
      </c>
      <c r="S745">
        <f>IF(support_tickets[[#This Row],[status_cleaned]]="closed",1,0)</f>
        <v>1</v>
      </c>
      <c r="T745" t="str">
        <f>TEXT(support_tickets[[#This Row],[opened_at]],"mmm yyyy")</f>
        <v>Jul 2024</v>
      </c>
      <c r="U745">
        <f>YEAR(support_tickets[[#This Row],[opened_at]])*100+MONTH(support_tickets[[#This Row],[opened_at]])</f>
        <v>202407</v>
      </c>
      <c r="V745" s="29">
        <f>DATE(YEAR(support_tickets[[#This Row],[opened_at]]),MONTH(support_tickets[[#This Row],[opened_at]]),1)</f>
        <v>45474</v>
      </c>
    </row>
    <row r="746" spans="1:22">
      <c r="A746">
        <v>4783058245</v>
      </c>
      <c r="B746">
        <v>646272321</v>
      </c>
      <c r="C746" t="s">
        <v>1014</v>
      </c>
      <c r="D746" t="s">
        <v>1015</v>
      </c>
      <c r="E746">
        <v>66792612</v>
      </c>
      <c r="G746" s="1">
        <v>45681.54409722222</v>
      </c>
      <c r="H746" s="1">
        <v>45681.740624999999</v>
      </c>
      <c r="I746" t="s">
        <v>18</v>
      </c>
      <c r="J746" t="s">
        <v>19</v>
      </c>
      <c r="K746" t="s">
        <v>47</v>
      </c>
      <c r="L746" t="s">
        <v>39</v>
      </c>
      <c r="M746">
        <v>49</v>
      </c>
      <c r="N746">
        <v>283</v>
      </c>
      <c r="O746">
        <v>0</v>
      </c>
      <c r="P746" t="s">
        <v>22</v>
      </c>
      <c r="Q746">
        <v>664</v>
      </c>
      <c r="R746" t="s">
        <v>39</v>
      </c>
      <c r="S746">
        <f>IF(support_tickets[[#This Row],[status_cleaned]]="closed",1,0)</f>
        <v>1</v>
      </c>
      <c r="T746" t="str">
        <f>TEXT(support_tickets[[#This Row],[opened_at]],"mmm yyyy")</f>
        <v>Jan 2025</v>
      </c>
      <c r="U746">
        <f>YEAR(support_tickets[[#This Row],[opened_at]])*100+MONTH(support_tickets[[#This Row],[opened_at]])</f>
        <v>202501</v>
      </c>
      <c r="V746" s="29">
        <f>DATE(YEAR(support_tickets[[#This Row],[opened_at]]),MONTH(support_tickets[[#This Row],[opened_at]]),1)</f>
        <v>45658</v>
      </c>
    </row>
    <row r="747" spans="1:22">
      <c r="A747">
        <v>5005196189</v>
      </c>
      <c r="B747">
        <v>243418388</v>
      </c>
      <c r="C747" t="s">
        <v>540</v>
      </c>
      <c r="D747" t="s">
        <v>541</v>
      </c>
      <c r="E747">
        <v>31831063</v>
      </c>
      <c r="G747" s="1">
        <v>45619.074745370373</v>
      </c>
      <c r="H747" s="1">
        <v>45619.456689814811</v>
      </c>
      <c r="I747" t="s">
        <v>3</v>
      </c>
      <c r="J747" t="s">
        <v>86</v>
      </c>
      <c r="K747" t="s">
        <v>47</v>
      </c>
      <c r="L747" t="s">
        <v>39</v>
      </c>
      <c r="M747">
        <v>22</v>
      </c>
      <c r="N747">
        <v>550</v>
      </c>
      <c r="O747">
        <v>0</v>
      </c>
      <c r="P747" t="s">
        <v>87</v>
      </c>
      <c r="Q747">
        <v>696</v>
      </c>
      <c r="R747" t="s">
        <v>39</v>
      </c>
      <c r="S747">
        <f>IF(support_tickets[[#This Row],[status_cleaned]]="closed",1,0)</f>
        <v>1</v>
      </c>
      <c r="T747" t="str">
        <f>TEXT(support_tickets[[#This Row],[opened_at]],"mmm yyyy")</f>
        <v>Nov 2024</v>
      </c>
      <c r="U747">
        <f>YEAR(support_tickets[[#This Row],[opened_at]])*100+MONTH(support_tickets[[#This Row],[opened_at]])</f>
        <v>202411</v>
      </c>
      <c r="V747" s="29">
        <f>DATE(YEAR(support_tickets[[#This Row],[opened_at]]),MONTH(support_tickets[[#This Row],[opened_at]]),1)</f>
        <v>45597</v>
      </c>
    </row>
    <row r="748" spans="1:22">
      <c r="A748">
        <v>5062025447</v>
      </c>
      <c r="B748">
        <v>756569565</v>
      </c>
      <c r="C748" t="s">
        <v>316</v>
      </c>
      <c r="D748" t="s">
        <v>317</v>
      </c>
      <c r="E748">
        <v>58586340</v>
      </c>
      <c r="G748" s="1">
        <v>45970.604108796295</v>
      </c>
      <c r="H748" s="1">
        <v>45970.70480324074</v>
      </c>
      <c r="I748" t="s">
        <v>3</v>
      </c>
      <c r="J748" t="s">
        <v>59</v>
      </c>
      <c r="K748" t="s">
        <v>47</v>
      </c>
      <c r="L748" t="s">
        <v>39</v>
      </c>
      <c r="M748">
        <v>43</v>
      </c>
      <c r="N748">
        <v>145</v>
      </c>
      <c r="O748">
        <v>0</v>
      </c>
      <c r="P748" t="s">
        <v>61</v>
      </c>
      <c r="Q748">
        <v>703</v>
      </c>
      <c r="R748" t="s">
        <v>39</v>
      </c>
      <c r="S748">
        <f>IF(support_tickets[[#This Row],[status_cleaned]]="closed",1,0)</f>
        <v>1</v>
      </c>
      <c r="T748" t="str">
        <f>TEXT(support_tickets[[#This Row],[opened_at]],"mmm yyyy")</f>
        <v>Nov 2025</v>
      </c>
      <c r="U748">
        <f>YEAR(support_tickets[[#This Row],[opened_at]])*100+MONTH(support_tickets[[#This Row],[opened_at]])</f>
        <v>202511</v>
      </c>
      <c r="V748" s="29">
        <f>DATE(YEAR(support_tickets[[#This Row],[opened_at]]),MONTH(support_tickets[[#This Row],[opened_at]]),1)</f>
        <v>45962</v>
      </c>
    </row>
    <row r="749" spans="1:22">
      <c r="A749">
        <v>5062902006</v>
      </c>
      <c r="B749">
        <v>890937440</v>
      </c>
      <c r="C749" t="s">
        <v>1050</v>
      </c>
      <c r="D749" t="s">
        <v>1051</v>
      </c>
      <c r="E749">
        <v>85329037</v>
      </c>
      <c r="G749" s="1">
        <v>45914.311597222222</v>
      </c>
      <c r="H749" s="1">
        <v>45914.343541666669</v>
      </c>
      <c r="I749" t="s">
        <v>18</v>
      </c>
      <c r="J749" t="s">
        <v>59</v>
      </c>
      <c r="K749" t="s">
        <v>47</v>
      </c>
      <c r="L749" t="s">
        <v>39</v>
      </c>
      <c r="M749">
        <v>12</v>
      </c>
      <c r="N749">
        <v>46</v>
      </c>
      <c r="O749">
        <v>0</v>
      </c>
      <c r="P749" t="s">
        <v>61</v>
      </c>
      <c r="Q749">
        <v>704</v>
      </c>
      <c r="R749" t="s">
        <v>39</v>
      </c>
      <c r="S749">
        <f>IF(support_tickets[[#This Row],[status_cleaned]]="closed",1,0)</f>
        <v>1</v>
      </c>
      <c r="T749" t="str">
        <f>TEXT(support_tickets[[#This Row],[opened_at]],"mmm yyyy")</f>
        <v>Sep 2025</v>
      </c>
      <c r="U749">
        <f>YEAR(support_tickets[[#This Row],[opened_at]])*100+MONTH(support_tickets[[#This Row],[opened_at]])</f>
        <v>202509</v>
      </c>
      <c r="V749" s="29">
        <f>DATE(YEAR(support_tickets[[#This Row],[opened_at]]),MONTH(support_tickets[[#This Row],[opened_at]]),1)</f>
        <v>45901</v>
      </c>
    </row>
    <row r="750" spans="1:22">
      <c r="A750">
        <v>5068404283</v>
      </c>
      <c r="B750">
        <v>449019278</v>
      </c>
      <c r="C750" t="s">
        <v>868</v>
      </c>
      <c r="D750" t="s">
        <v>869</v>
      </c>
      <c r="E750">
        <v>33978249</v>
      </c>
      <c r="F750">
        <v>8227886543</v>
      </c>
      <c r="G750" s="1">
        <v>45576.054085648146</v>
      </c>
      <c r="H750" s="1">
        <v>45576.527696759258</v>
      </c>
      <c r="I750" t="s">
        <v>37</v>
      </c>
      <c r="J750" t="s">
        <v>19</v>
      </c>
      <c r="K750" t="s">
        <v>47</v>
      </c>
      <c r="L750" t="s">
        <v>39</v>
      </c>
      <c r="M750">
        <v>32</v>
      </c>
      <c r="N750">
        <v>682</v>
      </c>
      <c r="O750">
        <v>0</v>
      </c>
      <c r="P750" t="s">
        <v>22</v>
      </c>
      <c r="Q750">
        <v>708</v>
      </c>
      <c r="R750" t="s">
        <v>39</v>
      </c>
      <c r="S750">
        <f>IF(support_tickets[[#This Row],[status_cleaned]]="closed",1,0)</f>
        <v>1</v>
      </c>
      <c r="T750" t="str">
        <f>TEXT(support_tickets[[#This Row],[opened_at]],"mmm yyyy")</f>
        <v>Oct 2024</v>
      </c>
      <c r="U750">
        <f>YEAR(support_tickets[[#This Row],[opened_at]])*100+MONTH(support_tickets[[#This Row],[opened_at]])</f>
        <v>202410</v>
      </c>
      <c r="V750" s="29">
        <f>DATE(YEAR(support_tickets[[#This Row],[opened_at]]),MONTH(support_tickets[[#This Row],[opened_at]]),1)</f>
        <v>45566</v>
      </c>
    </row>
    <row r="751" spans="1:22">
      <c r="A751">
        <v>5210798990</v>
      </c>
      <c r="B751">
        <v>798510601</v>
      </c>
      <c r="C751" t="s">
        <v>204</v>
      </c>
      <c r="D751" t="s">
        <v>205</v>
      </c>
      <c r="E751">
        <v>38898923</v>
      </c>
      <c r="G751" s="1">
        <v>45523.776782407411</v>
      </c>
      <c r="H751" s="1">
        <v>45524.125393518516</v>
      </c>
      <c r="I751" t="s">
        <v>46</v>
      </c>
      <c r="J751" t="s">
        <v>30</v>
      </c>
      <c r="K751" t="s">
        <v>47</v>
      </c>
      <c r="L751" t="s">
        <v>39</v>
      </c>
      <c r="M751">
        <v>37</v>
      </c>
      <c r="N751">
        <v>502</v>
      </c>
      <c r="O751">
        <v>0</v>
      </c>
      <c r="P751" t="s">
        <v>31</v>
      </c>
      <c r="Q751">
        <v>735</v>
      </c>
      <c r="R751" t="s">
        <v>39</v>
      </c>
      <c r="S751">
        <f>IF(support_tickets[[#This Row],[status_cleaned]]="closed",1,0)</f>
        <v>1</v>
      </c>
      <c r="T751" t="str">
        <f>TEXT(support_tickets[[#This Row],[opened_at]],"mmm yyyy")</f>
        <v>Aug 2024</v>
      </c>
      <c r="U751">
        <f>YEAR(support_tickets[[#This Row],[opened_at]])*100+MONTH(support_tickets[[#This Row],[opened_at]])</f>
        <v>202408</v>
      </c>
      <c r="V751" s="29">
        <f>DATE(YEAR(support_tickets[[#This Row],[opened_at]]),MONTH(support_tickets[[#This Row],[opened_at]]),1)</f>
        <v>45505</v>
      </c>
    </row>
    <row r="752" spans="1:22">
      <c r="A752">
        <v>5286400604</v>
      </c>
      <c r="B752">
        <v>785826598</v>
      </c>
      <c r="C752" t="s">
        <v>682</v>
      </c>
      <c r="D752" t="s">
        <v>683</v>
      </c>
      <c r="E752">
        <v>73791320</v>
      </c>
      <c r="G752" s="1">
        <v>45540.934988425928</v>
      </c>
      <c r="H752" s="1">
        <v>45541.189155092594</v>
      </c>
      <c r="I752" t="s">
        <v>3</v>
      </c>
      <c r="J752" t="s">
        <v>25</v>
      </c>
      <c r="K752" t="s">
        <v>47</v>
      </c>
      <c r="L752" t="s">
        <v>39</v>
      </c>
      <c r="M752">
        <v>54</v>
      </c>
      <c r="N752">
        <v>366</v>
      </c>
      <c r="O752">
        <v>0</v>
      </c>
      <c r="P752" t="s">
        <v>27</v>
      </c>
      <c r="Q752">
        <v>748</v>
      </c>
      <c r="R752" t="s">
        <v>39</v>
      </c>
      <c r="S752">
        <f>IF(support_tickets[[#This Row],[status_cleaned]]="closed",1,0)</f>
        <v>1</v>
      </c>
      <c r="T752" t="str">
        <f>TEXT(support_tickets[[#This Row],[opened_at]],"mmm yyyy")</f>
        <v>Sep 2024</v>
      </c>
      <c r="U752">
        <f>YEAR(support_tickets[[#This Row],[opened_at]])*100+MONTH(support_tickets[[#This Row],[opened_at]])</f>
        <v>202409</v>
      </c>
      <c r="V752" s="29">
        <f>DATE(YEAR(support_tickets[[#This Row],[opened_at]]),MONTH(support_tickets[[#This Row],[opened_at]]),1)</f>
        <v>45536</v>
      </c>
    </row>
    <row r="753" spans="1:22">
      <c r="A753">
        <v>5306946888</v>
      </c>
      <c r="B753">
        <v>600184588</v>
      </c>
      <c r="C753" t="s">
        <v>522</v>
      </c>
      <c r="D753" t="s">
        <v>523</v>
      </c>
      <c r="E753">
        <v>31227574</v>
      </c>
      <c r="F753">
        <v>5101913760</v>
      </c>
      <c r="G753" s="1">
        <v>45908.030486111114</v>
      </c>
      <c r="H753" s="1">
        <v>45908.408958333333</v>
      </c>
      <c r="I753" t="s">
        <v>52</v>
      </c>
      <c r="J753" t="s">
        <v>19</v>
      </c>
      <c r="K753" t="s">
        <v>47</v>
      </c>
      <c r="L753" t="s">
        <v>39</v>
      </c>
      <c r="M753">
        <v>10</v>
      </c>
      <c r="N753">
        <v>545</v>
      </c>
      <c r="O753">
        <v>0</v>
      </c>
      <c r="P753" t="s">
        <v>22</v>
      </c>
      <c r="Q753">
        <v>752</v>
      </c>
      <c r="R753" t="s">
        <v>39</v>
      </c>
      <c r="S753">
        <f>IF(support_tickets[[#This Row],[status_cleaned]]="closed",1,0)</f>
        <v>1</v>
      </c>
      <c r="T753" t="str">
        <f>TEXT(support_tickets[[#This Row],[opened_at]],"mmm yyyy")</f>
        <v>Sep 2025</v>
      </c>
      <c r="U753">
        <f>YEAR(support_tickets[[#This Row],[opened_at]])*100+MONTH(support_tickets[[#This Row],[opened_at]])</f>
        <v>202509</v>
      </c>
      <c r="V753" s="29">
        <f>DATE(YEAR(support_tickets[[#This Row],[opened_at]]),MONTH(support_tickets[[#This Row],[opened_at]]),1)</f>
        <v>45901</v>
      </c>
    </row>
    <row r="754" spans="1:22">
      <c r="A754">
        <v>5392178789</v>
      </c>
      <c r="B754">
        <v>861888313</v>
      </c>
      <c r="C754" t="s">
        <v>1118</v>
      </c>
      <c r="D754" t="s">
        <v>1119</v>
      </c>
      <c r="E754">
        <v>45812670</v>
      </c>
      <c r="F754">
        <v>5854636277</v>
      </c>
      <c r="G754" s="1">
        <v>46074.411041666666</v>
      </c>
      <c r="H754" s="1">
        <v>46074.542986111112</v>
      </c>
      <c r="I754" t="s">
        <v>43</v>
      </c>
      <c r="J754" t="s">
        <v>25</v>
      </c>
      <c r="K754" t="s">
        <v>47</v>
      </c>
      <c r="L754" t="s">
        <v>39</v>
      </c>
      <c r="M754">
        <v>61</v>
      </c>
      <c r="N754">
        <v>190</v>
      </c>
      <c r="O754">
        <v>0</v>
      </c>
      <c r="P754" t="s">
        <v>27</v>
      </c>
      <c r="Q754">
        <v>780</v>
      </c>
      <c r="R754" t="s">
        <v>39</v>
      </c>
      <c r="S754">
        <f>IF(support_tickets[[#This Row],[status_cleaned]]="closed",1,0)</f>
        <v>1</v>
      </c>
      <c r="T754" t="str">
        <f>TEXT(support_tickets[[#This Row],[opened_at]],"mmm yyyy")</f>
        <v>Feb 2026</v>
      </c>
      <c r="U754">
        <f>YEAR(support_tickets[[#This Row],[opened_at]])*100+MONTH(support_tickets[[#This Row],[opened_at]])</f>
        <v>202602</v>
      </c>
      <c r="V754" s="29">
        <f>DATE(YEAR(support_tickets[[#This Row],[opened_at]]),MONTH(support_tickets[[#This Row],[opened_at]]),1)</f>
        <v>46054</v>
      </c>
    </row>
    <row r="755" spans="1:22">
      <c r="A755">
        <v>5395447722</v>
      </c>
      <c r="B755">
        <v>404994549</v>
      </c>
      <c r="C755" t="s">
        <v>1120</v>
      </c>
      <c r="D755" t="s">
        <v>1121</v>
      </c>
      <c r="E755">
        <v>96282117</v>
      </c>
      <c r="F755">
        <v>2248985201</v>
      </c>
      <c r="G755" s="1">
        <v>45530.703993055555</v>
      </c>
      <c r="H755" s="1">
        <v>45531.121354166666</v>
      </c>
      <c r="I755" t="s">
        <v>46</v>
      </c>
      <c r="J755" t="s">
        <v>19</v>
      </c>
      <c r="K755" t="s">
        <v>47</v>
      </c>
      <c r="L755" t="s">
        <v>39</v>
      </c>
      <c r="M755">
        <v>68</v>
      </c>
      <c r="N755">
        <v>601</v>
      </c>
      <c r="O755">
        <v>0</v>
      </c>
      <c r="P755" t="s">
        <v>22</v>
      </c>
      <c r="Q755">
        <v>781</v>
      </c>
      <c r="R755" t="s">
        <v>39</v>
      </c>
      <c r="S755">
        <f>IF(support_tickets[[#This Row],[status_cleaned]]="closed",1,0)</f>
        <v>1</v>
      </c>
      <c r="T755" t="str">
        <f>TEXT(support_tickets[[#This Row],[opened_at]],"mmm yyyy")</f>
        <v>Aug 2024</v>
      </c>
      <c r="U755">
        <f>YEAR(support_tickets[[#This Row],[opened_at]])*100+MONTH(support_tickets[[#This Row],[opened_at]])</f>
        <v>202408</v>
      </c>
      <c r="V755" s="29">
        <f>DATE(YEAR(support_tickets[[#This Row],[opened_at]]),MONTH(support_tickets[[#This Row],[opened_at]]),1)</f>
        <v>45505</v>
      </c>
    </row>
    <row r="756" spans="1:22">
      <c r="A756">
        <v>5423693170</v>
      </c>
      <c r="B756">
        <v>843937341</v>
      </c>
      <c r="C756" t="s">
        <v>698</v>
      </c>
      <c r="D756" t="s">
        <v>699</v>
      </c>
      <c r="E756">
        <v>95320121</v>
      </c>
      <c r="G756" s="1">
        <v>45553.047662037039</v>
      </c>
      <c r="H756" s="1">
        <v>45553.118495370371</v>
      </c>
      <c r="I756" t="s">
        <v>43</v>
      </c>
      <c r="J756" t="s">
        <v>86</v>
      </c>
      <c r="K756" t="s">
        <v>47</v>
      </c>
      <c r="L756" t="s">
        <v>39</v>
      </c>
      <c r="M756">
        <v>29</v>
      </c>
      <c r="N756">
        <v>102</v>
      </c>
      <c r="O756">
        <v>0</v>
      </c>
      <c r="P756" t="s">
        <v>87</v>
      </c>
      <c r="Q756">
        <v>785</v>
      </c>
      <c r="R756" t="s">
        <v>39</v>
      </c>
      <c r="S756">
        <f>IF(support_tickets[[#This Row],[status_cleaned]]="closed",1,0)</f>
        <v>1</v>
      </c>
      <c r="T756" t="str">
        <f>TEXT(support_tickets[[#This Row],[opened_at]],"mmm yyyy")</f>
        <v>Sep 2024</v>
      </c>
      <c r="U756">
        <f>YEAR(support_tickets[[#This Row],[opened_at]])*100+MONTH(support_tickets[[#This Row],[opened_at]])</f>
        <v>202409</v>
      </c>
      <c r="V756" s="29">
        <f>DATE(YEAR(support_tickets[[#This Row],[opened_at]]),MONTH(support_tickets[[#This Row],[opened_at]]),1)</f>
        <v>45536</v>
      </c>
    </row>
    <row r="757" spans="1:22">
      <c r="A757">
        <v>5542066249</v>
      </c>
      <c r="B757">
        <v>368018471</v>
      </c>
      <c r="C757" t="s">
        <v>180</v>
      </c>
      <c r="D757" t="s">
        <v>181</v>
      </c>
      <c r="E757">
        <v>30868105</v>
      </c>
      <c r="G757" s="1">
        <v>45337.655972222223</v>
      </c>
      <c r="H757" s="1">
        <v>45338.001805555556</v>
      </c>
      <c r="I757" t="s">
        <v>18</v>
      </c>
      <c r="J757" t="s">
        <v>86</v>
      </c>
      <c r="K757" t="s">
        <v>47</v>
      </c>
      <c r="L757" t="s">
        <v>39</v>
      </c>
      <c r="M757">
        <v>32</v>
      </c>
      <c r="N757">
        <v>498</v>
      </c>
      <c r="O757">
        <v>0</v>
      </c>
      <c r="P757" t="s">
        <v>87</v>
      </c>
      <c r="Q757">
        <v>809</v>
      </c>
      <c r="R757" t="s">
        <v>39</v>
      </c>
      <c r="S757">
        <f>IF(support_tickets[[#This Row],[status_cleaned]]="closed",1,0)</f>
        <v>1</v>
      </c>
      <c r="T757" t="str">
        <f>TEXT(support_tickets[[#This Row],[opened_at]],"mmm yyyy")</f>
        <v>Feb 2024</v>
      </c>
      <c r="U757">
        <f>YEAR(support_tickets[[#This Row],[opened_at]])*100+MONTH(support_tickets[[#This Row],[opened_at]])</f>
        <v>202402</v>
      </c>
      <c r="V757" s="29">
        <f>DATE(YEAR(support_tickets[[#This Row],[opened_at]]),MONTH(support_tickets[[#This Row],[opened_at]]),1)</f>
        <v>45323</v>
      </c>
    </row>
    <row r="758" spans="1:22">
      <c r="A758">
        <v>5563810247</v>
      </c>
      <c r="B758">
        <v>886989426</v>
      </c>
      <c r="C758" t="s">
        <v>1082</v>
      </c>
      <c r="D758" t="s">
        <v>1083</v>
      </c>
      <c r="E758">
        <v>45812670</v>
      </c>
      <c r="G758" s="1">
        <v>45314.261157407411</v>
      </c>
      <c r="H758" s="1">
        <v>45314.723657407405</v>
      </c>
      <c r="I758" t="s">
        <v>3</v>
      </c>
      <c r="J758" t="s">
        <v>59</v>
      </c>
      <c r="K758" t="s">
        <v>47</v>
      </c>
      <c r="L758" t="s">
        <v>39</v>
      </c>
      <c r="M758">
        <v>77</v>
      </c>
      <c r="N758">
        <v>666</v>
      </c>
      <c r="O758">
        <v>0</v>
      </c>
      <c r="P758" t="s">
        <v>61</v>
      </c>
      <c r="Q758">
        <v>814</v>
      </c>
      <c r="R758" t="s">
        <v>39</v>
      </c>
      <c r="S758">
        <f>IF(support_tickets[[#This Row],[status_cleaned]]="closed",1,0)</f>
        <v>1</v>
      </c>
      <c r="T758" t="str">
        <f>TEXT(support_tickets[[#This Row],[opened_at]],"mmm yyyy")</f>
        <v>Jan 2024</v>
      </c>
      <c r="U758">
        <f>YEAR(support_tickets[[#This Row],[opened_at]])*100+MONTH(support_tickets[[#This Row],[opened_at]])</f>
        <v>202401</v>
      </c>
      <c r="V758" s="29">
        <f>DATE(YEAR(support_tickets[[#This Row],[opened_at]]),MONTH(support_tickets[[#This Row],[opened_at]]),1)</f>
        <v>45292</v>
      </c>
    </row>
    <row r="759" spans="1:22">
      <c r="A759">
        <v>5618214993</v>
      </c>
      <c r="B759">
        <v>233871736</v>
      </c>
      <c r="C759" t="s">
        <v>752</v>
      </c>
      <c r="D759" t="s">
        <v>753</v>
      </c>
      <c r="E759">
        <v>56164955</v>
      </c>
      <c r="G759" s="1">
        <v>45868.014155092591</v>
      </c>
      <c r="H759" s="1">
        <v>45868.489155092589</v>
      </c>
      <c r="I759" t="s">
        <v>52</v>
      </c>
      <c r="J759" t="s">
        <v>86</v>
      </c>
      <c r="K759" t="s">
        <v>47</v>
      </c>
      <c r="L759" t="s">
        <v>39</v>
      </c>
      <c r="M759">
        <v>59</v>
      </c>
      <c r="N759">
        <v>684</v>
      </c>
      <c r="O759">
        <v>0</v>
      </c>
      <c r="P759" t="s">
        <v>87</v>
      </c>
      <c r="Q759">
        <v>826</v>
      </c>
      <c r="R759" t="s">
        <v>39</v>
      </c>
      <c r="S759">
        <f>IF(support_tickets[[#This Row],[status_cleaned]]="closed",1,0)</f>
        <v>1</v>
      </c>
      <c r="T759" t="str">
        <f>TEXT(support_tickets[[#This Row],[opened_at]],"mmm yyyy")</f>
        <v>Jul 2025</v>
      </c>
      <c r="U759">
        <f>YEAR(support_tickets[[#This Row],[opened_at]])*100+MONTH(support_tickets[[#This Row],[opened_at]])</f>
        <v>202507</v>
      </c>
      <c r="V759" s="29">
        <f>DATE(YEAR(support_tickets[[#This Row],[opened_at]]),MONTH(support_tickets[[#This Row],[opened_at]]),1)</f>
        <v>45839</v>
      </c>
    </row>
    <row r="760" spans="1:22">
      <c r="A760">
        <v>5640218557</v>
      </c>
      <c r="B760">
        <v>922816526</v>
      </c>
      <c r="C760" t="s">
        <v>518</v>
      </c>
      <c r="D760" t="s">
        <v>519</v>
      </c>
      <c r="E760">
        <v>86149359</v>
      </c>
      <c r="G760" s="1">
        <v>45310.283194444448</v>
      </c>
      <c r="H760" s="1">
        <v>45310.549166666664</v>
      </c>
      <c r="I760" t="s">
        <v>56</v>
      </c>
      <c r="J760" t="s">
        <v>30</v>
      </c>
      <c r="K760" t="s">
        <v>47</v>
      </c>
      <c r="L760" t="s">
        <v>39</v>
      </c>
      <c r="M760">
        <v>43</v>
      </c>
      <c r="N760">
        <v>383</v>
      </c>
      <c r="O760">
        <v>0</v>
      </c>
      <c r="P760" t="s">
        <v>31</v>
      </c>
      <c r="Q760">
        <v>828</v>
      </c>
      <c r="R760" t="s">
        <v>39</v>
      </c>
      <c r="S760">
        <f>IF(support_tickets[[#This Row],[status_cleaned]]="closed",1,0)</f>
        <v>1</v>
      </c>
      <c r="T760" t="str">
        <f>TEXT(support_tickets[[#This Row],[opened_at]],"mmm yyyy")</f>
        <v>Jan 2024</v>
      </c>
      <c r="U760">
        <f>YEAR(support_tickets[[#This Row],[opened_at]])*100+MONTH(support_tickets[[#This Row],[opened_at]])</f>
        <v>202401</v>
      </c>
      <c r="V760" s="29">
        <f>DATE(YEAR(support_tickets[[#This Row],[opened_at]]),MONTH(support_tickets[[#This Row],[opened_at]]),1)</f>
        <v>45292</v>
      </c>
    </row>
    <row r="761" spans="1:22">
      <c r="A761">
        <v>5729884241</v>
      </c>
      <c r="B761">
        <v>690554938</v>
      </c>
      <c r="C761" t="s">
        <v>240</v>
      </c>
      <c r="D761" t="s">
        <v>241</v>
      </c>
      <c r="E761">
        <v>17774584</v>
      </c>
      <c r="F761">
        <v>9949069966</v>
      </c>
      <c r="G761" s="1">
        <v>45572.700266203705</v>
      </c>
      <c r="H761" s="1">
        <v>45572.984293981484</v>
      </c>
      <c r="I761" t="s">
        <v>37</v>
      </c>
      <c r="J761" t="s">
        <v>38</v>
      </c>
      <c r="K761" t="s">
        <v>47</v>
      </c>
      <c r="L761" t="s">
        <v>39</v>
      </c>
      <c r="M761">
        <v>1</v>
      </c>
      <c r="N761">
        <v>409</v>
      </c>
      <c r="O761">
        <v>0</v>
      </c>
      <c r="P761" t="s">
        <v>40</v>
      </c>
      <c r="Q761">
        <v>840</v>
      </c>
      <c r="R761" t="s">
        <v>39</v>
      </c>
      <c r="S761">
        <f>IF(support_tickets[[#This Row],[status_cleaned]]="closed",1,0)</f>
        <v>1</v>
      </c>
      <c r="T761" t="str">
        <f>TEXT(support_tickets[[#This Row],[opened_at]],"mmm yyyy")</f>
        <v>Oct 2024</v>
      </c>
      <c r="U761">
        <f>YEAR(support_tickets[[#This Row],[opened_at]])*100+MONTH(support_tickets[[#This Row],[opened_at]])</f>
        <v>202410</v>
      </c>
      <c r="V761" s="29">
        <f>DATE(YEAR(support_tickets[[#This Row],[opened_at]]),MONTH(support_tickets[[#This Row],[opened_at]]),1)</f>
        <v>45566</v>
      </c>
    </row>
    <row r="762" spans="1:22">
      <c r="A762">
        <v>5784154528</v>
      </c>
      <c r="B762">
        <v>986090690</v>
      </c>
      <c r="C762" t="s">
        <v>460</v>
      </c>
      <c r="D762" t="s">
        <v>461</v>
      </c>
      <c r="E762">
        <v>97226012</v>
      </c>
      <c r="F762">
        <v>2175304017</v>
      </c>
      <c r="G762" s="1">
        <v>45851.421817129631</v>
      </c>
      <c r="H762" s="1">
        <v>45851.693344907406</v>
      </c>
      <c r="I762" t="s">
        <v>52</v>
      </c>
      <c r="J762" t="s">
        <v>86</v>
      </c>
      <c r="K762" t="s">
        <v>47</v>
      </c>
      <c r="L762" t="s">
        <v>39</v>
      </c>
      <c r="M762">
        <v>47</v>
      </c>
      <c r="N762">
        <v>391</v>
      </c>
      <c r="O762">
        <v>0</v>
      </c>
      <c r="P762" t="s">
        <v>87</v>
      </c>
      <c r="Q762">
        <v>855</v>
      </c>
      <c r="R762" t="s">
        <v>39</v>
      </c>
      <c r="S762">
        <f>IF(support_tickets[[#This Row],[status_cleaned]]="closed",1,0)</f>
        <v>1</v>
      </c>
      <c r="T762" t="str">
        <f>TEXT(support_tickets[[#This Row],[opened_at]],"mmm yyyy")</f>
        <v>Jul 2025</v>
      </c>
      <c r="U762">
        <f>YEAR(support_tickets[[#This Row],[opened_at]])*100+MONTH(support_tickets[[#This Row],[opened_at]])</f>
        <v>202507</v>
      </c>
      <c r="V762" s="29">
        <f>DATE(YEAR(support_tickets[[#This Row],[opened_at]]),MONTH(support_tickets[[#This Row],[opened_at]]),1)</f>
        <v>45839</v>
      </c>
    </row>
    <row r="763" spans="1:22">
      <c r="A763">
        <v>5867229859</v>
      </c>
      <c r="B763">
        <v>601873197</v>
      </c>
      <c r="C763" t="s">
        <v>1068</v>
      </c>
      <c r="D763" t="s">
        <v>1069</v>
      </c>
      <c r="E763">
        <v>53507489</v>
      </c>
      <c r="F763">
        <v>8212634244</v>
      </c>
      <c r="G763" s="1">
        <v>45788.254293981481</v>
      </c>
      <c r="H763" s="1">
        <v>45788.803599537037</v>
      </c>
      <c r="I763" t="s">
        <v>37</v>
      </c>
      <c r="J763" t="s">
        <v>59</v>
      </c>
      <c r="K763" t="s">
        <v>47</v>
      </c>
      <c r="L763" t="s">
        <v>39</v>
      </c>
      <c r="M763">
        <v>20</v>
      </c>
      <c r="N763">
        <v>791</v>
      </c>
      <c r="O763">
        <v>0</v>
      </c>
      <c r="P763" t="s">
        <v>61</v>
      </c>
      <c r="Q763">
        <v>863</v>
      </c>
      <c r="R763" t="s">
        <v>39</v>
      </c>
      <c r="S763">
        <f>IF(support_tickets[[#This Row],[status_cleaned]]="closed",1,0)</f>
        <v>1</v>
      </c>
      <c r="T763" t="str">
        <f>TEXT(support_tickets[[#This Row],[opened_at]],"mmm yyyy")</f>
        <v>May 2025</v>
      </c>
      <c r="U763">
        <f>YEAR(support_tickets[[#This Row],[opened_at]])*100+MONTH(support_tickets[[#This Row],[opened_at]])</f>
        <v>202505</v>
      </c>
      <c r="V763" s="29">
        <f>DATE(YEAR(support_tickets[[#This Row],[opened_at]]),MONTH(support_tickets[[#This Row],[opened_at]]),1)</f>
        <v>45778</v>
      </c>
    </row>
    <row r="764" spans="1:22">
      <c r="A764">
        <v>5981037863</v>
      </c>
      <c r="B764">
        <v>391126537</v>
      </c>
      <c r="C764" t="s">
        <v>1074</v>
      </c>
      <c r="D764" t="s">
        <v>1075</v>
      </c>
      <c r="E764">
        <v>58718453</v>
      </c>
      <c r="G764" s="1">
        <v>45703.367858796293</v>
      </c>
      <c r="H764" s="1">
        <v>45703.733136574076</v>
      </c>
      <c r="I764" t="s">
        <v>43</v>
      </c>
      <c r="J764" t="s">
        <v>30</v>
      </c>
      <c r="K764" t="s">
        <v>47</v>
      </c>
      <c r="L764" t="s">
        <v>39</v>
      </c>
      <c r="M764">
        <v>48</v>
      </c>
      <c r="N764">
        <v>526</v>
      </c>
      <c r="O764">
        <v>0</v>
      </c>
      <c r="P764" t="s">
        <v>31</v>
      </c>
      <c r="Q764">
        <v>888</v>
      </c>
      <c r="R764" t="s">
        <v>39</v>
      </c>
      <c r="S764">
        <f>IF(support_tickets[[#This Row],[status_cleaned]]="closed",1,0)</f>
        <v>1</v>
      </c>
      <c r="T764" t="str">
        <f>TEXT(support_tickets[[#This Row],[opened_at]],"mmm yyyy")</f>
        <v>Feb 2025</v>
      </c>
      <c r="U764">
        <f>YEAR(support_tickets[[#This Row],[opened_at]])*100+MONTH(support_tickets[[#This Row],[opened_at]])</f>
        <v>202502</v>
      </c>
      <c r="V764" s="29">
        <f>DATE(YEAR(support_tickets[[#This Row],[opened_at]]),MONTH(support_tickets[[#This Row],[opened_at]]),1)</f>
        <v>45689</v>
      </c>
    </row>
    <row r="765" spans="1:22">
      <c r="A765">
        <v>6082707337</v>
      </c>
      <c r="B765">
        <v>753780028</v>
      </c>
      <c r="C765" t="s">
        <v>1216</v>
      </c>
      <c r="D765" t="s">
        <v>1217</v>
      </c>
      <c r="E765">
        <v>42138745</v>
      </c>
      <c r="G765" s="1">
        <v>46087.165717592594</v>
      </c>
      <c r="H765" s="1">
        <v>46087.528217592589</v>
      </c>
      <c r="I765" t="s">
        <v>43</v>
      </c>
      <c r="J765" t="s">
        <v>19</v>
      </c>
      <c r="K765" t="s">
        <v>47</v>
      </c>
      <c r="L765" t="s">
        <v>39</v>
      </c>
      <c r="M765">
        <v>54</v>
      </c>
      <c r="N765">
        <v>522</v>
      </c>
      <c r="O765">
        <v>0</v>
      </c>
      <c r="P765" t="s">
        <v>22</v>
      </c>
      <c r="Q765">
        <v>906</v>
      </c>
      <c r="R765" t="s">
        <v>39</v>
      </c>
      <c r="S765">
        <f>IF(support_tickets[[#This Row],[status_cleaned]]="closed",1,0)</f>
        <v>1</v>
      </c>
      <c r="T765" t="str">
        <f>TEXT(support_tickets[[#This Row],[opened_at]],"mmm yyyy")</f>
        <v>Mar 2026</v>
      </c>
      <c r="U765">
        <f>YEAR(support_tickets[[#This Row],[opened_at]])*100+MONTH(support_tickets[[#This Row],[opened_at]])</f>
        <v>202603</v>
      </c>
      <c r="V765" s="29">
        <f>DATE(YEAR(support_tickets[[#This Row],[opened_at]]),MONTH(support_tickets[[#This Row],[opened_at]]),1)</f>
        <v>46082</v>
      </c>
    </row>
    <row r="766" spans="1:22">
      <c r="A766">
        <v>6088461006</v>
      </c>
      <c r="B766">
        <v>829511584</v>
      </c>
      <c r="C766" t="s">
        <v>1220</v>
      </c>
      <c r="D766" t="s">
        <v>1221</v>
      </c>
      <c r="E766">
        <v>97971488</v>
      </c>
      <c r="G766" s="1">
        <v>45912.185428240744</v>
      </c>
      <c r="H766" s="1">
        <v>45912.704872685186</v>
      </c>
      <c r="I766" t="s">
        <v>52</v>
      </c>
      <c r="J766" t="s">
        <v>38</v>
      </c>
      <c r="K766" t="s">
        <v>47</v>
      </c>
      <c r="L766" t="s">
        <v>39</v>
      </c>
      <c r="M766">
        <v>18</v>
      </c>
      <c r="N766">
        <v>748</v>
      </c>
      <c r="O766">
        <v>0</v>
      </c>
      <c r="P766" t="s">
        <v>40</v>
      </c>
      <c r="Q766">
        <v>909</v>
      </c>
      <c r="R766" t="s">
        <v>39</v>
      </c>
      <c r="S766">
        <f>IF(support_tickets[[#This Row],[status_cleaned]]="closed",1,0)</f>
        <v>1</v>
      </c>
      <c r="T766" t="str">
        <f>TEXT(support_tickets[[#This Row],[opened_at]],"mmm yyyy")</f>
        <v>Sep 2025</v>
      </c>
      <c r="U766">
        <f>YEAR(support_tickets[[#This Row],[opened_at]])*100+MONTH(support_tickets[[#This Row],[opened_at]])</f>
        <v>202509</v>
      </c>
      <c r="V766" s="29">
        <f>DATE(YEAR(support_tickets[[#This Row],[opened_at]]),MONTH(support_tickets[[#This Row],[opened_at]]),1)</f>
        <v>45901</v>
      </c>
    </row>
    <row r="767" spans="1:22">
      <c r="A767">
        <v>6182239160</v>
      </c>
      <c r="B767">
        <v>215213239</v>
      </c>
      <c r="C767" t="s">
        <v>1234</v>
      </c>
      <c r="D767" t="s">
        <v>1235</v>
      </c>
      <c r="E767">
        <v>45503389</v>
      </c>
      <c r="F767">
        <v>5319921998</v>
      </c>
      <c r="G767" s="1">
        <v>46053.095486111109</v>
      </c>
      <c r="H767" s="1">
        <v>46053.42465277778</v>
      </c>
      <c r="I767" t="s">
        <v>18</v>
      </c>
      <c r="J767" t="s">
        <v>25</v>
      </c>
      <c r="K767" t="s">
        <v>47</v>
      </c>
      <c r="L767" t="s">
        <v>39</v>
      </c>
      <c r="M767">
        <v>53</v>
      </c>
      <c r="N767">
        <v>474</v>
      </c>
      <c r="O767">
        <v>0</v>
      </c>
      <c r="P767" t="s">
        <v>27</v>
      </c>
      <c r="Q767">
        <v>923</v>
      </c>
      <c r="R767" t="s">
        <v>39</v>
      </c>
      <c r="S767">
        <f>IF(support_tickets[[#This Row],[status_cleaned]]="closed",1,0)</f>
        <v>1</v>
      </c>
      <c r="T767" t="str">
        <f>TEXT(support_tickets[[#This Row],[opened_at]],"mmm yyyy")</f>
        <v>Jan 2026</v>
      </c>
      <c r="U767">
        <f>YEAR(support_tickets[[#This Row],[opened_at]])*100+MONTH(support_tickets[[#This Row],[opened_at]])</f>
        <v>202601</v>
      </c>
      <c r="V767" s="29">
        <f>DATE(YEAR(support_tickets[[#This Row],[opened_at]]),MONTH(support_tickets[[#This Row],[opened_at]]),1)</f>
        <v>46023</v>
      </c>
    </row>
    <row r="768" spans="1:22">
      <c r="A768">
        <v>6236392677</v>
      </c>
      <c r="B768">
        <v>530986098</v>
      </c>
      <c r="C768" t="s">
        <v>216</v>
      </c>
      <c r="D768" t="s">
        <v>217</v>
      </c>
      <c r="E768">
        <v>31682744</v>
      </c>
      <c r="G768" s="1">
        <v>46074.021793981483</v>
      </c>
      <c r="H768" s="1">
        <v>46074.153738425928</v>
      </c>
      <c r="I768" t="s">
        <v>37</v>
      </c>
      <c r="J768" t="s">
        <v>25</v>
      </c>
      <c r="K768" t="s">
        <v>47</v>
      </c>
      <c r="L768" t="s">
        <v>39</v>
      </c>
      <c r="M768">
        <v>16</v>
      </c>
      <c r="N768">
        <v>190</v>
      </c>
      <c r="O768">
        <v>0</v>
      </c>
      <c r="P768" t="s">
        <v>27</v>
      </c>
      <c r="Q768">
        <v>928</v>
      </c>
      <c r="R768" t="s">
        <v>39</v>
      </c>
      <c r="S768">
        <f>IF(support_tickets[[#This Row],[status_cleaned]]="closed",1,0)</f>
        <v>1</v>
      </c>
      <c r="T768" t="str">
        <f>TEXT(support_tickets[[#This Row],[opened_at]],"mmm yyyy")</f>
        <v>Feb 2026</v>
      </c>
      <c r="U768">
        <f>YEAR(support_tickets[[#This Row],[opened_at]])*100+MONTH(support_tickets[[#This Row],[opened_at]])</f>
        <v>202602</v>
      </c>
      <c r="V768" s="29">
        <f>DATE(YEAR(support_tickets[[#This Row],[opened_at]]),MONTH(support_tickets[[#This Row],[opened_at]]),1)</f>
        <v>46054</v>
      </c>
    </row>
    <row r="769" spans="1:22">
      <c r="A769">
        <v>6374353620</v>
      </c>
      <c r="B769">
        <v>444851196</v>
      </c>
      <c r="C769" t="s">
        <v>1260</v>
      </c>
      <c r="D769" t="s">
        <v>1261</v>
      </c>
      <c r="E769">
        <v>28728463</v>
      </c>
      <c r="G769" s="1">
        <v>45737.48642361111</v>
      </c>
      <c r="H769" s="1">
        <v>45738.04614583333</v>
      </c>
      <c r="I769" t="s">
        <v>3</v>
      </c>
      <c r="J769" t="s">
        <v>59</v>
      </c>
      <c r="K769" t="s">
        <v>47</v>
      </c>
      <c r="L769" t="s">
        <v>39</v>
      </c>
      <c r="M769">
        <v>39</v>
      </c>
      <c r="N769">
        <v>806</v>
      </c>
      <c r="O769">
        <v>0</v>
      </c>
      <c r="P769" t="s">
        <v>61</v>
      </c>
      <c r="Q769">
        <v>954</v>
      </c>
      <c r="R769" t="s">
        <v>39</v>
      </c>
      <c r="S769">
        <f>IF(support_tickets[[#This Row],[status_cleaned]]="closed",1,0)</f>
        <v>1</v>
      </c>
      <c r="T769" t="str">
        <f>TEXT(support_tickets[[#This Row],[opened_at]],"mmm yyyy")</f>
        <v>Mar 2025</v>
      </c>
      <c r="U769">
        <f>YEAR(support_tickets[[#This Row],[opened_at]])*100+MONTH(support_tickets[[#This Row],[opened_at]])</f>
        <v>202503</v>
      </c>
      <c r="V769" s="29">
        <f>DATE(YEAR(support_tickets[[#This Row],[opened_at]]),MONTH(support_tickets[[#This Row],[opened_at]]),1)</f>
        <v>45717</v>
      </c>
    </row>
    <row r="770" spans="1:22">
      <c r="A770">
        <v>6891386279</v>
      </c>
      <c r="B770">
        <v>919395339</v>
      </c>
      <c r="C770" t="s">
        <v>126</v>
      </c>
      <c r="D770" t="s">
        <v>127</v>
      </c>
      <c r="E770">
        <v>59684848</v>
      </c>
      <c r="F770">
        <v>1383428853</v>
      </c>
      <c r="G770" s="1">
        <v>45791.660671296297</v>
      </c>
      <c r="H770" s="1">
        <v>45791.87872685185</v>
      </c>
      <c r="I770" t="s">
        <v>18</v>
      </c>
      <c r="J770" t="s">
        <v>30</v>
      </c>
      <c r="K770" t="s">
        <v>47</v>
      </c>
      <c r="L770" t="s">
        <v>39</v>
      </c>
      <c r="M770">
        <v>65</v>
      </c>
      <c r="N770">
        <v>314</v>
      </c>
      <c r="O770">
        <v>0</v>
      </c>
      <c r="P770" t="s">
        <v>31</v>
      </c>
      <c r="Q770">
        <v>1018</v>
      </c>
      <c r="R770" t="s">
        <v>39</v>
      </c>
      <c r="S770">
        <f>IF(support_tickets[[#This Row],[status_cleaned]]="closed",1,0)</f>
        <v>1</v>
      </c>
      <c r="T770" t="str">
        <f>TEXT(support_tickets[[#This Row],[opened_at]],"mmm yyyy")</f>
        <v>May 2025</v>
      </c>
      <c r="U770">
        <f>YEAR(support_tickets[[#This Row],[opened_at]])*100+MONTH(support_tickets[[#This Row],[opened_at]])</f>
        <v>202505</v>
      </c>
      <c r="V770" s="29">
        <f>DATE(YEAR(support_tickets[[#This Row],[opened_at]]),MONTH(support_tickets[[#This Row],[opened_at]]),1)</f>
        <v>45778</v>
      </c>
    </row>
    <row r="771" spans="1:22">
      <c r="A771">
        <v>6982124095</v>
      </c>
      <c r="B771">
        <v>526269674</v>
      </c>
      <c r="C771" t="s">
        <v>1320</v>
      </c>
      <c r="D771" t="s">
        <v>1321</v>
      </c>
      <c r="E771">
        <v>83793389</v>
      </c>
      <c r="G771" s="1">
        <v>45853.071620370371</v>
      </c>
      <c r="H771" s="1">
        <v>45853.252870370372</v>
      </c>
      <c r="I771" t="s">
        <v>43</v>
      </c>
      <c r="J771" t="s">
        <v>25</v>
      </c>
      <c r="K771" t="s">
        <v>47</v>
      </c>
      <c r="L771" t="s">
        <v>39</v>
      </c>
      <c r="M771">
        <v>44</v>
      </c>
      <c r="N771">
        <v>261</v>
      </c>
      <c r="O771">
        <v>0</v>
      </c>
      <c r="P771" t="s">
        <v>27</v>
      </c>
      <c r="Q771">
        <v>1026</v>
      </c>
      <c r="R771" t="s">
        <v>39</v>
      </c>
      <c r="S771">
        <f>IF(support_tickets[[#This Row],[status_cleaned]]="closed",1,0)</f>
        <v>1</v>
      </c>
      <c r="T771" t="str">
        <f>TEXT(support_tickets[[#This Row],[opened_at]],"mmm yyyy")</f>
        <v>Jul 2025</v>
      </c>
      <c r="U771">
        <f>YEAR(support_tickets[[#This Row],[opened_at]])*100+MONTH(support_tickets[[#This Row],[opened_at]])</f>
        <v>202507</v>
      </c>
      <c r="V771" s="29">
        <f>DATE(YEAR(support_tickets[[#This Row],[opened_at]]),MONTH(support_tickets[[#This Row],[opened_at]]),1)</f>
        <v>45839</v>
      </c>
    </row>
    <row r="772" spans="1:22">
      <c r="A772">
        <v>7001190085</v>
      </c>
      <c r="B772">
        <v>747060047</v>
      </c>
      <c r="C772" t="s">
        <v>1322</v>
      </c>
      <c r="D772" t="s">
        <v>1323</v>
      </c>
      <c r="E772">
        <v>59684848</v>
      </c>
      <c r="F772">
        <v>9127754416</v>
      </c>
      <c r="G772" s="1">
        <v>45367.693078703705</v>
      </c>
      <c r="H772" s="1">
        <v>45367.951412037037</v>
      </c>
      <c r="I772" t="s">
        <v>3</v>
      </c>
      <c r="J772" t="s">
        <v>30</v>
      </c>
      <c r="K772" t="s">
        <v>47</v>
      </c>
      <c r="L772" t="s">
        <v>39</v>
      </c>
      <c r="M772">
        <v>79</v>
      </c>
      <c r="N772">
        <v>372</v>
      </c>
      <c r="O772">
        <v>0</v>
      </c>
      <c r="P772" t="s">
        <v>31</v>
      </c>
      <c r="Q772">
        <v>1031</v>
      </c>
      <c r="R772" t="s">
        <v>39</v>
      </c>
      <c r="S772">
        <f>IF(support_tickets[[#This Row],[status_cleaned]]="closed",1,0)</f>
        <v>1</v>
      </c>
      <c r="T772" t="str">
        <f>TEXT(support_tickets[[#This Row],[opened_at]],"mmm yyyy")</f>
        <v>Mar 2024</v>
      </c>
      <c r="U772">
        <f>YEAR(support_tickets[[#This Row],[opened_at]])*100+MONTH(support_tickets[[#This Row],[opened_at]])</f>
        <v>202403</v>
      </c>
      <c r="V772" s="29">
        <f>DATE(YEAR(support_tickets[[#This Row],[opened_at]]),MONTH(support_tickets[[#This Row],[opened_at]]),1)</f>
        <v>45352</v>
      </c>
    </row>
    <row r="773" spans="1:22">
      <c r="A773">
        <v>7064518450</v>
      </c>
      <c r="B773">
        <v>108780419</v>
      </c>
      <c r="C773" t="s">
        <v>1114</v>
      </c>
      <c r="D773" t="s">
        <v>1115</v>
      </c>
      <c r="E773">
        <v>95225343</v>
      </c>
      <c r="G773" s="1">
        <v>45655.106793981482</v>
      </c>
      <c r="H773" s="1">
        <v>45655.573460648149</v>
      </c>
      <c r="I773" t="s">
        <v>3</v>
      </c>
      <c r="J773" t="s">
        <v>19</v>
      </c>
      <c r="K773" t="s">
        <v>47</v>
      </c>
      <c r="L773" t="s">
        <v>39</v>
      </c>
      <c r="M773">
        <v>48</v>
      </c>
      <c r="N773">
        <v>672</v>
      </c>
      <c r="O773">
        <v>0</v>
      </c>
      <c r="P773" t="s">
        <v>22</v>
      </c>
      <c r="Q773">
        <v>1042</v>
      </c>
      <c r="R773" t="s">
        <v>39</v>
      </c>
      <c r="S773">
        <f>IF(support_tickets[[#This Row],[status_cleaned]]="closed",1,0)</f>
        <v>1</v>
      </c>
      <c r="T773" t="str">
        <f>TEXT(support_tickets[[#This Row],[opened_at]],"mmm yyyy")</f>
        <v>Dec 2024</v>
      </c>
      <c r="U773">
        <f>YEAR(support_tickets[[#This Row],[opened_at]])*100+MONTH(support_tickets[[#This Row],[opened_at]])</f>
        <v>202412</v>
      </c>
      <c r="V773" s="29">
        <f>DATE(YEAR(support_tickets[[#This Row],[opened_at]]),MONTH(support_tickets[[#This Row],[opened_at]]),1)</f>
        <v>45627</v>
      </c>
    </row>
    <row r="774" spans="1:22">
      <c r="A774">
        <v>7132039885</v>
      </c>
      <c r="B774">
        <v>193133974</v>
      </c>
      <c r="C774" t="s">
        <v>432</v>
      </c>
      <c r="D774" t="s">
        <v>433</v>
      </c>
      <c r="E774">
        <v>83197857</v>
      </c>
      <c r="F774">
        <v>2431229740</v>
      </c>
      <c r="G774" s="1">
        <v>45774.358738425923</v>
      </c>
      <c r="H774" s="1">
        <v>45774.71707175926</v>
      </c>
      <c r="I774" t="s">
        <v>46</v>
      </c>
      <c r="J774" t="s">
        <v>19</v>
      </c>
      <c r="K774" t="s">
        <v>47</v>
      </c>
      <c r="L774" t="s">
        <v>39</v>
      </c>
      <c r="M774">
        <v>71</v>
      </c>
      <c r="N774">
        <v>516</v>
      </c>
      <c r="O774">
        <v>0</v>
      </c>
      <c r="P774" t="s">
        <v>22</v>
      </c>
      <c r="Q774">
        <v>1050</v>
      </c>
      <c r="R774" t="s">
        <v>39</v>
      </c>
      <c r="S774">
        <f>IF(support_tickets[[#This Row],[status_cleaned]]="closed",1,0)</f>
        <v>1</v>
      </c>
      <c r="T774" t="str">
        <f>TEXT(support_tickets[[#This Row],[opened_at]],"mmm yyyy")</f>
        <v>Apr 2025</v>
      </c>
      <c r="U774">
        <f>YEAR(support_tickets[[#This Row],[opened_at]])*100+MONTH(support_tickets[[#This Row],[opened_at]])</f>
        <v>202504</v>
      </c>
      <c r="V774" s="29">
        <f>DATE(YEAR(support_tickets[[#This Row],[opened_at]]),MONTH(support_tickets[[#This Row],[opened_at]]),1)</f>
        <v>45748</v>
      </c>
    </row>
    <row r="775" spans="1:22">
      <c r="A775">
        <v>7242789730</v>
      </c>
      <c r="B775">
        <v>470228863</v>
      </c>
      <c r="C775" t="s">
        <v>738</v>
      </c>
      <c r="D775" t="s">
        <v>739</v>
      </c>
      <c r="E775">
        <v>45935572</v>
      </c>
      <c r="F775">
        <v>9473321348</v>
      </c>
      <c r="G775" s="1">
        <v>46084.518113425926</v>
      </c>
      <c r="H775" s="1">
        <v>46084.66741898148</v>
      </c>
      <c r="I775" t="s">
        <v>37</v>
      </c>
      <c r="J775" t="s">
        <v>86</v>
      </c>
      <c r="K775" t="s">
        <v>47</v>
      </c>
      <c r="L775" t="s">
        <v>39</v>
      </c>
      <c r="M775">
        <v>54</v>
      </c>
      <c r="N775">
        <v>215</v>
      </c>
      <c r="O775">
        <v>0</v>
      </c>
      <c r="P775" t="s">
        <v>87</v>
      </c>
      <c r="Q775">
        <v>1069</v>
      </c>
      <c r="R775" t="s">
        <v>39</v>
      </c>
      <c r="S775">
        <f>IF(support_tickets[[#This Row],[status_cleaned]]="closed",1,0)</f>
        <v>1</v>
      </c>
      <c r="T775" t="str">
        <f>TEXT(support_tickets[[#This Row],[opened_at]],"mmm yyyy")</f>
        <v>Mar 2026</v>
      </c>
      <c r="U775">
        <f>YEAR(support_tickets[[#This Row],[opened_at]])*100+MONTH(support_tickets[[#This Row],[opened_at]])</f>
        <v>202603</v>
      </c>
      <c r="V775" s="29">
        <f>DATE(YEAR(support_tickets[[#This Row],[opened_at]]),MONTH(support_tickets[[#This Row],[opened_at]]),1)</f>
        <v>46082</v>
      </c>
    </row>
    <row r="776" spans="1:22">
      <c r="A776">
        <v>7254273444</v>
      </c>
      <c r="B776">
        <v>830572478</v>
      </c>
      <c r="C776" t="s">
        <v>1342</v>
      </c>
      <c r="D776" t="s">
        <v>1343</v>
      </c>
      <c r="E776">
        <v>13999315</v>
      </c>
      <c r="F776">
        <v>1978200864</v>
      </c>
      <c r="G776" s="1">
        <v>45378.70821759259</v>
      </c>
      <c r="H776" s="1">
        <v>45379.083912037036</v>
      </c>
      <c r="I776" t="s">
        <v>52</v>
      </c>
      <c r="J776" t="s">
        <v>86</v>
      </c>
      <c r="K776" t="s">
        <v>47</v>
      </c>
      <c r="L776" t="s">
        <v>39</v>
      </c>
      <c r="M776">
        <v>62</v>
      </c>
      <c r="N776">
        <v>541</v>
      </c>
      <c r="O776">
        <v>0</v>
      </c>
      <c r="P776" t="s">
        <v>87</v>
      </c>
      <c r="Q776">
        <v>1070</v>
      </c>
      <c r="R776" t="s">
        <v>39</v>
      </c>
      <c r="S776">
        <f>IF(support_tickets[[#This Row],[status_cleaned]]="closed",1,0)</f>
        <v>1</v>
      </c>
      <c r="T776" t="str">
        <f>TEXT(support_tickets[[#This Row],[opened_at]],"mmm yyyy")</f>
        <v>Mar 2024</v>
      </c>
      <c r="U776">
        <f>YEAR(support_tickets[[#This Row],[opened_at]])*100+MONTH(support_tickets[[#This Row],[opened_at]])</f>
        <v>202403</v>
      </c>
      <c r="V776" s="29">
        <f>DATE(YEAR(support_tickets[[#This Row],[opened_at]]),MONTH(support_tickets[[#This Row],[opened_at]]),1)</f>
        <v>45352</v>
      </c>
    </row>
    <row r="777" spans="1:22">
      <c r="A777">
        <v>7329608508</v>
      </c>
      <c r="B777">
        <v>140229006</v>
      </c>
      <c r="C777" t="s">
        <v>1346</v>
      </c>
      <c r="D777" t="s">
        <v>1347</v>
      </c>
      <c r="E777">
        <v>31429110</v>
      </c>
      <c r="G777" s="1">
        <v>45516.806134259263</v>
      </c>
      <c r="H777" s="1">
        <v>45517.157523148147</v>
      </c>
      <c r="I777" t="s">
        <v>3</v>
      </c>
      <c r="J777" t="s">
        <v>19</v>
      </c>
      <c r="K777" t="s">
        <v>47</v>
      </c>
      <c r="L777" t="s">
        <v>39</v>
      </c>
      <c r="M777">
        <v>21</v>
      </c>
      <c r="N777">
        <v>506</v>
      </c>
      <c r="O777">
        <v>0</v>
      </c>
      <c r="P777" t="s">
        <v>22</v>
      </c>
      <c r="Q777">
        <v>1080</v>
      </c>
      <c r="R777" t="s">
        <v>39</v>
      </c>
      <c r="S777">
        <f>IF(support_tickets[[#This Row],[status_cleaned]]="closed",1,0)</f>
        <v>1</v>
      </c>
      <c r="T777" t="str">
        <f>TEXT(support_tickets[[#This Row],[opened_at]],"mmm yyyy")</f>
        <v>Aug 2024</v>
      </c>
      <c r="U777">
        <f>YEAR(support_tickets[[#This Row],[opened_at]])*100+MONTH(support_tickets[[#This Row],[opened_at]])</f>
        <v>202408</v>
      </c>
      <c r="V777" s="29">
        <f>DATE(YEAR(support_tickets[[#This Row],[opened_at]]),MONTH(support_tickets[[#This Row],[opened_at]]),1)</f>
        <v>45505</v>
      </c>
    </row>
    <row r="778" spans="1:22">
      <c r="A778">
        <v>7373507987</v>
      </c>
      <c r="B778">
        <v>548700579</v>
      </c>
      <c r="C778" t="s">
        <v>1356</v>
      </c>
      <c r="D778" t="s">
        <v>1357</v>
      </c>
      <c r="E778">
        <v>98550256</v>
      </c>
      <c r="F778">
        <v>3602111250</v>
      </c>
      <c r="G778" s="1">
        <v>45396.373576388891</v>
      </c>
      <c r="H778" s="1">
        <v>45396.805520833332</v>
      </c>
      <c r="I778" t="s">
        <v>3</v>
      </c>
      <c r="J778" t="s">
        <v>86</v>
      </c>
      <c r="K778" t="s">
        <v>47</v>
      </c>
      <c r="L778" t="s">
        <v>39</v>
      </c>
      <c r="M778">
        <v>51</v>
      </c>
      <c r="N778">
        <v>622</v>
      </c>
      <c r="O778">
        <v>0</v>
      </c>
      <c r="P778" t="s">
        <v>87</v>
      </c>
      <c r="Q778">
        <v>1087</v>
      </c>
      <c r="R778" t="s">
        <v>39</v>
      </c>
      <c r="S778">
        <f>IF(support_tickets[[#This Row],[status_cleaned]]="closed",1,0)</f>
        <v>1</v>
      </c>
      <c r="T778" t="str">
        <f>TEXT(support_tickets[[#This Row],[opened_at]],"mmm yyyy")</f>
        <v>Apr 2024</v>
      </c>
      <c r="U778">
        <f>YEAR(support_tickets[[#This Row],[opened_at]])*100+MONTH(support_tickets[[#This Row],[opened_at]])</f>
        <v>202404</v>
      </c>
      <c r="V778" s="29">
        <f>DATE(YEAR(support_tickets[[#This Row],[opened_at]]),MONTH(support_tickets[[#This Row],[opened_at]]),1)</f>
        <v>45383</v>
      </c>
    </row>
    <row r="779" spans="1:22">
      <c r="A779">
        <v>7522186733</v>
      </c>
      <c r="B779">
        <v>788255012</v>
      </c>
      <c r="C779" t="s">
        <v>386</v>
      </c>
      <c r="D779" t="s">
        <v>387</v>
      </c>
      <c r="E779">
        <v>61642594</v>
      </c>
      <c r="F779">
        <v>4400697308</v>
      </c>
      <c r="G779" s="1">
        <v>45796.531064814815</v>
      </c>
      <c r="H779" s="1">
        <v>45796.535231481481</v>
      </c>
      <c r="I779" t="s">
        <v>18</v>
      </c>
      <c r="J779" t="s">
        <v>30</v>
      </c>
      <c r="K779" t="s">
        <v>47</v>
      </c>
      <c r="L779" t="s">
        <v>39</v>
      </c>
      <c r="M779">
        <v>1</v>
      </c>
      <c r="N779">
        <v>6</v>
      </c>
      <c r="O779">
        <v>0</v>
      </c>
      <c r="P779" t="s">
        <v>31</v>
      </c>
      <c r="Q779">
        <v>1110</v>
      </c>
      <c r="R779" t="s">
        <v>39</v>
      </c>
      <c r="S779">
        <f>IF(support_tickets[[#This Row],[status_cleaned]]="closed",1,0)</f>
        <v>1</v>
      </c>
      <c r="T779" t="str">
        <f>TEXT(support_tickets[[#This Row],[opened_at]],"mmm yyyy")</f>
        <v>May 2025</v>
      </c>
      <c r="U779">
        <f>YEAR(support_tickets[[#This Row],[opened_at]])*100+MONTH(support_tickets[[#This Row],[opened_at]])</f>
        <v>202505</v>
      </c>
      <c r="V779" s="29">
        <f>DATE(YEAR(support_tickets[[#This Row],[opened_at]]),MONTH(support_tickets[[#This Row],[opened_at]]),1)</f>
        <v>45778</v>
      </c>
    </row>
    <row r="780" spans="1:22">
      <c r="A780">
        <v>7562248692</v>
      </c>
      <c r="B780">
        <v>872649234</v>
      </c>
      <c r="C780" t="s">
        <v>1330</v>
      </c>
      <c r="D780" t="s">
        <v>1331</v>
      </c>
      <c r="E780">
        <v>41227216</v>
      </c>
      <c r="G780" s="1">
        <v>45698.856516203705</v>
      </c>
      <c r="H780" s="1">
        <v>45699.087766203702</v>
      </c>
      <c r="I780" t="s">
        <v>56</v>
      </c>
      <c r="J780" t="s">
        <v>25</v>
      </c>
      <c r="K780" t="s">
        <v>47</v>
      </c>
      <c r="L780" t="s">
        <v>39</v>
      </c>
      <c r="M780">
        <v>50</v>
      </c>
      <c r="N780">
        <v>333</v>
      </c>
      <c r="O780">
        <v>0</v>
      </c>
      <c r="P780" t="s">
        <v>27</v>
      </c>
      <c r="Q780">
        <v>1117</v>
      </c>
      <c r="R780" t="s">
        <v>39</v>
      </c>
      <c r="S780">
        <f>IF(support_tickets[[#This Row],[status_cleaned]]="closed",1,0)</f>
        <v>1</v>
      </c>
      <c r="T780" t="str">
        <f>TEXT(support_tickets[[#This Row],[opened_at]],"mmm yyyy")</f>
        <v>Feb 2025</v>
      </c>
      <c r="U780">
        <f>YEAR(support_tickets[[#This Row],[opened_at]])*100+MONTH(support_tickets[[#This Row],[opened_at]])</f>
        <v>202502</v>
      </c>
      <c r="V780" s="29">
        <f>DATE(YEAR(support_tickets[[#This Row],[opened_at]]),MONTH(support_tickets[[#This Row],[opened_at]]),1)</f>
        <v>45689</v>
      </c>
    </row>
    <row r="781" spans="1:22">
      <c r="A781">
        <v>7704591830</v>
      </c>
      <c r="B781">
        <v>492750748</v>
      </c>
      <c r="C781" t="s">
        <v>630</v>
      </c>
      <c r="D781" t="s">
        <v>631</v>
      </c>
      <c r="E781">
        <v>10076758</v>
      </c>
      <c r="F781">
        <v>8783691893</v>
      </c>
      <c r="G781" s="1">
        <v>46027.674108796295</v>
      </c>
      <c r="H781" s="1">
        <v>46028.162303240744</v>
      </c>
      <c r="I781" t="s">
        <v>18</v>
      </c>
      <c r="J781" t="s">
        <v>86</v>
      </c>
      <c r="K781" t="s">
        <v>47</v>
      </c>
      <c r="L781" t="s">
        <v>39</v>
      </c>
      <c r="M781">
        <v>9</v>
      </c>
      <c r="N781">
        <v>703</v>
      </c>
      <c r="O781">
        <v>0</v>
      </c>
      <c r="P781" t="s">
        <v>87</v>
      </c>
      <c r="Q781">
        <v>1147</v>
      </c>
      <c r="R781" t="s">
        <v>39</v>
      </c>
      <c r="S781">
        <f>IF(support_tickets[[#This Row],[status_cleaned]]="closed",1,0)</f>
        <v>1</v>
      </c>
      <c r="T781" t="str">
        <f>TEXT(support_tickets[[#This Row],[opened_at]],"mmm yyyy")</f>
        <v>Jan 2026</v>
      </c>
      <c r="U781">
        <f>YEAR(support_tickets[[#This Row],[opened_at]])*100+MONTH(support_tickets[[#This Row],[opened_at]])</f>
        <v>202601</v>
      </c>
      <c r="V781" s="29">
        <f>DATE(YEAR(support_tickets[[#This Row],[opened_at]]),MONTH(support_tickets[[#This Row],[opened_at]]),1)</f>
        <v>46023</v>
      </c>
    </row>
    <row r="782" spans="1:22">
      <c r="A782">
        <v>7882014958</v>
      </c>
      <c r="B782">
        <v>499446327</v>
      </c>
      <c r="C782" t="s">
        <v>1252</v>
      </c>
      <c r="D782" t="s">
        <v>1253</v>
      </c>
      <c r="E782">
        <v>63100814</v>
      </c>
      <c r="G782" s="1">
        <v>45917.591365740744</v>
      </c>
      <c r="H782" s="1">
        <v>45917.728865740741</v>
      </c>
      <c r="I782" t="s">
        <v>52</v>
      </c>
      <c r="J782" t="s">
        <v>59</v>
      </c>
      <c r="K782" t="s">
        <v>47</v>
      </c>
      <c r="L782" t="s">
        <v>39</v>
      </c>
      <c r="M782">
        <v>2</v>
      </c>
      <c r="N782">
        <v>198</v>
      </c>
      <c r="O782">
        <v>0</v>
      </c>
      <c r="P782" t="s">
        <v>61</v>
      </c>
      <c r="Q782">
        <v>1171</v>
      </c>
      <c r="R782" t="s">
        <v>39</v>
      </c>
      <c r="S782">
        <f>IF(support_tickets[[#This Row],[status_cleaned]]="closed",1,0)</f>
        <v>1</v>
      </c>
      <c r="T782" t="str">
        <f>TEXT(support_tickets[[#This Row],[opened_at]],"mmm yyyy")</f>
        <v>Sep 2025</v>
      </c>
      <c r="U782">
        <f>YEAR(support_tickets[[#This Row],[opened_at]])*100+MONTH(support_tickets[[#This Row],[opened_at]])</f>
        <v>202509</v>
      </c>
      <c r="V782" s="29">
        <f>DATE(YEAR(support_tickets[[#This Row],[opened_at]]),MONTH(support_tickets[[#This Row],[opened_at]]),1)</f>
        <v>45901</v>
      </c>
    </row>
    <row r="783" spans="1:22">
      <c r="A783">
        <v>7922345853</v>
      </c>
      <c r="B783">
        <v>322631460</v>
      </c>
      <c r="C783" t="s">
        <v>1388</v>
      </c>
      <c r="D783" t="s">
        <v>1389</v>
      </c>
      <c r="E783">
        <v>29175900</v>
      </c>
      <c r="F783">
        <v>8094961855</v>
      </c>
      <c r="G783" s="1">
        <v>46017.103958333333</v>
      </c>
      <c r="H783" s="1">
        <v>46017.378958333335</v>
      </c>
      <c r="I783" t="s">
        <v>43</v>
      </c>
      <c r="J783" t="s">
        <v>19</v>
      </c>
      <c r="K783" t="s">
        <v>47</v>
      </c>
      <c r="L783" t="s">
        <v>39</v>
      </c>
      <c r="M783">
        <v>40</v>
      </c>
      <c r="N783">
        <v>396</v>
      </c>
      <c r="O783">
        <v>0</v>
      </c>
      <c r="P783" t="s">
        <v>22</v>
      </c>
      <c r="Q783">
        <v>1174</v>
      </c>
      <c r="R783" t="s">
        <v>39</v>
      </c>
      <c r="S783">
        <f>IF(support_tickets[[#This Row],[status_cleaned]]="closed",1,0)</f>
        <v>1</v>
      </c>
      <c r="T783" t="str">
        <f>TEXT(support_tickets[[#This Row],[opened_at]],"mmm yyyy")</f>
        <v>Dec 2025</v>
      </c>
      <c r="U783">
        <f>YEAR(support_tickets[[#This Row],[opened_at]])*100+MONTH(support_tickets[[#This Row],[opened_at]])</f>
        <v>202512</v>
      </c>
      <c r="V783" s="29">
        <f>DATE(YEAR(support_tickets[[#This Row],[opened_at]]),MONTH(support_tickets[[#This Row],[opened_at]]),1)</f>
        <v>45992</v>
      </c>
    </row>
    <row r="784" spans="1:22">
      <c r="A784">
        <v>7937815039</v>
      </c>
      <c r="B784">
        <v>316456682</v>
      </c>
      <c r="C784" t="s">
        <v>430</v>
      </c>
      <c r="D784" t="s">
        <v>431</v>
      </c>
      <c r="E784">
        <v>63606628</v>
      </c>
      <c r="G784" s="1">
        <v>45919.477824074071</v>
      </c>
      <c r="H784" s="1">
        <v>45919.777824074074</v>
      </c>
      <c r="I784" t="s">
        <v>43</v>
      </c>
      <c r="J784" t="s">
        <v>30</v>
      </c>
      <c r="K784" t="s">
        <v>47</v>
      </c>
      <c r="L784" t="s">
        <v>39</v>
      </c>
      <c r="M784">
        <v>57</v>
      </c>
      <c r="N784">
        <v>432</v>
      </c>
      <c r="O784">
        <v>0</v>
      </c>
      <c r="P784" t="s">
        <v>31</v>
      </c>
      <c r="Q784">
        <v>1175</v>
      </c>
      <c r="R784" t="s">
        <v>39</v>
      </c>
      <c r="S784">
        <f>IF(support_tickets[[#This Row],[status_cleaned]]="closed",1,0)</f>
        <v>1</v>
      </c>
      <c r="T784" t="str">
        <f>TEXT(support_tickets[[#This Row],[opened_at]],"mmm yyyy")</f>
        <v>Sep 2025</v>
      </c>
      <c r="U784">
        <f>YEAR(support_tickets[[#This Row],[opened_at]])*100+MONTH(support_tickets[[#This Row],[opened_at]])</f>
        <v>202509</v>
      </c>
      <c r="V784" s="29">
        <f>DATE(YEAR(support_tickets[[#This Row],[opened_at]]),MONTH(support_tickets[[#This Row],[opened_at]]),1)</f>
        <v>45901</v>
      </c>
    </row>
    <row r="785" spans="1:22">
      <c r="A785">
        <v>8018052519</v>
      </c>
      <c r="B785">
        <v>475364113</v>
      </c>
      <c r="C785" t="s">
        <v>80</v>
      </c>
      <c r="D785" t="s">
        <v>81</v>
      </c>
      <c r="E785">
        <v>93016315</v>
      </c>
      <c r="G785" s="1">
        <v>45879.006643518522</v>
      </c>
      <c r="H785" s="1">
        <v>45879.054560185185</v>
      </c>
      <c r="I785" t="s">
        <v>46</v>
      </c>
      <c r="J785" t="s">
        <v>59</v>
      </c>
      <c r="K785" t="s">
        <v>47</v>
      </c>
      <c r="L785" t="s">
        <v>39</v>
      </c>
      <c r="M785">
        <v>22</v>
      </c>
      <c r="N785">
        <v>69</v>
      </c>
      <c r="O785">
        <v>0</v>
      </c>
      <c r="P785" t="s">
        <v>61</v>
      </c>
      <c r="Q785">
        <v>1185</v>
      </c>
      <c r="R785" t="s">
        <v>39</v>
      </c>
      <c r="S785">
        <f>IF(support_tickets[[#This Row],[status_cleaned]]="closed",1,0)</f>
        <v>1</v>
      </c>
      <c r="T785" t="str">
        <f>TEXT(support_tickets[[#This Row],[opened_at]],"mmm yyyy")</f>
        <v>Aug 2025</v>
      </c>
      <c r="U785">
        <f>YEAR(support_tickets[[#This Row],[opened_at]])*100+MONTH(support_tickets[[#This Row],[opened_at]])</f>
        <v>202508</v>
      </c>
      <c r="V785" s="29">
        <f>DATE(YEAR(support_tickets[[#This Row],[opened_at]]),MONTH(support_tickets[[#This Row],[opened_at]]),1)</f>
        <v>45870</v>
      </c>
    </row>
    <row r="786" spans="1:22">
      <c r="A786">
        <v>8034322712</v>
      </c>
      <c r="B786">
        <v>543412542</v>
      </c>
      <c r="C786" t="s">
        <v>484</v>
      </c>
      <c r="D786" t="s">
        <v>485</v>
      </c>
      <c r="E786">
        <v>91030736</v>
      </c>
      <c r="G786" s="1">
        <v>45950.02616898148</v>
      </c>
      <c r="H786" s="1">
        <v>45950.237280092595</v>
      </c>
      <c r="I786" t="s">
        <v>46</v>
      </c>
      <c r="J786" t="s">
        <v>86</v>
      </c>
      <c r="K786" t="s">
        <v>47</v>
      </c>
      <c r="L786" t="s">
        <v>39</v>
      </c>
      <c r="M786">
        <v>37</v>
      </c>
      <c r="N786">
        <v>304</v>
      </c>
      <c r="O786">
        <v>0</v>
      </c>
      <c r="P786" t="s">
        <v>87</v>
      </c>
      <c r="Q786">
        <v>1189</v>
      </c>
      <c r="R786" t="s">
        <v>39</v>
      </c>
      <c r="S786">
        <f>IF(support_tickets[[#This Row],[status_cleaned]]="closed",1,0)</f>
        <v>1</v>
      </c>
      <c r="T786" t="str">
        <f>TEXT(support_tickets[[#This Row],[opened_at]],"mmm yyyy")</f>
        <v>Oct 2025</v>
      </c>
      <c r="U786">
        <f>YEAR(support_tickets[[#This Row],[opened_at]])*100+MONTH(support_tickets[[#This Row],[opened_at]])</f>
        <v>202510</v>
      </c>
      <c r="V786" s="29">
        <f>DATE(YEAR(support_tickets[[#This Row],[opened_at]]),MONTH(support_tickets[[#This Row],[opened_at]]),1)</f>
        <v>45931</v>
      </c>
    </row>
    <row r="787" spans="1:22">
      <c r="A787">
        <v>8063555243</v>
      </c>
      <c r="B787">
        <v>217281149</v>
      </c>
      <c r="C787" t="s">
        <v>1425</v>
      </c>
      <c r="D787" t="s">
        <v>1426</v>
      </c>
      <c r="E787">
        <v>32162965</v>
      </c>
      <c r="G787" s="1">
        <v>45337.613541666666</v>
      </c>
      <c r="H787" s="1">
        <v>45337.73715277778</v>
      </c>
      <c r="I787" t="s">
        <v>46</v>
      </c>
      <c r="J787" t="s">
        <v>38</v>
      </c>
      <c r="K787" t="s">
        <v>47</v>
      </c>
      <c r="L787" t="s">
        <v>39</v>
      </c>
      <c r="M787">
        <v>57</v>
      </c>
      <c r="N787">
        <v>178</v>
      </c>
      <c r="O787">
        <v>0</v>
      </c>
      <c r="P787" t="s">
        <v>40</v>
      </c>
      <c r="Q787">
        <v>1191</v>
      </c>
      <c r="R787" t="s">
        <v>39</v>
      </c>
      <c r="S787">
        <f>IF(support_tickets[[#This Row],[status_cleaned]]="closed",1,0)</f>
        <v>1</v>
      </c>
      <c r="T787" t="str">
        <f>TEXT(support_tickets[[#This Row],[opened_at]],"mmm yyyy")</f>
        <v>Feb 2024</v>
      </c>
      <c r="U787">
        <f>YEAR(support_tickets[[#This Row],[opened_at]])*100+MONTH(support_tickets[[#This Row],[opened_at]])</f>
        <v>202402</v>
      </c>
      <c r="V787" s="29">
        <f>DATE(YEAR(support_tickets[[#This Row],[opened_at]]),MONTH(support_tickets[[#This Row],[opened_at]]),1)</f>
        <v>45323</v>
      </c>
    </row>
    <row r="788" spans="1:22">
      <c r="A788">
        <v>8108540153</v>
      </c>
      <c r="B788">
        <v>492750748</v>
      </c>
      <c r="C788" t="s">
        <v>630</v>
      </c>
      <c r="D788" t="s">
        <v>631</v>
      </c>
      <c r="E788">
        <v>52339391</v>
      </c>
      <c r="G788" s="1">
        <v>45608.020775462966</v>
      </c>
      <c r="H788" s="1">
        <v>45608.556192129632</v>
      </c>
      <c r="I788" t="s">
        <v>18</v>
      </c>
      <c r="J788" t="s">
        <v>25</v>
      </c>
      <c r="K788" t="s">
        <v>47</v>
      </c>
      <c r="L788" t="s">
        <v>39</v>
      </c>
      <c r="M788">
        <v>3</v>
      </c>
      <c r="N788">
        <v>771</v>
      </c>
      <c r="O788">
        <v>0</v>
      </c>
      <c r="P788" t="s">
        <v>27</v>
      </c>
      <c r="Q788">
        <v>1197</v>
      </c>
      <c r="R788" t="s">
        <v>39</v>
      </c>
      <c r="S788">
        <f>IF(support_tickets[[#This Row],[status_cleaned]]="closed",1,0)</f>
        <v>1</v>
      </c>
      <c r="T788" t="str">
        <f>TEXT(support_tickets[[#This Row],[opened_at]],"mmm yyyy")</f>
        <v>Nov 2024</v>
      </c>
      <c r="U788">
        <f>YEAR(support_tickets[[#This Row],[opened_at]])*100+MONTH(support_tickets[[#This Row],[opened_at]])</f>
        <v>202411</v>
      </c>
      <c r="V788" s="29">
        <f>DATE(YEAR(support_tickets[[#This Row],[opened_at]]),MONTH(support_tickets[[#This Row],[opened_at]]),1)</f>
        <v>45597</v>
      </c>
    </row>
    <row r="789" spans="1:22">
      <c r="A789">
        <v>8262720206</v>
      </c>
      <c r="B789">
        <v>128636900</v>
      </c>
      <c r="C789" t="s">
        <v>82</v>
      </c>
      <c r="D789" t="s">
        <v>83</v>
      </c>
      <c r="E789">
        <v>71662963</v>
      </c>
      <c r="G789" s="1">
        <v>45813.181631944448</v>
      </c>
      <c r="H789" s="1">
        <v>45813.743437500001</v>
      </c>
      <c r="I789" t="s">
        <v>3</v>
      </c>
      <c r="J789" t="s">
        <v>25</v>
      </c>
      <c r="K789" t="s">
        <v>47</v>
      </c>
      <c r="L789" t="s">
        <v>39</v>
      </c>
      <c r="M789">
        <v>14</v>
      </c>
      <c r="N789">
        <v>809</v>
      </c>
      <c r="O789">
        <v>0</v>
      </c>
      <c r="P789" t="s">
        <v>27</v>
      </c>
      <c r="Q789">
        <v>1225</v>
      </c>
      <c r="R789" t="s">
        <v>39</v>
      </c>
      <c r="S789">
        <f>IF(support_tickets[[#This Row],[status_cleaned]]="closed",1,0)</f>
        <v>1</v>
      </c>
      <c r="T789" t="str">
        <f>TEXT(support_tickets[[#This Row],[opened_at]],"mmm yyyy")</f>
        <v>Jun 2025</v>
      </c>
      <c r="U789">
        <f>YEAR(support_tickets[[#This Row],[opened_at]])*100+MONTH(support_tickets[[#This Row],[opened_at]])</f>
        <v>202506</v>
      </c>
      <c r="V789" s="29">
        <f>DATE(YEAR(support_tickets[[#This Row],[opened_at]]),MONTH(support_tickets[[#This Row],[opened_at]]),1)</f>
        <v>45809</v>
      </c>
    </row>
    <row r="790" spans="1:22">
      <c r="A790">
        <v>8311872268</v>
      </c>
      <c r="B790">
        <v>144996163</v>
      </c>
      <c r="C790" t="s">
        <v>280</v>
      </c>
      <c r="D790" t="s">
        <v>281</v>
      </c>
      <c r="E790">
        <v>97226012</v>
      </c>
      <c r="F790">
        <v>5892956017</v>
      </c>
      <c r="G790" s="1">
        <v>45515.606134259258</v>
      </c>
      <c r="H790" s="1">
        <v>45516.143634259257</v>
      </c>
      <c r="I790" t="s">
        <v>3</v>
      </c>
      <c r="J790" t="s">
        <v>59</v>
      </c>
      <c r="K790" t="s">
        <v>47</v>
      </c>
      <c r="L790" t="s">
        <v>39</v>
      </c>
      <c r="M790">
        <v>1</v>
      </c>
      <c r="N790">
        <v>774</v>
      </c>
      <c r="O790">
        <v>0</v>
      </c>
      <c r="P790" t="s">
        <v>61</v>
      </c>
      <c r="Q790">
        <v>1230</v>
      </c>
      <c r="R790" t="s">
        <v>39</v>
      </c>
      <c r="S790">
        <f>IF(support_tickets[[#This Row],[status_cleaned]]="closed",1,0)</f>
        <v>1</v>
      </c>
      <c r="T790" t="str">
        <f>TEXT(support_tickets[[#This Row],[opened_at]],"mmm yyyy")</f>
        <v>Aug 2024</v>
      </c>
      <c r="U790">
        <f>YEAR(support_tickets[[#This Row],[opened_at]])*100+MONTH(support_tickets[[#This Row],[opened_at]])</f>
        <v>202408</v>
      </c>
      <c r="V790" s="29">
        <f>DATE(YEAR(support_tickets[[#This Row],[opened_at]]),MONTH(support_tickets[[#This Row],[opened_at]]),1)</f>
        <v>45505</v>
      </c>
    </row>
    <row r="791" spans="1:22">
      <c r="A791">
        <v>8442057019</v>
      </c>
      <c r="B791">
        <v>749715626</v>
      </c>
      <c r="C791" t="s">
        <v>934</v>
      </c>
      <c r="D791" t="s">
        <v>935</v>
      </c>
      <c r="E791">
        <v>20570592</v>
      </c>
      <c r="G791" s="1">
        <v>45647.823831018519</v>
      </c>
      <c r="H791" s="1">
        <v>45648.312025462961</v>
      </c>
      <c r="I791" t="s">
        <v>52</v>
      </c>
      <c r="J791" t="s">
        <v>25</v>
      </c>
      <c r="K791" t="s">
        <v>47</v>
      </c>
      <c r="L791" t="s">
        <v>39</v>
      </c>
      <c r="M791">
        <v>72</v>
      </c>
      <c r="N791">
        <v>703</v>
      </c>
      <c r="O791">
        <v>0</v>
      </c>
      <c r="P791" t="s">
        <v>27</v>
      </c>
      <c r="Q791">
        <v>1245</v>
      </c>
      <c r="R791" t="s">
        <v>39</v>
      </c>
      <c r="S791">
        <f>IF(support_tickets[[#This Row],[status_cleaned]]="closed",1,0)</f>
        <v>1</v>
      </c>
      <c r="T791" t="str">
        <f>TEXT(support_tickets[[#This Row],[opened_at]],"mmm yyyy")</f>
        <v>Dec 2024</v>
      </c>
      <c r="U791">
        <f>YEAR(support_tickets[[#This Row],[opened_at]])*100+MONTH(support_tickets[[#This Row],[opened_at]])</f>
        <v>202412</v>
      </c>
      <c r="V791" s="29">
        <f>DATE(YEAR(support_tickets[[#This Row],[opened_at]]),MONTH(support_tickets[[#This Row],[opened_at]]),1)</f>
        <v>45627</v>
      </c>
    </row>
    <row r="792" spans="1:22">
      <c r="A792">
        <v>8522334977</v>
      </c>
      <c r="B792">
        <v>334517688</v>
      </c>
      <c r="C792" t="s">
        <v>248</v>
      </c>
      <c r="D792" t="s">
        <v>249</v>
      </c>
      <c r="E792">
        <v>31931511</v>
      </c>
      <c r="G792" s="1">
        <v>45492.450277777774</v>
      </c>
      <c r="H792" s="1">
        <v>45492.756527777776</v>
      </c>
      <c r="I792" t="s">
        <v>3</v>
      </c>
      <c r="J792" t="s">
        <v>38</v>
      </c>
      <c r="K792" t="s">
        <v>47</v>
      </c>
      <c r="L792" t="s">
        <v>39</v>
      </c>
      <c r="M792">
        <v>62</v>
      </c>
      <c r="N792">
        <v>441</v>
      </c>
      <c r="O792">
        <v>0</v>
      </c>
      <c r="P792" t="s">
        <v>40</v>
      </c>
      <c r="Q792">
        <v>1261</v>
      </c>
      <c r="R792" t="s">
        <v>39</v>
      </c>
      <c r="S792">
        <f>IF(support_tickets[[#This Row],[status_cleaned]]="closed",1,0)</f>
        <v>1</v>
      </c>
      <c r="T792" t="str">
        <f>TEXT(support_tickets[[#This Row],[opened_at]],"mmm yyyy")</f>
        <v>Jul 2024</v>
      </c>
      <c r="U792">
        <f>YEAR(support_tickets[[#This Row],[opened_at]])*100+MONTH(support_tickets[[#This Row],[opened_at]])</f>
        <v>202407</v>
      </c>
      <c r="V792" s="29">
        <f>DATE(YEAR(support_tickets[[#This Row],[opened_at]]),MONTH(support_tickets[[#This Row],[opened_at]]),1)</f>
        <v>45474</v>
      </c>
    </row>
    <row r="793" spans="1:22">
      <c r="A793">
        <v>8550388932</v>
      </c>
      <c r="B793">
        <v>690554938</v>
      </c>
      <c r="C793" t="s">
        <v>240</v>
      </c>
      <c r="D793" t="s">
        <v>241</v>
      </c>
      <c r="E793">
        <v>32969840</v>
      </c>
      <c r="G793" s="1">
        <v>45826.734942129631</v>
      </c>
      <c r="H793" s="1">
        <v>45826.888414351852</v>
      </c>
      <c r="I793" t="s">
        <v>52</v>
      </c>
      <c r="J793" t="s">
        <v>25</v>
      </c>
      <c r="K793" t="s">
        <v>47</v>
      </c>
      <c r="L793" t="s">
        <v>39</v>
      </c>
      <c r="M793">
        <v>41</v>
      </c>
      <c r="N793">
        <v>221</v>
      </c>
      <c r="O793">
        <v>0</v>
      </c>
      <c r="P793" t="s">
        <v>27</v>
      </c>
      <c r="Q793">
        <v>1269</v>
      </c>
      <c r="R793" t="s">
        <v>39</v>
      </c>
      <c r="S793">
        <f>IF(support_tickets[[#This Row],[status_cleaned]]="closed",1,0)</f>
        <v>1</v>
      </c>
      <c r="T793" t="str">
        <f>TEXT(support_tickets[[#This Row],[opened_at]],"mmm yyyy")</f>
        <v>Jun 2025</v>
      </c>
      <c r="U793">
        <f>YEAR(support_tickets[[#This Row],[opened_at]])*100+MONTH(support_tickets[[#This Row],[opened_at]])</f>
        <v>202506</v>
      </c>
      <c r="V793" s="29">
        <f>DATE(YEAR(support_tickets[[#This Row],[opened_at]]),MONTH(support_tickets[[#This Row],[opened_at]]),1)</f>
        <v>45809</v>
      </c>
    </row>
    <row r="794" spans="1:22">
      <c r="A794">
        <v>8557322555</v>
      </c>
      <c r="B794">
        <v>417604347</v>
      </c>
      <c r="C794" t="s">
        <v>814</v>
      </c>
      <c r="D794" t="s">
        <v>815</v>
      </c>
      <c r="E794">
        <v>23756669</v>
      </c>
      <c r="F794">
        <v>7634187301</v>
      </c>
      <c r="G794" s="1">
        <v>46037.476712962962</v>
      </c>
      <c r="H794" s="1">
        <v>46037.712824074071</v>
      </c>
      <c r="I794" t="s">
        <v>18</v>
      </c>
      <c r="J794" t="s">
        <v>86</v>
      </c>
      <c r="K794" t="s">
        <v>47</v>
      </c>
      <c r="L794" t="s">
        <v>39</v>
      </c>
      <c r="M794">
        <v>67</v>
      </c>
      <c r="N794">
        <v>340</v>
      </c>
      <c r="O794">
        <v>0</v>
      </c>
      <c r="P794" t="s">
        <v>87</v>
      </c>
      <c r="Q794">
        <v>1270</v>
      </c>
      <c r="R794" t="s">
        <v>39</v>
      </c>
      <c r="S794">
        <f>IF(support_tickets[[#This Row],[status_cleaned]]="closed",1,0)</f>
        <v>1</v>
      </c>
      <c r="T794" t="str">
        <f>TEXT(support_tickets[[#This Row],[opened_at]],"mmm yyyy")</f>
        <v>Jan 2026</v>
      </c>
      <c r="U794">
        <f>YEAR(support_tickets[[#This Row],[opened_at]])*100+MONTH(support_tickets[[#This Row],[opened_at]])</f>
        <v>202601</v>
      </c>
      <c r="V794" s="29">
        <f>DATE(YEAR(support_tickets[[#This Row],[opened_at]]),MONTH(support_tickets[[#This Row],[opened_at]]),1)</f>
        <v>46023</v>
      </c>
    </row>
    <row r="795" spans="1:22">
      <c r="A795">
        <v>8820108666</v>
      </c>
      <c r="B795">
        <v>874364174</v>
      </c>
      <c r="C795" t="s">
        <v>278</v>
      </c>
      <c r="D795" t="s">
        <v>279</v>
      </c>
      <c r="E795">
        <v>55667651</v>
      </c>
      <c r="G795" s="1">
        <v>45918.842037037037</v>
      </c>
      <c r="H795" s="1">
        <v>45919.461481481485</v>
      </c>
      <c r="I795" t="s">
        <v>46</v>
      </c>
      <c r="J795" t="s">
        <v>25</v>
      </c>
      <c r="K795" t="s">
        <v>47</v>
      </c>
      <c r="L795" t="s">
        <v>39</v>
      </c>
      <c r="M795">
        <v>3</v>
      </c>
      <c r="N795">
        <v>892</v>
      </c>
      <c r="O795">
        <v>0</v>
      </c>
      <c r="P795" t="s">
        <v>27</v>
      </c>
      <c r="Q795">
        <v>1314</v>
      </c>
      <c r="R795" t="s">
        <v>39</v>
      </c>
      <c r="S795">
        <f>IF(support_tickets[[#This Row],[status_cleaned]]="closed",1,0)</f>
        <v>1</v>
      </c>
      <c r="T795" t="str">
        <f>TEXT(support_tickets[[#This Row],[opened_at]],"mmm yyyy")</f>
        <v>Sep 2025</v>
      </c>
      <c r="U795">
        <f>YEAR(support_tickets[[#This Row],[opened_at]])*100+MONTH(support_tickets[[#This Row],[opened_at]])</f>
        <v>202509</v>
      </c>
      <c r="V795" s="29">
        <f>DATE(YEAR(support_tickets[[#This Row],[opened_at]]),MONTH(support_tickets[[#This Row],[opened_at]]),1)</f>
        <v>45901</v>
      </c>
    </row>
    <row r="796" spans="1:22">
      <c r="A796">
        <v>8832420150</v>
      </c>
      <c r="B796">
        <v>925884151</v>
      </c>
      <c r="C796" t="s">
        <v>322</v>
      </c>
      <c r="D796" t="s">
        <v>323</v>
      </c>
      <c r="E796">
        <v>31931511</v>
      </c>
      <c r="G796" s="1">
        <v>45874.231226851851</v>
      </c>
      <c r="H796" s="1">
        <v>45874.40761574074</v>
      </c>
      <c r="I796" t="s">
        <v>52</v>
      </c>
      <c r="J796" t="s">
        <v>30</v>
      </c>
      <c r="K796" t="s">
        <v>47</v>
      </c>
      <c r="L796" t="s">
        <v>39</v>
      </c>
      <c r="M796">
        <v>57</v>
      </c>
      <c r="N796">
        <v>254</v>
      </c>
      <c r="O796">
        <v>0</v>
      </c>
      <c r="P796" t="s">
        <v>31</v>
      </c>
      <c r="Q796">
        <v>1317</v>
      </c>
      <c r="R796" t="s">
        <v>39</v>
      </c>
      <c r="S796">
        <f>IF(support_tickets[[#This Row],[status_cleaned]]="closed",1,0)</f>
        <v>1</v>
      </c>
      <c r="T796" t="str">
        <f>TEXT(support_tickets[[#This Row],[opened_at]],"mmm yyyy")</f>
        <v>Aug 2025</v>
      </c>
      <c r="U796">
        <f>YEAR(support_tickets[[#This Row],[opened_at]])*100+MONTH(support_tickets[[#This Row],[opened_at]])</f>
        <v>202508</v>
      </c>
      <c r="V796" s="29">
        <f>DATE(YEAR(support_tickets[[#This Row],[opened_at]]),MONTH(support_tickets[[#This Row],[opened_at]]),1)</f>
        <v>45870</v>
      </c>
    </row>
    <row r="797" spans="1:22">
      <c r="A797">
        <v>8885111529</v>
      </c>
      <c r="B797">
        <v>501538092</v>
      </c>
      <c r="C797" t="s">
        <v>830</v>
      </c>
      <c r="D797" t="s">
        <v>831</v>
      </c>
      <c r="E797">
        <v>46913810</v>
      </c>
      <c r="G797" s="1">
        <v>45468.916331018518</v>
      </c>
      <c r="H797" s="1">
        <v>45468.994108796294</v>
      </c>
      <c r="I797" t="s">
        <v>37</v>
      </c>
      <c r="J797" t="s">
        <v>86</v>
      </c>
      <c r="K797" t="s">
        <v>47</v>
      </c>
      <c r="L797" t="s">
        <v>39</v>
      </c>
      <c r="M797">
        <v>32</v>
      </c>
      <c r="N797">
        <v>112</v>
      </c>
      <c r="O797">
        <v>0</v>
      </c>
      <c r="P797" t="s">
        <v>87</v>
      </c>
      <c r="Q797">
        <v>1325</v>
      </c>
      <c r="R797" t="s">
        <v>39</v>
      </c>
      <c r="S797">
        <f>IF(support_tickets[[#This Row],[status_cleaned]]="closed",1,0)</f>
        <v>1</v>
      </c>
      <c r="T797" t="str">
        <f>TEXT(support_tickets[[#This Row],[opened_at]],"mmm yyyy")</f>
        <v>Jun 2024</v>
      </c>
      <c r="U797">
        <f>YEAR(support_tickets[[#This Row],[opened_at]])*100+MONTH(support_tickets[[#This Row],[opened_at]])</f>
        <v>202406</v>
      </c>
      <c r="V797" s="29">
        <f>DATE(YEAR(support_tickets[[#This Row],[opened_at]]),MONTH(support_tickets[[#This Row],[opened_at]]),1)</f>
        <v>45444</v>
      </c>
    </row>
    <row r="798" spans="1:22">
      <c r="A798">
        <v>8971041739</v>
      </c>
      <c r="B798">
        <v>880697625</v>
      </c>
      <c r="C798" t="s">
        <v>1497</v>
      </c>
      <c r="D798" t="s">
        <v>1498</v>
      </c>
      <c r="E798">
        <v>30513739</v>
      </c>
      <c r="F798">
        <v>1691934899</v>
      </c>
      <c r="G798" s="1">
        <v>45593.967731481483</v>
      </c>
      <c r="H798" s="1">
        <v>45594.292731481481</v>
      </c>
      <c r="I798" t="s">
        <v>37</v>
      </c>
      <c r="J798" t="s">
        <v>25</v>
      </c>
      <c r="K798" t="s">
        <v>47</v>
      </c>
      <c r="L798" t="s">
        <v>39</v>
      </c>
      <c r="M798">
        <v>44</v>
      </c>
      <c r="N798">
        <v>468</v>
      </c>
      <c r="O798">
        <v>0</v>
      </c>
      <c r="P798" t="s">
        <v>27</v>
      </c>
      <c r="Q798">
        <v>1337</v>
      </c>
      <c r="R798" t="s">
        <v>39</v>
      </c>
      <c r="S798">
        <f>IF(support_tickets[[#This Row],[status_cleaned]]="closed",1,0)</f>
        <v>1</v>
      </c>
      <c r="T798" t="str">
        <f>TEXT(support_tickets[[#This Row],[opened_at]],"mmm yyyy")</f>
        <v>Oct 2024</v>
      </c>
      <c r="U798">
        <f>YEAR(support_tickets[[#This Row],[opened_at]])*100+MONTH(support_tickets[[#This Row],[opened_at]])</f>
        <v>202410</v>
      </c>
      <c r="V798" s="29">
        <f>DATE(YEAR(support_tickets[[#This Row],[opened_at]]),MONTH(support_tickets[[#This Row],[opened_at]]),1)</f>
        <v>45566</v>
      </c>
    </row>
    <row r="799" spans="1:22">
      <c r="A799">
        <v>9002512712</v>
      </c>
      <c r="B799">
        <v>146914391</v>
      </c>
      <c r="C799" t="s">
        <v>410</v>
      </c>
      <c r="D799" t="s">
        <v>411</v>
      </c>
      <c r="E799">
        <v>93016315</v>
      </c>
      <c r="F799">
        <v>1064174343</v>
      </c>
      <c r="G799" s="1">
        <v>46098.300486111111</v>
      </c>
      <c r="H799" s="1">
        <v>46098.386597222219</v>
      </c>
      <c r="I799" t="s">
        <v>18</v>
      </c>
      <c r="J799" t="s">
        <v>25</v>
      </c>
      <c r="K799" t="s">
        <v>47</v>
      </c>
      <c r="L799" t="s">
        <v>39</v>
      </c>
      <c r="M799">
        <v>21</v>
      </c>
      <c r="N799">
        <v>124</v>
      </c>
      <c r="O799">
        <v>0</v>
      </c>
      <c r="P799" t="s">
        <v>27</v>
      </c>
      <c r="Q799">
        <v>1346</v>
      </c>
      <c r="R799" t="s">
        <v>39</v>
      </c>
      <c r="S799">
        <f>IF(support_tickets[[#This Row],[status_cleaned]]="closed",1,0)</f>
        <v>1</v>
      </c>
      <c r="T799" t="str">
        <f>TEXT(support_tickets[[#This Row],[opened_at]],"mmm yyyy")</f>
        <v>Mar 2026</v>
      </c>
      <c r="U799">
        <f>YEAR(support_tickets[[#This Row],[opened_at]])*100+MONTH(support_tickets[[#This Row],[opened_at]])</f>
        <v>202603</v>
      </c>
      <c r="V799" s="29">
        <f>DATE(YEAR(support_tickets[[#This Row],[opened_at]]),MONTH(support_tickets[[#This Row],[opened_at]]),1)</f>
        <v>46082</v>
      </c>
    </row>
    <row r="800" spans="1:22">
      <c r="A800">
        <v>9018550283</v>
      </c>
      <c r="B800">
        <v>477470703</v>
      </c>
      <c r="C800" t="s">
        <v>1503</v>
      </c>
      <c r="D800" t="s">
        <v>1504</v>
      </c>
      <c r="E800">
        <v>31472420</v>
      </c>
      <c r="G800" s="1">
        <v>45857.656412037039</v>
      </c>
      <c r="H800" s="1">
        <v>45858.029328703706</v>
      </c>
      <c r="I800" t="s">
        <v>3</v>
      </c>
      <c r="J800" t="s">
        <v>25</v>
      </c>
      <c r="K800" t="s">
        <v>47</v>
      </c>
      <c r="L800" t="s">
        <v>39</v>
      </c>
      <c r="M800">
        <v>14</v>
      </c>
      <c r="N800">
        <v>537</v>
      </c>
      <c r="O800">
        <v>0</v>
      </c>
      <c r="P800" t="s">
        <v>27</v>
      </c>
      <c r="Q800">
        <v>1348</v>
      </c>
      <c r="R800" t="s">
        <v>39</v>
      </c>
      <c r="S800">
        <f>IF(support_tickets[[#This Row],[status_cleaned]]="closed",1,0)</f>
        <v>1</v>
      </c>
      <c r="T800" t="str">
        <f>TEXT(support_tickets[[#This Row],[opened_at]],"mmm yyyy")</f>
        <v>Jul 2025</v>
      </c>
      <c r="U800">
        <f>YEAR(support_tickets[[#This Row],[opened_at]])*100+MONTH(support_tickets[[#This Row],[opened_at]])</f>
        <v>202507</v>
      </c>
      <c r="V800" s="29">
        <f>DATE(YEAR(support_tickets[[#This Row],[opened_at]]),MONTH(support_tickets[[#This Row],[opened_at]]),1)</f>
        <v>45839</v>
      </c>
    </row>
    <row r="801" spans="1:22">
      <c r="A801">
        <v>9109638107</v>
      </c>
      <c r="B801">
        <v>156361897</v>
      </c>
      <c r="C801" t="s">
        <v>1012</v>
      </c>
      <c r="D801" t="s">
        <v>1013</v>
      </c>
      <c r="E801">
        <v>27232410</v>
      </c>
      <c r="G801" s="1">
        <v>45850.155115740738</v>
      </c>
      <c r="H801" s="1">
        <v>45850.762754629628</v>
      </c>
      <c r="I801" t="s">
        <v>37</v>
      </c>
      <c r="J801" t="s">
        <v>30</v>
      </c>
      <c r="K801" t="s">
        <v>47</v>
      </c>
      <c r="L801" t="s">
        <v>39</v>
      </c>
      <c r="M801">
        <v>58</v>
      </c>
      <c r="N801">
        <v>875</v>
      </c>
      <c r="O801">
        <v>0</v>
      </c>
      <c r="P801" t="s">
        <v>31</v>
      </c>
      <c r="Q801">
        <v>1369</v>
      </c>
      <c r="R801" t="s">
        <v>39</v>
      </c>
      <c r="S801">
        <f>IF(support_tickets[[#This Row],[status_cleaned]]="closed",1,0)</f>
        <v>1</v>
      </c>
      <c r="T801" t="str">
        <f>TEXT(support_tickets[[#This Row],[opened_at]],"mmm yyyy")</f>
        <v>Jul 2025</v>
      </c>
      <c r="U801">
        <f>YEAR(support_tickets[[#This Row],[opened_at]])*100+MONTH(support_tickets[[#This Row],[opened_at]])</f>
        <v>202507</v>
      </c>
      <c r="V801" s="29">
        <f>DATE(YEAR(support_tickets[[#This Row],[opened_at]]),MONTH(support_tickets[[#This Row],[opened_at]]),1)</f>
        <v>45839</v>
      </c>
    </row>
    <row r="802" spans="1:22">
      <c r="A802">
        <v>9241758722</v>
      </c>
      <c r="B802">
        <v>365713980</v>
      </c>
      <c r="C802" t="s">
        <v>228</v>
      </c>
      <c r="D802" t="s">
        <v>229</v>
      </c>
      <c r="E802">
        <v>39476249</v>
      </c>
      <c r="F802">
        <v>8309328395</v>
      </c>
      <c r="G802" s="1">
        <v>45609.556203703702</v>
      </c>
      <c r="H802" s="1">
        <v>45610.156898148147</v>
      </c>
      <c r="I802" t="s">
        <v>18</v>
      </c>
      <c r="J802" t="s">
        <v>59</v>
      </c>
      <c r="K802" t="s">
        <v>47</v>
      </c>
      <c r="L802" t="s">
        <v>39</v>
      </c>
      <c r="M802">
        <v>1</v>
      </c>
      <c r="N802">
        <v>865</v>
      </c>
      <c r="O802">
        <v>0</v>
      </c>
      <c r="P802" t="s">
        <v>61</v>
      </c>
      <c r="Q802">
        <v>1392</v>
      </c>
      <c r="R802" t="s">
        <v>39</v>
      </c>
      <c r="S802">
        <f>IF(support_tickets[[#This Row],[status_cleaned]]="closed",1,0)</f>
        <v>1</v>
      </c>
      <c r="T802" t="str">
        <f>TEXT(support_tickets[[#This Row],[opened_at]],"mmm yyyy")</f>
        <v>Nov 2024</v>
      </c>
      <c r="U802">
        <f>YEAR(support_tickets[[#This Row],[opened_at]])*100+MONTH(support_tickets[[#This Row],[opened_at]])</f>
        <v>202411</v>
      </c>
      <c r="V802" s="29">
        <f>DATE(YEAR(support_tickets[[#This Row],[opened_at]]),MONTH(support_tickets[[#This Row],[opened_at]]),1)</f>
        <v>45597</v>
      </c>
    </row>
    <row r="803" spans="1:22">
      <c r="A803">
        <v>9366676167</v>
      </c>
      <c r="B803">
        <v>143223380</v>
      </c>
      <c r="C803" t="s">
        <v>1040</v>
      </c>
      <c r="D803" t="s">
        <v>1041</v>
      </c>
      <c r="E803">
        <v>81971316</v>
      </c>
      <c r="F803">
        <v>1441280475</v>
      </c>
      <c r="G803" s="1">
        <v>46008.608576388891</v>
      </c>
      <c r="H803" s="1">
        <v>46009.139131944445</v>
      </c>
      <c r="I803" t="s">
        <v>46</v>
      </c>
      <c r="J803" t="s">
        <v>19</v>
      </c>
      <c r="K803" t="s">
        <v>47</v>
      </c>
      <c r="L803" t="s">
        <v>39</v>
      </c>
      <c r="M803">
        <v>26</v>
      </c>
      <c r="N803">
        <v>764</v>
      </c>
      <c r="O803">
        <v>0</v>
      </c>
      <c r="P803" t="s">
        <v>22</v>
      </c>
      <c r="Q803">
        <v>1413</v>
      </c>
      <c r="R803" t="s">
        <v>39</v>
      </c>
      <c r="S803">
        <f>IF(support_tickets[[#This Row],[status_cleaned]]="closed",1,0)</f>
        <v>1</v>
      </c>
      <c r="T803" t="str">
        <f>TEXT(support_tickets[[#This Row],[opened_at]],"mmm yyyy")</f>
        <v>Dec 2025</v>
      </c>
      <c r="U803">
        <f>YEAR(support_tickets[[#This Row],[opened_at]])*100+MONTH(support_tickets[[#This Row],[opened_at]])</f>
        <v>202512</v>
      </c>
      <c r="V803" s="29">
        <f>DATE(YEAR(support_tickets[[#This Row],[opened_at]]),MONTH(support_tickets[[#This Row],[opened_at]]),1)</f>
        <v>45992</v>
      </c>
    </row>
    <row r="804" spans="1:22">
      <c r="A804">
        <v>9675727360</v>
      </c>
      <c r="B804">
        <v>340777602</v>
      </c>
      <c r="C804" t="s">
        <v>1274</v>
      </c>
      <c r="D804" t="s">
        <v>1275</v>
      </c>
      <c r="E804">
        <v>70291817</v>
      </c>
      <c r="F804">
        <v>6093465668</v>
      </c>
      <c r="G804" s="1">
        <v>45884.582939814813</v>
      </c>
      <c r="H804" s="1">
        <v>45884.8593287037</v>
      </c>
      <c r="I804" t="s">
        <v>3</v>
      </c>
      <c r="J804" t="s">
        <v>25</v>
      </c>
      <c r="K804" t="s">
        <v>47</v>
      </c>
      <c r="L804" t="s">
        <v>39</v>
      </c>
      <c r="M804">
        <v>3</v>
      </c>
      <c r="N804">
        <v>398</v>
      </c>
      <c r="O804">
        <v>0</v>
      </c>
      <c r="P804" t="s">
        <v>27</v>
      </c>
      <c r="Q804">
        <v>1463</v>
      </c>
      <c r="R804" t="s">
        <v>39</v>
      </c>
      <c r="S804">
        <f>IF(support_tickets[[#This Row],[status_cleaned]]="closed",1,0)</f>
        <v>1</v>
      </c>
      <c r="T804" t="str">
        <f>TEXT(support_tickets[[#This Row],[opened_at]],"mmm yyyy")</f>
        <v>Aug 2025</v>
      </c>
      <c r="U804">
        <f>YEAR(support_tickets[[#This Row],[opened_at]])*100+MONTH(support_tickets[[#This Row],[opened_at]])</f>
        <v>202508</v>
      </c>
      <c r="V804" s="29">
        <f>DATE(YEAR(support_tickets[[#This Row],[opened_at]]),MONTH(support_tickets[[#This Row],[opened_at]]),1)</f>
        <v>45870</v>
      </c>
    </row>
    <row r="805" spans="1:22">
      <c r="A805">
        <v>1063266942</v>
      </c>
      <c r="B805">
        <v>254164462</v>
      </c>
      <c r="C805" t="s">
        <v>57</v>
      </c>
      <c r="D805" t="s">
        <v>58</v>
      </c>
      <c r="E805">
        <v>47295260</v>
      </c>
      <c r="G805" s="1">
        <v>45988.529097222221</v>
      </c>
      <c r="I805" t="s">
        <v>18</v>
      </c>
      <c r="J805" t="s">
        <v>59</v>
      </c>
      <c r="K805" t="s">
        <v>47</v>
      </c>
      <c r="L805" t="s">
        <v>60</v>
      </c>
      <c r="M805">
        <v>24</v>
      </c>
      <c r="O805">
        <v>1</v>
      </c>
      <c r="P805" t="s">
        <v>61</v>
      </c>
      <c r="Q805">
        <v>11</v>
      </c>
      <c r="R805" t="s">
        <v>53</v>
      </c>
      <c r="S805">
        <f>IF(support_tickets[[#This Row],[status_cleaned]]="closed",1,0)</f>
        <v>0</v>
      </c>
      <c r="T805" t="str">
        <f>TEXT(support_tickets[[#This Row],[opened_at]],"mmm yyyy")</f>
        <v>Nov 2025</v>
      </c>
      <c r="U805">
        <f>YEAR(support_tickets[[#This Row],[opened_at]])*100+MONTH(support_tickets[[#This Row],[opened_at]])</f>
        <v>202511</v>
      </c>
      <c r="V805" s="29">
        <f>DATE(YEAR(support_tickets[[#This Row],[opened_at]]),MONTH(support_tickets[[#This Row],[opened_at]]),1)</f>
        <v>45962</v>
      </c>
    </row>
    <row r="806" spans="1:22">
      <c r="A806">
        <v>1459429001</v>
      </c>
      <c r="B806">
        <v>835172306</v>
      </c>
      <c r="C806" t="s">
        <v>192</v>
      </c>
      <c r="D806" t="s">
        <v>193</v>
      </c>
      <c r="E806">
        <v>63100814</v>
      </c>
      <c r="G806" s="1">
        <v>45642.30363425926</v>
      </c>
      <c r="I806" t="s">
        <v>52</v>
      </c>
      <c r="J806" t="s">
        <v>38</v>
      </c>
      <c r="K806" t="s">
        <v>47</v>
      </c>
      <c r="L806" t="s">
        <v>60</v>
      </c>
      <c r="M806">
        <v>30</v>
      </c>
      <c r="O806">
        <v>1</v>
      </c>
      <c r="P806" t="s">
        <v>40</v>
      </c>
      <c r="Q806">
        <v>79</v>
      </c>
      <c r="R806" t="s">
        <v>53</v>
      </c>
      <c r="S806">
        <f>IF(support_tickets[[#This Row],[status_cleaned]]="closed",1,0)</f>
        <v>0</v>
      </c>
      <c r="T806" t="str">
        <f>TEXT(support_tickets[[#This Row],[opened_at]],"mmm yyyy")</f>
        <v>Dec 2024</v>
      </c>
      <c r="U806">
        <f>YEAR(support_tickets[[#This Row],[opened_at]])*100+MONTH(support_tickets[[#This Row],[opened_at]])</f>
        <v>202412</v>
      </c>
      <c r="V806" s="29">
        <f>DATE(YEAR(support_tickets[[#This Row],[opened_at]]),MONTH(support_tickets[[#This Row],[opened_at]]),1)</f>
        <v>45627</v>
      </c>
    </row>
    <row r="807" spans="1:22">
      <c r="A807">
        <v>1779705253</v>
      </c>
      <c r="B807">
        <v>657568201</v>
      </c>
      <c r="C807" t="s">
        <v>318</v>
      </c>
      <c r="D807" t="s">
        <v>319</v>
      </c>
      <c r="E807">
        <v>94214382</v>
      </c>
      <c r="G807" s="1">
        <v>45657.193298611113</v>
      </c>
      <c r="H807" s="1">
        <v>45657.945381944446</v>
      </c>
      <c r="I807" t="s">
        <v>43</v>
      </c>
      <c r="J807" t="s">
        <v>25</v>
      </c>
      <c r="K807" t="s">
        <v>47</v>
      </c>
      <c r="L807" t="s">
        <v>60</v>
      </c>
      <c r="M807">
        <v>12</v>
      </c>
      <c r="N807">
        <v>1083</v>
      </c>
      <c r="O807">
        <v>1</v>
      </c>
      <c r="P807" t="s">
        <v>27</v>
      </c>
      <c r="Q807">
        <v>150</v>
      </c>
      <c r="R807" t="s">
        <v>53</v>
      </c>
      <c r="S807">
        <f>IF(support_tickets[[#This Row],[status_cleaned]]="closed",1,0)</f>
        <v>0</v>
      </c>
      <c r="T807" t="str">
        <f>TEXT(support_tickets[[#This Row],[opened_at]],"mmm yyyy")</f>
        <v>Dec 2024</v>
      </c>
      <c r="U807">
        <f>YEAR(support_tickets[[#This Row],[opened_at]])*100+MONTH(support_tickets[[#This Row],[opened_at]])</f>
        <v>202412</v>
      </c>
      <c r="V807" s="29">
        <f>DATE(YEAR(support_tickets[[#This Row],[opened_at]]),MONTH(support_tickets[[#This Row],[opened_at]]),1)</f>
        <v>45627</v>
      </c>
    </row>
    <row r="808" spans="1:22">
      <c r="A808">
        <v>2367955354</v>
      </c>
      <c r="B808">
        <v>717452511</v>
      </c>
      <c r="C808" t="s">
        <v>352</v>
      </c>
      <c r="D808" t="s">
        <v>353</v>
      </c>
      <c r="E808">
        <v>38119557</v>
      </c>
      <c r="G808" s="1">
        <v>45297.330833333333</v>
      </c>
      <c r="I808" t="s">
        <v>43</v>
      </c>
      <c r="J808" t="s">
        <v>59</v>
      </c>
      <c r="K808" t="s">
        <v>47</v>
      </c>
      <c r="L808" t="s">
        <v>60</v>
      </c>
      <c r="M808">
        <v>25</v>
      </c>
      <c r="O808">
        <v>1</v>
      </c>
      <c r="P808" t="s">
        <v>61</v>
      </c>
      <c r="Q808">
        <v>251</v>
      </c>
      <c r="R808" t="s">
        <v>53</v>
      </c>
      <c r="S808">
        <f>IF(support_tickets[[#This Row],[status_cleaned]]="closed",1,0)</f>
        <v>0</v>
      </c>
      <c r="T808" t="str">
        <f>TEXT(support_tickets[[#This Row],[opened_at]],"mmm yyyy")</f>
        <v>Jan 2024</v>
      </c>
      <c r="U808">
        <f>YEAR(support_tickets[[#This Row],[opened_at]])*100+MONTH(support_tickets[[#This Row],[opened_at]])</f>
        <v>202401</v>
      </c>
      <c r="V808" s="29">
        <f>DATE(YEAR(support_tickets[[#This Row],[opened_at]]),MONTH(support_tickets[[#This Row],[opened_at]]),1)</f>
        <v>45292</v>
      </c>
    </row>
    <row r="809" spans="1:22">
      <c r="A809">
        <v>2506878485</v>
      </c>
      <c r="B809">
        <v>962925204</v>
      </c>
      <c r="C809" t="s">
        <v>506</v>
      </c>
      <c r="D809" t="s">
        <v>507</v>
      </c>
      <c r="E809">
        <v>51273847</v>
      </c>
      <c r="G809" s="1">
        <v>45955.280624999999</v>
      </c>
      <c r="H809" s="1">
        <v>45955.873680555553</v>
      </c>
      <c r="I809" t="s">
        <v>56</v>
      </c>
      <c r="J809" t="s">
        <v>19</v>
      </c>
      <c r="K809" t="s">
        <v>47</v>
      </c>
      <c r="L809" t="s">
        <v>60</v>
      </c>
      <c r="M809">
        <v>9</v>
      </c>
      <c r="N809">
        <v>854</v>
      </c>
      <c r="O809">
        <v>1</v>
      </c>
      <c r="P809" t="s">
        <v>22</v>
      </c>
      <c r="Q809">
        <v>273</v>
      </c>
      <c r="R809" t="s">
        <v>53</v>
      </c>
      <c r="S809">
        <f>IF(support_tickets[[#This Row],[status_cleaned]]="closed",1,0)</f>
        <v>0</v>
      </c>
      <c r="T809" t="str">
        <f>TEXT(support_tickets[[#This Row],[opened_at]],"mmm yyyy")</f>
        <v>Oct 2025</v>
      </c>
      <c r="U809">
        <f>YEAR(support_tickets[[#This Row],[opened_at]])*100+MONTH(support_tickets[[#This Row],[opened_at]])</f>
        <v>202510</v>
      </c>
      <c r="V809" s="29">
        <f>DATE(YEAR(support_tickets[[#This Row],[opened_at]]),MONTH(support_tickets[[#This Row],[opened_at]]),1)</f>
        <v>45931</v>
      </c>
    </row>
    <row r="810" spans="1:22">
      <c r="A810">
        <v>2721346755</v>
      </c>
      <c r="B810">
        <v>402550088</v>
      </c>
      <c r="C810" t="s">
        <v>556</v>
      </c>
      <c r="D810" t="s">
        <v>557</v>
      </c>
      <c r="E810">
        <v>52339391</v>
      </c>
      <c r="G810" s="1">
        <v>45782.369004629632</v>
      </c>
      <c r="H810" s="1">
        <v>45782.974560185183</v>
      </c>
      <c r="I810" t="s">
        <v>43</v>
      </c>
      <c r="J810" t="s">
        <v>25</v>
      </c>
      <c r="K810" t="s">
        <v>47</v>
      </c>
      <c r="L810" t="s">
        <v>60</v>
      </c>
      <c r="M810">
        <v>102</v>
      </c>
      <c r="N810">
        <v>872</v>
      </c>
      <c r="O810">
        <v>1</v>
      </c>
      <c r="P810" t="s">
        <v>27</v>
      </c>
      <c r="Q810">
        <v>308</v>
      </c>
      <c r="R810" t="s">
        <v>53</v>
      </c>
      <c r="S810">
        <f>IF(support_tickets[[#This Row],[status_cleaned]]="closed",1,0)</f>
        <v>0</v>
      </c>
      <c r="T810" t="str">
        <f>TEXT(support_tickets[[#This Row],[opened_at]],"mmm yyyy")</f>
        <v>May 2025</v>
      </c>
      <c r="U810">
        <f>YEAR(support_tickets[[#This Row],[opened_at]])*100+MONTH(support_tickets[[#This Row],[opened_at]])</f>
        <v>202505</v>
      </c>
      <c r="V810" s="29">
        <f>DATE(YEAR(support_tickets[[#This Row],[opened_at]]),MONTH(support_tickets[[#This Row],[opened_at]]),1)</f>
        <v>45778</v>
      </c>
    </row>
    <row r="811" spans="1:22">
      <c r="A811">
        <v>2727535486</v>
      </c>
      <c r="B811">
        <v>569172971</v>
      </c>
      <c r="C811" t="s">
        <v>104</v>
      </c>
      <c r="D811" t="s">
        <v>105</v>
      </c>
      <c r="E811">
        <v>94374605</v>
      </c>
      <c r="F811">
        <v>2687430058</v>
      </c>
      <c r="G811" s="1">
        <v>45412.560601851852</v>
      </c>
      <c r="H811" s="1">
        <v>45413.002962962964</v>
      </c>
      <c r="I811" t="s">
        <v>46</v>
      </c>
      <c r="J811" t="s">
        <v>25</v>
      </c>
      <c r="K811" t="s">
        <v>47</v>
      </c>
      <c r="L811" t="s">
        <v>60</v>
      </c>
      <c r="M811">
        <v>56</v>
      </c>
      <c r="N811">
        <v>637</v>
      </c>
      <c r="O811">
        <v>1</v>
      </c>
      <c r="P811" t="s">
        <v>27</v>
      </c>
      <c r="Q811">
        <v>311</v>
      </c>
      <c r="R811" t="s">
        <v>53</v>
      </c>
      <c r="S811">
        <f>IF(support_tickets[[#This Row],[status_cleaned]]="closed",1,0)</f>
        <v>0</v>
      </c>
      <c r="T811" t="str">
        <f>TEXT(support_tickets[[#This Row],[opened_at]],"mmm yyyy")</f>
        <v>Apr 2024</v>
      </c>
      <c r="U811">
        <f>YEAR(support_tickets[[#This Row],[opened_at]])*100+MONTH(support_tickets[[#This Row],[opened_at]])</f>
        <v>202404</v>
      </c>
      <c r="V811" s="29">
        <f>DATE(YEAR(support_tickets[[#This Row],[opened_at]]),MONTH(support_tickets[[#This Row],[opened_at]]),1)</f>
        <v>45383</v>
      </c>
    </row>
    <row r="812" spans="1:22">
      <c r="A812">
        <v>2796846217</v>
      </c>
      <c r="B812">
        <v>452108572</v>
      </c>
      <c r="C812" t="s">
        <v>574</v>
      </c>
      <c r="D812" t="s">
        <v>575</v>
      </c>
      <c r="E812">
        <v>45833156</v>
      </c>
      <c r="G812" s="1">
        <v>45707.576874999999</v>
      </c>
      <c r="I812" t="s">
        <v>46</v>
      </c>
      <c r="J812" t="s">
        <v>30</v>
      </c>
      <c r="K812" t="s">
        <v>47</v>
      </c>
      <c r="L812" t="s">
        <v>60</v>
      </c>
      <c r="M812">
        <v>30</v>
      </c>
      <c r="O812">
        <v>1</v>
      </c>
      <c r="P812" t="s">
        <v>31</v>
      </c>
      <c r="Q812">
        <v>321</v>
      </c>
      <c r="R812" t="s">
        <v>53</v>
      </c>
      <c r="S812">
        <f>IF(support_tickets[[#This Row],[status_cleaned]]="closed",1,0)</f>
        <v>0</v>
      </c>
      <c r="T812" t="str">
        <f>TEXT(support_tickets[[#This Row],[opened_at]],"mmm yyyy")</f>
        <v>Feb 2025</v>
      </c>
      <c r="U812">
        <f>YEAR(support_tickets[[#This Row],[opened_at]])*100+MONTH(support_tickets[[#This Row],[opened_at]])</f>
        <v>202502</v>
      </c>
      <c r="V812" s="29">
        <f>DATE(YEAR(support_tickets[[#This Row],[opened_at]]),MONTH(support_tickets[[#This Row],[opened_at]]),1)</f>
        <v>45689</v>
      </c>
    </row>
    <row r="813" spans="1:22">
      <c r="A813">
        <v>2813424011</v>
      </c>
      <c r="B813">
        <v>546270451</v>
      </c>
      <c r="C813" t="s">
        <v>580</v>
      </c>
      <c r="D813" t="s">
        <v>581</v>
      </c>
      <c r="E813">
        <v>36697396</v>
      </c>
      <c r="F813">
        <v>8250400388</v>
      </c>
      <c r="G813" s="1">
        <v>45364.765011574076</v>
      </c>
      <c r="I813" t="s">
        <v>37</v>
      </c>
      <c r="J813" t="s">
        <v>30</v>
      </c>
      <c r="K813" t="s">
        <v>47</v>
      </c>
      <c r="L813" t="s">
        <v>60</v>
      </c>
      <c r="M813">
        <v>42</v>
      </c>
      <c r="O813">
        <v>1</v>
      </c>
      <c r="P813" t="s">
        <v>31</v>
      </c>
      <c r="Q813">
        <v>326</v>
      </c>
      <c r="R813" t="s">
        <v>53</v>
      </c>
      <c r="S813">
        <f>IF(support_tickets[[#This Row],[status_cleaned]]="closed",1,0)</f>
        <v>0</v>
      </c>
      <c r="T813" t="str">
        <f>TEXT(support_tickets[[#This Row],[opened_at]],"mmm yyyy")</f>
        <v>Mar 2024</v>
      </c>
      <c r="U813">
        <f>YEAR(support_tickets[[#This Row],[opened_at]])*100+MONTH(support_tickets[[#This Row],[opened_at]])</f>
        <v>202403</v>
      </c>
      <c r="V813" s="29">
        <f>DATE(YEAR(support_tickets[[#This Row],[opened_at]]),MONTH(support_tickets[[#This Row],[opened_at]]),1)</f>
        <v>45352</v>
      </c>
    </row>
    <row r="814" spans="1:22">
      <c r="A814">
        <v>2981028339</v>
      </c>
      <c r="B814">
        <v>770529419</v>
      </c>
      <c r="C814" t="s">
        <v>624</v>
      </c>
      <c r="D814" t="s">
        <v>625</v>
      </c>
      <c r="E814">
        <v>36697396</v>
      </c>
      <c r="G814" s="1">
        <v>45299.440995370373</v>
      </c>
      <c r="I814" t="s">
        <v>56</v>
      </c>
      <c r="J814" t="s">
        <v>25</v>
      </c>
      <c r="K814" t="s">
        <v>47</v>
      </c>
      <c r="L814" t="s">
        <v>60</v>
      </c>
      <c r="M814">
        <v>12</v>
      </c>
      <c r="O814">
        <v>1</v>
      </c>
      <c r="P814" t="s">
        <v>27</v>
      </c>
      <c r="Q814">
        <v>355</v>
      </c>
      <c r="R814" t="s">
        <v>53</v>
      </c>
      <c r="S814">
        <f>IF(support_tickets[[#This Row],[status_cleaned]]="closed",1,0)</f>
        <v>0</v>
      </c>
      <c r="T814" t="str">
        <f>TEXT(support_tickets[[#This Row],[opened_at]],"mmm yyyy")</f>
        <v>Jan 2024</v>
      </c>
      <c r="U814">
        <f>YEAR(support_tickets[[#This Row],[opened_at]])*100+MONTH(support_tickets[[#This Row],[opened_at]])</f>
        <v>202401</v>
      </c>
      <c r="V814" s="29">
        <f>DATE(YEAR(support_tickets[[#This Row],[opened_at]]),MONTH(support_tickets[[#This Row],[opened_at]]),1)</f>
        <v>45292</v>
      </c>
    </row>
    <row r="815" spans="1:22">
      <c r="A815">
        <v>2991143886</v>
      </c>
      <c r="B815">
        <v>148578655</v>
      </c>
      <c r="C815" t="s">
        <v>628</v>
      </c>
      <c r="D815" t="s">
        <v>629</v>
      </c>
      <c r="E815">
        <v>23756669</v>
      </c>
      <c r="G815" s="1">
        <v>45776.407951388886</v>
      </c>
      <c r="H815" s="1">
        <v>45777.073229166665</v>
      </c>
      <c r="I815" t="s">
        <v>37</v>
      </c>
      <c r="J815" t="s">
        <v>38</v>
      </c>
      <c r="K815" t="s">
        <v>47</v>
      </c>
      <c r="L815" t="s">
        <v>60</v>
      </c>
      <c r="M815">
        <v>9</v>
      </c>
      <c r="N815">
        <v>958</v>
      </c>
      <c r="O815">
        <v>1</v>
      </c>
      <c r="P815" t="s">
        <v>40</v>
      </c>
      <c r="Q815">
        <v>360</v>
      </c>
      <c r="R815" t="s">
        <v>53</v>
      </c>
      <c r="S815">
        <f>IF(support_tickets[[#This Row],[status_cleaned]]="closed",1,0)</f>
        <v>0</v>
      </c>
      <c r="T815" t="str">
        <f>TEXT(support_tickets[[#This Row],[opened_at]],"mmm yyyy")</f>
        <v>Apr 2025</v>
      </c>
      <c r="U815">
        <f>YEAR(support_tickets[[#This Row],[opened_at]])*100+MONTH(support_tickets[[#This Row],[opened_at]])</f>
        <v>202504</v>
      </c>
      <c r="V815" s="29">
        <f>DATE(YEAR(support_tickets[[#This Row],[opened_at]]),MONTH(support_tickets[[#This Row],[opened_at]]),1)</f>
        <v>45748</v>
      </c>
    </row>
    <row r="816" spans="1:22">
      <c r="A816">
        <v>3038689728</v>
      </c>
      <c r="B816">
        <v>866803374</v>
      </c>
      <c r="C816" t="s">
        <v>642</v>
      </c>
      <c r="D816" t="s">
        <v>643</v>
      </c>
      <c r="E816">
        <v>98550256</v>
      </c>
      <c r="G816" s="1">
        <v>45389.510057870371</v>
      </c>
      <c r="H816" s="1">
        <v>45390.21769675926</v>
      </c>
      <c r="I816" t="s">
        <v>37</v>
      </c>
      <c r="J816" t="s">
        <v>19</v>
      </c>
      <c r="K816" t="s">
        <v>47</v>
      </c>
      <c r="L816" t="s">
        <v>60</v>
      </c>
      <c r="M816">
        <v>43</v>
      </c>
      <c r="N816">
        <v>1019</v>
      </c>
      <c r="O816">
        <v>1</v>
      </c>
      <c r="P816" t="s">
        <v>22</v>
      </c>
      <c r="Q816">
        <v>370</v>
      </c>
      <c r="R816" t="s">
        <v>53</v>
      </c>
      <c r="S816">
        <f>IF(support_tickets[[#This Row],[status_cleaned]]="closed",1,0)</f>
        <v>0</v>
      </c>
      <c r="T816" t="str">
        <f>TEXT(support_tickets[[#This Row],[opened_at]],"mmm yyyy")</f>
        <v>Apr 2024</v>
      </c>
      <c r="U816">
        <f>YEAR(support_tickets[[#This Row],[opened_at]])*100+MONTH(support_tickets[[#This Row],[opened_at]])</f>
        <v>202404</v>
      </c>
      <c r="V816" s="29">
        <f>DATE(YEAR(support_tickets[[#This Row],[opened_at]]),MONTH(support_tickets[[#This Row],[opened_at]]),1)</f>
        <v>45383</v>
      </c>
    </row>
    <row r="817" spans="1:22">
      <c r="A817">
        <v>3060255290</v>
      </c>
      <c r="B817">
        <v>935504321</v>
      </c>
      <c r="C817" t="s">
        <v>650</v>
      </c>
      <c r="D817" t="s">
        <v>651</v>
      </c>
      <c r="E817">
        <v>66306997</v>
      </c>
      <c r="G817" s="1">
        <v>46036.253900462965</v>
      </c>
      <c r="I817" t="s">
        <v>46</v>
      </c>
      <c r="J817" t="s">
        <v>30</v>
      </c>
      <c r="K817" t="s">
        <v>47</v>
      </c>
      <c r="L817" t="s">
        <v>60</v>
      </c>
      <c r="M817">
        <v>5</v>
      </c>
      <c r="O817">
        <v>1</v>
      </c>
      <c r="P817" t="s">
        <v>31</v>
      </c>
      <c r="Q817">
        <v>376</v>
      </c>
      <c r="R817" t="s">
        <v>53</v>
      </c>
      <c r="S817">
        <f>IF(support_tickets[[#This Row],[status_cleaned]]="closed",1,0)</f>
        <v>0</v>
      </c>
      <c r="T817" t="str">
        <f>TEXT(support_tickets[[#This Row],[opened_at]],"mmm yyyy")</f>
        <v>Jan 2026</v>
      </c>
      <c r="U817">
        <f>YEAR(support_tickets[[#This Row],[opened_at]])*100+MONTH(support_tickets[[#This Row],[opened_at]])</f>
        <v>202601</v>
      </c>
      <c r="V817" s="29">
        <f>DATE(YEAR(support_tickets[[#This Row],[opened_at]]),MONTH(support_tickets[[#This Row],[opened_at]]),1)</f>
        <v>46023</v>
      </c>
    </row>
    <row r="818" spans="1:22">
      <c r="A818">
        <v>3363382168</v>
      </c>
      <c r="B818">
        <v>440419907</v>
      </c>
      <c r="C818" t="s">
        <v>724</v>
      </c>
      <c r="D818" t="s">
        <v>725</v>
      </c>
      <c r="E818">
        <v>52339391</v>
      </c>
      <c r="F818">
        <v>7145255596</v>
      </c>
      <c r="G818" s="1">
        <v>45688.410300925927</v>
      </c>
      <c r="I818" t="s">
        <v>43</v>
      </c>
      <c r="J818" t="s">
        <v>25</v>
      </c>
      <c r="K818" t="s">
        <v>47</v>
      </c>
      <c r="L818" t="s">
        <v>60</v>
      </c>
      <c r="M818">
        <v>18</v>
      </c>
      <c r="O818">
        <v>1</v>
      </c>
      <c r="P818" t="s">
        <v>27</v>
      </c>
      <c r="Q818">
        <v>430</v>
      </c>
      <c r="R818" t="s">
        <v>53</v>
      </c>
      <c r="S818">
        <f>IF(support_tickets[[#This Row],[status_cleaned]]="closed",1,0)</f>
        <v>0</v>
      </c>
      <c r="T818" t="str">
        <f>TEXT(support_tickets[[#This Row],[opened_at]],"mmm yyyy")</f>
        <v>Jan 2025</v>
      </c>
      <c r="U818">
        <f>YEAR(support_tickets[[#This Row],[opened_at]])*100+MONTH(support_tickets[[#This Row],[opened_at]])</f>
        <v>202501</v>
      </c>
      <c r="V818" s="29">
        <f>DATE(YEAR(support_tickets[[#This Row],[opened_at]]),MONTH(support_tickets[[#This Row],[opened_at]]),1)</f>
        <v>45658</v>
      </c>
    </row>
    <row r="819" spans="1:22">
      <c r="A819">
        <v>3462724281</v>
      </c>
      <c r="B819">
        <v>583564328</v>
      </c>
      <c r="C819" t="s">
        <v>406</v>
      </c>
      <c r="D819" t="s">
        <v>407</v>
      </c>
      <c r="E819">
        <v>77827638</v>
      </c>
      <c r="F819">
        <v>9038527558</v>
      </c>
      <c r="G819" s="1">
        <v>45788.926122685189</v>
      </c>
      <c r="H819" s="1">
        <v>45789.333067129628</v>
      </c>
      <c r="I819" t="s">
        <v>37</v>
      </c>
      <c r="J819" t="s">
        <v>86</v>
      </c>
      <c r="K819" t="s">
        <v>47</v>
      </c>
      <c r="L819" t="s">
        <v>60</v>
      </c>
      <c r="M819">
        <v>71</v>
      </c>
      <c r="N819">
        <v>586</v>
      </c>
      <c r="O819">
        <v>1</v>
      </c>
      <c r="P819" t="s">
        <v>87</v>
      </c>
      <c r="Q819">
        <v>442</v>
      </c>
      <c r="R819" t="s">
        <v>53</v>
      </c>
      <c r="S819">
        <f>IF(support_tickets[[#This Row],[status_cleaned]]="closed",1,0)</f>
        <v>0</v>
      </c>
      <c r="T819" t="str">
        <f>TEXT(support_tickets[[#This Row],[opened_at]],"mmm yyyy")</f>
        <v>May 2025</v>
      </c>
      <c r="U819">
        <f>YEAR(support_tickets[[#This Row],[opened_at]])*100+MONTH(support_tickets[[#This Row],[opened_at]])</f>
        <v>202505</v>
      </c>
      <c r="V819" s="29">
        <f>DATE(YEAR(support_tickets[[#This Row],[opened_at]]),MONTH(support_tickets[[#This Row],[opened_at]]),1)</f>
        <v>45778</v>
      </c>
    </row>
    <row r="820" spans="1:22">
      <c r="A820">
        <v>3537040461</v>
      </c>
      <c r="B820">
        <v>632794158</v>
      </c>
      <c r="C820" t="s">
        <v>462</v>
      </c>
      <c r="D820" t="s">
        <v>463</v>
      </c>
      <c r="E820">
        <v>51273847</v>
      </c>
      <c r="F820">
        <v>7654361461</v>
      </c>
      <c r="G820" s="1">
        <v>45330.305428240739</v>
      </c>
      <c r="I820" t="s">
        <v>18</v>
      </c>
      <c r="J820" t="s">
        <v>59</v>
      </c>
      <c r="K820" t="s">
        <v>47</v>
      </c>
      <c r="L820" t="s">
        <v>60</v>
      </c>
      <c r="M820">
        <v>29</v>
      </c>
      <c r="O820">
        <v>1</v>
      </c>
      <c r="P820" t="s">
        <v>61</v>
      </c>
      <c r="Q820">
        <v>455</v>
      </c>
      <c r="R820" t="s">
        <v>53</v>
      </c>
      <c r="S820">
        <f>IF(support_tickets[[#This Row],[status_cleaned]]="closed",1,0)</f>
        <v>0</v>
      </c>
      <c r="T820" t="str">
        <f>TEXT(support_tickets[[#This Row],[opened_at]],"mmm yyyy")</f>
        <v>Feb 2024</v>
      </c>
      <c r="U820">
        <f>YEAR(support_tickets[[#This Row],[opened_at]])*100+MONTH(support_tickets[[#This Row],[opened_at]])</f>
        <v>202402</v>
      </c>
      <c r="V820" s="29">
        <f>DATE(YEAR(support_tickets[[#This Row],[opened_at]]),MONTH(support_tickets[[#This Row],[opened_at]]),1)</f>
        <v>45323</v>
      </c>
    </row>
    <row r="821" spans="1:22">
      <c r="A821">
        <v>3727303120</v>
      </c>
      <c r="B821">
        <v>730104453</v>
      </c>
      <c r="C821" t="s">
        <v>218</v>
      </c>
      <c r="D821" t="s">
        <v>219</v>
      </c>
      <c r="E821">
        <v>85329037</v>
      </c>
      <c r="G821" s="1">
        <v>45610.973819444444</v>
      </c>
      <c r="I821" t="s">
        <v>18</v>
      </c>
      <c r="J821" t="s">
        <v>19</v>
      </c>
      <c r="K821" t="s">
        <v>47</v>
      </c>
      <c r="L821" t="s">
        <v>60</v>
      </c>
      <c r="M821">
        <v>29</v>
      </c>
      <c r="O821">
        <v>1</v>
      </c>
      <c r="P821" t="s">
        <v>22</v>
      </c>
      <c r="Q821">
        <v>486</v>
      </c>
      <c r="R821" t="s">
        <v>53</v>
      </c>
      <c r="S821">
        <f>IF(support_tickets[[#This Row],[status_cleaned]]="closed",1,0)</f>
        <v>0</v>
      </c>
      <c r="T821" t="str">
        <f>TEXT(support_tickets[[#This Row],[opened_at]],"mmm yyyy")</f>
        <v>Nov 2024</v>
      </c>
      <c r="U821">
        <f>YEAR(support_tickets[[#This Row],[opened_at]])*100+MONTH(support_tickets[[#This Row],[opened_at]])</f>
        <v>202411</v>
      </c>
      <c r="V821" s="29">
        <f>DATE(YEAR(support_tickets[[#This Row],[opened_at]]),MONTH(support_tickets[[#This Row],[opened_at]]),1)</f>
        <v>45597</v>
      </c>
    </row>
    <row r="822" spans="1:22">
      <c r="A822">
        <v>4104342076</v>
      </c>
      <c r="B822">
        <v>804344630</v>
      </c>
      <c r="C822" t="s">
        <v>852</v>
      </c>
      <c r="D822" t="s">
        <v>853</v>
      </c>
      <c r="E822">
        <v>30514014</v>
      </c>
      <c r="F822">
        <v>3029665156</v>
      </c>
      <c r="G822" s="1">
        <v>45362.294652777775</v>
      </c>
      <c r="H822" s="1">
        <v>45362.968958333331</v>
      </c>
      <c r="I822" t="s">
        <v>52</v>
      </c>
      <c r="J822" t="s">
        <v>38</v>
      </c>
      <c r="K822" t="s">
        <v>47</v>
      </c>
      <c r="L822" t="s">
        <v>60</v>
      </c>
      <c r="M822">
        <v>35</v>
      </c>
      <c r="N822">
        <v>971</v>
      </c>
      <c r="O822">
        <v>1</v>
      </c>
      <c r="P822" t="s">
        <v>40</v>
      </c>
      <c r="Q822">
        <v>537</v>
      </c>
      <c r="R822" t="s">
        <v>53</v>
      </c>
      <c r="S822">
        <f>IF(support_tickets[[#This Row],[status_cleaned]]="closed",1,0)</f>
        <v>0</v>
      </c>
      <c r="T822" t="str">
        <f>TEXT(support_tickets[[#This Row],[opened_at]],"mmm yyyy")</f>
        <v>Mar 2024</v>
      </c>
      <c r="U822">
        <f>YEAR(support_tickets[[#This Row],[opened_at]])*100+MONTH(support_tickets[[#This Row],[opened_at]])</f>
        <v>202403</v>
      </c>
      <c r="V822" s="29">
        <f>DATE(YEAR(support_tickets[[#This Row],[opened_at]]),MONTH(support_tickets[[#This Row],[opened_at]]),1)</f>
        <v>45352</v>
      </c>
    </row>
    <row r="823" spans="1:22">
      <c r="A823">
        <v>4176118012</v>
      </c>
      <c r="B823">
        <v>221814525</v>
      </c>
      <c r="C823" t="s">
        <v>602</v>
      </c>
      <c r="D823" t="s">
        <v>603</v>
      </c>
      <c r="E823">
        <v>78387461</v>
      </c>
      <c r="F823">
        <v>3657059704</v>
      </c>
      <c r="G823" s="1">
        <v>46058.17701388889</v>
      </c>
      <c r="I823" t="s">
        <v>37</v>
      </c>
      <c r="J823" t="s">
        <v>30</v>
      </c>
      <c r="K823" t="s">
        <v>47</v>
      </c>
      <c r="L823" t="s">
        <v>60</v>
      </c>
      <c r="M823">
        <v>33</v>
      </c>
      <c r="O823">
        <v>1</v>
      </c>
      <c r="P823" t="s">
        <v>31</v>
      </c>
      <c r="Q823">
        <v>545</v>
      </c>
      <c r="R823" t="s">
        <v>53</v>
      </c>
      <c r="S823">
        <f>IF(support_tickets[[#This Row],[status_cleaned]]="closed",1,0)</f>
        <v>0</v>
      </c>
      <c r="T823" t="str">
        <f>TEXT(support_tickets[[#This Row],[opened_at]],"mmm yyyy")</f>
        <v>Feb 2026</v>
      </c>
      <c r="U823">
        <f>YEAR(support_tickets[[#This Row],[opened_at]])*100+MONTH(support_tickets[[#This Row],[opened_at]])</f>
        <v>202602</v>
      </c>
      <c r="V823" s="29">
        <f>DATE(YEAR(support_tickets[[#This Row],[opened_at]]),MONTH(support_tickets[[#This Row],[opened_at]]),1)</f>
        <v>46054</v>
      </c>
    </row>
    <row r="824" spans="1:22">
      <c r="A824">
        <v>4353437923</v>
      </c>
      <c r="B824">
        <v>550784243</v>
      </c>
      <c r="C824" t="s">
        <v>908</v>
      </c>
      <c r="D824" t="s">
        <v>909</v>
      </c>
      <c r="E824">
        <v>43744231</v>
      </c>
      <c r="G824" s="1">
        <v>45347.116979166669</v>
      </c>
      <c r="I824" t="s">
        <v>18</v>
      </c>
      <c r="J824" t="s">
        <v>86</v>
      </c>
      <c r="K824" t="s">
        <v>47</v>
      </c>
      <c r="L824" t="s">
        <v>60</v>
      </c>
      <c r="M824">
        <v>47</v>
      </c>
      <c r="O824">
        <v>1</v>
      </c>
      <c r="P824" t="s">
        <v>87</v>
      </c>
      <c r="Q824">
        <v>581</v>
      </c>
      <c r="R824" t="s">
        <v>53</v>
      </c>
      <c r="S824">
        <f>IF(support_tickets[[#This Row],[status_cleaned]]="closed",1,0)</f>
        <v>0</v>
      </c>
      <c r="T824" t="str">
        <f>TEXT(support_tickets[[#This Row],[opened_at]],"mmm yyyy")</f>
        <v>Feb 2024</v>
      </c>
      <c r="U824">
        <f>YEAR(support_tickets[[#This Row],[opened_at]])*100+MONTH(support_tickets[[#This Row],[opened_at]])</f>
        <v>202402</v>
      </c>
      <c r="V824" s="29">
        <f>DATE(YEAR(support_tickets[[#This Row],[opened_at]]),MONTH(support_tickets[[#This Row],[opened_at]]),1)</f>
        <v>45323</v>
      </c>
    </row>
    <row r="825" spans="1:22">
      <c r="A825">
        <v>4626852472</v>
      </c>
      <c r="B825">
        <v>608678910</v>
      </c>
      <c r="C825" t="s">
        <v>972</v>
      </c>
      <c r="D825" t="s">
        <v>973</v>
      </c>
      <c r="E825">
        <v>40742311</v>
      </c>
      <c r="G825" s="1">
        <v>45467.04184027778</v>
      </c>
      <c r="I825" t="s">
        <v>43</v>
      </c>
      <c r="J825" t="s">
        <v>30</v>
      </c>
      <c r="K825" t="s">
        <v>47</v>
      </c>
      <c r="L825" t="s">
        <v>60</v>
      </c>
      <c r="M825">
        <v>86</v>
      </c>
      <c r="O825">
        <v>1</v>
      </c>
      <c r="P825" t="s">
        <v>31</v>
      </c>
      <c r="Q825">
        <v>633</v>
      </c>
      <c r="R825" t="s">
        <v>53</v>
      </c>
      <c r="S825">
        <f>IF(support_tickets[[#This Row],[status_cleaned]]="closed",1,0)</f>
        <v>0</v>
      </c>
      <c r="T825" t="str">
        <f>TEXT(support_tickets[[#This Row],[opened_at]],"mmm yyyy")</f>
        <v>Jun 2024</v>
      </c>
      <c r="U825">
        <f>YEAR(support_tickets[[#This Row],[opened_at]])*100+MONTH(support_tickets[[#This Row],[opened_at]])</f>
        <v>202406</v>
      </c>
      <c r="V825" s="29">
        <f>DATE(YEAR(support_tickets[[#This Row],[opened_at]]),MONTH(support_tickets[[#This Row],[opened_at]]),1)</f>
        <v>45444</v>
      </c>
    </row>
    <row r="826" spans="1:22">
      <c r="A826">
        <v>4838658273</v>
      </c>
      <c r="B826">
        <v>381080560</v>
      </c>
      <c r="C826" t="s">
        <v>1008</v>
      </c>
      <c r="D826" t="s">
        <v>1009</v>
      </c>
      <c r="E826">
        <v>91734598</v>
      </c>
      <c r="G826" s="1">
        <v>45410.436365740738</v>
      </c>
      <c r="I826" t="s">
        <v>43</v>
      </c>
      <c r="J826" t="s">
        <v>30</v>
      </c>
      <c r="K826" t="s">
        <v>47</v>
      </c>
      <c r="L826" t="s">
        <v>60</v>
      </c>
      <c r="M826">
        <v>65</v>
      </c>
      <c r="O826">
        <v>1</v>
      </c>
      <c r="P826" t="s">
        <v>31</v>
      </c>
      <c r="Q826">
        <v>671</v>
      </c>
      <c r="R826" t="s">
        <v>53</v>
      </c>
      <c r="S826">
        <f>IF(support_tickets[[#This Row],[status_cleaned]]="closed",1,0)</f>
        <v>0</v>
      </c>
      <c r="T826" t="str">
        <f>TEXT(support_tickets[[#This Row],[opened_at]],"mmm yyyy")</f>
        <v>Apr 2024</v>
      </c>
      <c r="U826">
        <f>YEAR(support_tickets[[#This Row],[opened_at]])*100+MONTH(support_tickets[[#This Row],[opened_at]])</f>
        <v>202404</v>
      </c>
      <c r="V826" s="29">
        <f>DATE(YEAR(support_tickets[[#This Row],[opened_at]]),MONTH(support_tickets[[#This Row],[opened_at]]),1)</f>
        <v>45383</v>
      </c>
    </row>
    <row r="827" spans="1:22">
      <c r="A827">
        <v>5043120297</v>
      </c>
      <c r="B827">
        <v>631388604</v>
      </c>
      <c r="C827" t="s">
        <v>716</v>
      </c>
      <c r="D827" t="s">
        <v>717</v>
      </c>
      <c r="E827">
        <v>22201654</v>
      </c>
      <c r="F827">
        <v>7993235236</v>
      </c>
      <c r="G827" s="1">
        <v>45899.336284722223</v>
      </c>
      <c r="I827" t="s">
        <v>46</v>
      </c>
      <c r="J827" t="s">
        <v>19</v>
      </c>
      <c r="K827" t="s">
        <v>47</v>
      </c>
      <c r="L827" t="s">
        <v>60</v>
      </c>
      <c r="M827">
        <v>62</v>
      </c>
      <c r="O827">
        <v>1</v>
      </c>
      <c r="P827" t="s">
        <v>22</v>
      </c>
      <c r="Q827">
        <v>702</v>
      </c>
      <c r="R827" t="s">
        <v>53</v>
      </c>
      <c r="S827">
        <f>IF(support_tickets[[#This Row],[status_cleaned]]="closed",1,0)</f>
        <v>0</v>
      </c>
      <c r="T827" t="str">
        <f>TEXT(support_tickets[[#This Row],[opened_at]],"mmm yyyy")</f>
        <v>Aug 2025</v>
      </c>
      <c r="U827">
        <f>YEAR(support_tickets[[#This Row],[opened_at]])*100+MONTH(support_tickets[[#This Row],[opened_at]])</f>
        <v>202508</v>
      </c>
      <c r="V827" s="29">
        <f>DATE(YEAR(support_tickets[[#This Row],[opened_at]]),MONTH(support_tickets[[#This Row],[opened_at]]),1)</f>
        <v>45870</v>
      </c>
    </row>
    <row r="828" spans="1:22">
      <c r="A828">
        <v>5816024490</v>
      </c>
      <c r="B828">
        <v>909340042</v>
      </c>
      <c r="C828" t="s">
        <v>1180</v>
      </c>
      <c r="D828" t="s">
        <v>1181</v>
      </c>
      <c r="E828">
        <v>51273847</v>
      </c>
      <c r="G828" s="1">
        <v>45347.198865740742</v>
      </c>
      <c r="I828" t="s">
        <v>43</v>
      </c>
      <c r="J828" t="s">
        <v>86</v>
      </c>
      <c r="K828" t="s">
        <v>47</v>
      </c>
      <c r="L828" t="s">
        <v>60</v>
      </c>
      <c r="M828">
        <v>17</v>
      </c>
      <c r="O828">
        <v>1</v>
      </c>
      <c r="P828" t="s">
        <v>87</v>
      </c>
      <c r="Q828">
        <v>859</v>
      </c>
      <c r="R828" t="s">
        <v>53</v>
      </c>
      <c r="S828">
        <f>IF(support_tickets[[#This Row],[status_cleaned]]="closed",1,0)</f>
        <v>0</v>
      </c>
      <c r="T828" t="str">
        <f>TEXT(support_tickets[[#This Row],[opened_at]],"mmm yyyy")</f>
        <v>Feb 2024</v>
      </c>
      <c r="U828">
        <f>YEAR(support_tickets[[#This Row],[opened_at]])*100+MONTH(support_tickets[[#This Row],[opened_at]])</f>
        <v>202402</v>
      </c>
      <c r="V828" s="29">
        <f>DATE(YEAR(support_tickets[[#This Row],[opened_at]]),MONTH(support_tickets[[#This Row],[opened_at]]),1)</f>
        <v>45323</v>
      </c>
    </row>
    <row r="829" spans="1:22">
      <c r="A829">
        <v>6121400193</v>
      </c>
      <c r="B829">
        <v>590687732</v>
      </c>
      <c r="C829" t="s">
        <v>1226</v>
      </c>
      <c r="D829" t="s">
        <v>1227</v>
      </c>
      <c r="E829">
        <v>82070937</v>
      </c>
      <c r="F829">
        <v>7506506106</v>
      </c>
      <c r="G829" s="1">
        <v>46063.860138888886</v>
      </c>
      <c r="I829" t="s">
        <v>3</v>
      </c>
      <c r="J829" t="s">
        <v>19</v>
      </c>
      <c r="K829" t="s">
        <v>47</v>
      </c>
      <c r="L829" t="s">
        <v>60</v>
      </c>
      <c r="M829">
        <v>67</v>
      </c>
      <c r="O829">
        <v>1</v>
      </c>
      <c r="P829" t="s">
        <v>22</v>
      </c>
      <c r="Q829">
        <v>913</v>
      </c>
      <c r="R829" t="s">
        <v>53</v>
      </c>
      <c r="S829">
        <f>IF(support_tickets[[#This Row],[status_cleaned]]="closed",1,0)</f>
        <v>0</v>
      </c>
      <c r="T829" t="str">
        <f>TEXT(support_tickets[[#This Row],[opened_at]],"mmm yyyy")</f>
        <v>Feb 2026</v>
      </c>
      <c r="U829">
        <f>YEAR(support_tickets[[#This Row],[opened_at]])*100+MONTH(support_tickets[[#This Row],[opened_at]])</f>
        <v>202602</v>
      </c>
      <c r="V829" s="29">
        <f>DATE(YEAR(support_tickets[[#This Row],[opened_at]]),MONTH(support_tickets[[#This Row],[opened_at]]),1)</f>
        <v>46054</v>
      </c>
    </row>
    <row r="830" spans="1:22">
      <c r="A830">
        <v>6192554454</v>
      </c>
      <c r="B830">
        <v>817087513</v>
      </c>
      <c r="C830" t="s">
        <v>338</v>
      </c>
      <c r="D830" t="s">
        <v>339</v>
      </c>
      <c r="E830">
        <v>39436733</v>
      </c>
      <c r="F830">
        <v>2966178433</v>
      </c>
      <c r="G830" s="1">
        <v>45335.047442129631</v>
      </c>
      <c r="I830" t="s">
        <v>43</v>
      </c>
      <c r="J830" t="s">
        <v>38</v>
      </c>
      <c r="K830" t="s">
        <v>47</v>
      </c>
      <c r="L830" t="s">
        <v>60</v>
      </c>
      <c r="M830">
        <v>4</v>
      </c>
      <c r="O830">
        <v>1</v>
      </c>
      <c r="P830" t="s">
        <v>40</v>
      </c>
      <c r="Q830">
        <v>924</v>
      </c>
      <c r="R830" t="s">
        <v>53</v>
      </c>
      <c r="S830">
        <f>IF(support_tickets[[#This Row],[status_cleaned]]="closed",1,0)</f>
        <v>0</v>
      </c>
      <c r="T830" t="str">
        <f>TEXT(support_tickets[[#This Row],[opened_at]],"mmm yyyy")</f>
        <v>Feb 2024</v>
      </c>
      <c r="U830">
        <f>YEAR(support_tickets[[#This Row],[opened_at]])*100+MONTH(support_tickets[[#This Row],[opened_at]])</f>
        <v>202402</v>
      </c>
      <c r="V830" s="29">
        <f>DATE(YEAR(support_tickets[[#This Row],[opened_at]]),MONTH(support_tickets[[#This Row],[opened_at]]),1)</f>
        <v>45323</v>
      </c>
    </row>
    <row r="831" spans="1:22">
      <c r="A831">
        <v>6294288263</v>
      </c>
      <c r="B831">
        <v>635539154</v>
      </c>
      <c r="C831" t="s">
        <v>1248</v>
      </c>
      <c r="D831" t="s">
        <v>1249</v>
      </c>
      <c r="E831">
        <v>82340307</v>
      </c>
      <c r="F831">
        <v>6561533151</v>
      </c>
      <c r="G831" s="1">
        <v>45329.501435185186</v>
      </c>
      <c r="I831" t="s">
        <v>46</v>
      </c>
      <c r="J831" t="s">
        <v>19</v>
      </c>
      <c r="K831" t="s">
        <v>47</v>
      </c>
      <c r="L831" t="s">
        <v>60</v>
      </c>
      <c r="M831">
        <v>58</v>
      </c>
      <c r="O831">
        <v>1</v>
      </c>
      <c r="P831" t="s">
        <v>22</v>
      </c>
      <c r="Q831">
        <v>938</v>
      </c>
      <c r="R831" t="s">
        <v>53</v>
      </c>
      <c r="S831">
        <f>IF(support_tickets[[#This Row],[status_cleaned]]="closed",1,0)</f>
        <v>0</v>
      </c>
      <c r="T831" t="str">
        <f>TEXT(support_tickets[[#This Row],[opened_at]],"mmm yyyy")</f>
        <v>Feb 2024</v>
      </c>
      <c r="U831">
        <f>YEAR(support_tickets[[#This Row],[opened_at]])*100+MONTH(support_tickets[[#This Row],[opened_at]])</f>
        <v>202402</v>
      </c>
      <c r="V831" s="29">
        <f>DATE(YEAR(support_tickets[[#This Row],[opened_at]]),MONTH(support_tickets[[#This Row],[opened_at]]),1)</f>
        <v>45323</v>
      </c>
    </row>
    <row r="832" spans="1:22">
      <c r="A832">
        <v>6360027517</v>
      </c>
      <c r="B832">
        <v>927603754</v>
      </c>
      <c r="C832" t="s">
        <v>542</v>
      </c>
      <c r="D832" t="s">
        <v>543</v>
      </c>
      <c r="E832">
        <v>81016525</v>
      </c>
      <c r="G832" s="1">
        <v>45328.040347222224</v>
      </c>
      <c r="I832" t="s">
        <v>46</v>
      </c>
      <c r="J832" t="s">
        <v>19</v>
      </c>
      <c r="K832" t="s">
        <v>47</v>
      </c>
      <c r="L832" t="s">
        <v>60</v>
      </c>
      <c r="M832">
        <v>50</v>
      </c>
      <c r="O832">
        <v>1</v>
      </c>
      <c r="P832" t="s">
        <v>22</v>
      </c>
      <c r="Q832">
        <v>951</v>
      </c>
      <c r="R832" t="s">
        <v>53</v>
      </c>
      <c r="S832">
        <f>IF(support_tickets[[#This Row],[status_cleaned]]="closed",1,0)</f>
        <v>0</v>
      </c>
      <c r="T832" t="str">
        <f>TEXT(support_tickets[[#This Row],[opened_at]],"mmm yyyy")</f>
        <v>Feb 2024</v>
      </c>
      <c r="U832">
        <f>YEAR(support_tickets[[#This Row],[opened_at]])*100+MONTH(support_tickets[[#This Row],[opened_at]])</f>
        <v>202402</v>
      </c>
      <c r="V832" s="29">
        <f>DATE(YEAR(support_tickets[[#This Row],[opened_at]]),MONTH(support_tickets[[#This Row],[opened_at]]),1)</f>
        <v>45323</v>
      </c>
    </row>
    <row r="833" spans="1:22">
      <c r="A833">
        <v>6659676478</v>
      </c>
      <c r="B833">
        <v>826239153</v>
      </c>
      <c r="C833" t="s">
        <v>1294</v>
      </c>
      <c r="D833" t="s">
        <v>1295</v>
      </c>
      <c r="E833">
        <v>90048665</v>
      </c>
      <c r="F833">
        <v>1049832004</v>
      </c>
      <c r="G833" s="1">
        <v>46016.263124999998</v>
      </c>
      <c r="I833" t="s">
        <v>46</v>
      </c>
      <c r="J833" t="s">
        <v>25</v>
      </c>
      <c r="K833" t="s">
        <v>47</v>
      </c>
      <c r="L833" t="s">
        <v>60</v>
      </c>
      <c r="M833">
        <v>76</v>
      </c>
      <c r="O833">
        <v>1</v>
      </c>
      <c r="P833" t="s">
        <v>27</v>
      </c>
      <c r="Q833">
        <v>992</v>
      </c>
      <c r="R833" t="s">
        <v>53</v>
      </c>
      <c r="S833">
        <f>IF(support_tickets[[#This Row],[status_cleaned]]="closed",1,0)</f>
        <v>0</v>
      </c>
      <c r="T833" t="str">
        <f>TEXT(support_tickets[[#This Row],[opened_at]],"mmm yyyy")</f>
        <v>Dec 2025</v>
      </c>
      <c r="U833">
        <f>YEAR(support_tickets[[#This Row],[opened_at]])*100+MONTH(support_tickets[[#This Row],[opened_at]])</f>
        <v>202512</v>
      </c>
      <c r="V833" s="29">
        <f>DATE(YEAR(support_tickets[[#This Row],[opened_at]]),MONTH(support_tickets[[#This Row],[opened_at]]),1)</f>
        <v>45992</v>
      </c>
    </row>
    <row r="834" spans="1:22">
      <c r="A834">
        <v>6685131324</v>
      </c>
      <c r="B834">
        <v>431292818</v>
      </c>
      <c r="C834" t="s">
        <v>1298</v>
      </c>
      <c r="D834" t="s">
        <v>1299</v>
      </c>
      <c r="E834">
        <v>63551839</v>
      </c>
      <c r="G834" s="1">
        <v>45440.853518518517</v>
      </c>
      <c r="I834" t="s">
        <v>52</v>
      </c>
      <c r="J834" t="s">
        <v>19</v>
      </c>
      <c r="K834" t="s">
        <v>47</v>
      </c>
      <c r="L834" t="s">
        <v>60</v>
      </c>
      <c r="M834">
        <v>4</v>
      </c>
      <c r="O834">
        <v>1</v>
      </c>
      <c r="P834" t="s">
        <v>22</v>
      </c>
      <c r="Q834">
        <v>996</v>
      </c>
      <c r="R834" t="s">
        <v>53</v>
      </c>
      <c r="S834">
        <f>IF(support_tickets[[#This Row],[status_cleaned]]="closed",1,0)</f>
        <v>0</v>
      </c>
      <c r="T834" t="str">
        <f>TEXT(support_tickets[[#This Row],[opened_at]],"mmm yyyy")</f>
        <v>May 2024</v>
      </c>
      <c r="U834">
        <f>YEAR(support_tickets[[#This Row],[opened_at]])*100+MONTH(support_tickets[[#This Row],[opened_at]])</f>
        <v>202405</v>
      </c>
      <c r="V834" s="29">
        <f>DATE(YEAR(support_tickets[[#This Row],[opened_at]]),MONTH(support_tickets[[#This Row],[opened_at]]),1)</f>
        <v>45413</v>
      </c>
    </row>
    <row r="835" spans="1:22">
      <c r="A835">
        <v>6698204494</v>
      </c>
      <c r="B835">
        <v>515524530</v>
      </c>
      <c r="C835" t="s">
        <v>778</v>
      </c>
      <c r="D835" t="s">
        <v>779</v>
      </c>
      <c r="E835">
        <v>45503389</v>
      </c>
      <c r="G835" s="1">
        <v>45420.230208333334</v>
      </c>
      <c r="H835" s="1">
        <v>45420.795486111114</v>
      </c>
      <c r="I835" t="s">
        <v>18</v>
      </c>
      <c r="J835" t="s">
        <v>86</v>
      </c>
      <c r="K835" t="s">
        <v>47</v>
      </c>
      <c r="L835" t="s">
        <v>60</v>
      </c>
      <c r="M835">
        <v>48</v>
      </c>
      <c r="N835">
        <v>814</v>
      </c>
      <c r="O835">
        <v>1</v>
      </c>
      <c r="P835" t="s">
        <v>87</v>
      </c>
      <c r="Q835">
        <v>999</v>
      </c>
      <c r="R835" t="s">
        <v>53</v>
      </c>
      <c r="S835">
        <f>IF(support_tickets[[#This Row],[status_cleaned]]="closed",1,0)</f>
        <v>0</v>
      </c>
      <c r="T835" t="str">
        <f>TEXT(support_tickets[[#This Row],[opened_at]],"mmm yyyy")</f>
        <v>May 2024</v>
      </c>
      <c r="U835">
        <f>YEAR(support_tickets[[#This Row],[opened_at]])*100+MONTH(support_tickets[[#This Row],[opened_at]])</f>
        <v>202405</v>
      </c>
      <c r="V835" s="29">
        <f>DATE(YEAR(support_tickets[[#This Row],[opened_at]]),MONTH(support_tickets[[#This Row],[opened_at]]),1)</f>
        <v>45413</v>
      </c>
    </row>
    <row r="836" spans="1:22">
      <c r="A836">
        <v>7147910941</v>
      </c>
      <c r="B836">
        <v>151270577</v>
      </c>
      <c r="C836" t="s">
        <v>606</v>
      </c>
      <c r="D836" t="s">
        <v>607</v>
      </c>
      <c r="E836">
        <v>39476249</v>
      </c>
      <c r="G836" s="1">
        <v>45732.465833333335</v>
      </c>
      <c r="I836" t="s">
        <v>52</v>
      </c>
      <c r="J836" t="s">
        <v>86</v>
      </c>
      <c r="K836" t="s">
        <v>47</v>
      </c>
      <c r="L836" t="s">
        <v>60</v>
      </c>
      <c r="M836">
        <v>25</v>
      </c>
      <c r="O836">
        <v>1</v>
      </c>
      <c r="P836" t="s">
        <v>87</v>
      </c>
      <c r="Q836">
        <v>1054</v>
      </c>
      <c r="R836" t="s">
        <v>53</v>
      </c>
      <c r="S836">
        <f>IF(support_tickets[[#This Row],[status_cleaned]]="closed",1,0)</f>
        <v>0</v>
      </c>
      <c r="T836" t="str">
        <f>TEXT(support_tickets[[#This Row],[opened_at]],"mmm yyyy")</f>
        <v>Mar 2025</v>
      </c>
      <c r="U836">
        <f>YEAR(support_tickets[[#This Row],[opened_at]])*100+MONTH(support_tickets[[#This Row],[opened_at]])</f>
        <v>202503</v>
      </c>
      <c r="V836" s="29">
        <f>DATE(YEAR(support_tickets[[#This Row],[opened_at]]),MONTH(support_tickets[[#This Row],[opened_at]]),1)</f>
        <v>45717</v>
      </c>
    </row>
    <row r="837" spans="1:22">
      <c r="A837">
        <v>7174228135</v>
      </c>
      <c r="B837">
        <v>786111573</v>
      </c>
      <c r="C837" t="s">
        <v>666</v>
      </c>
      <c r="D837" t="s">
        <v>667</v>
      </c>
      <c r="E837">
        <v>29175900</v>
      </c>
      <c r="G837" s="1">
        <v>45511.223668981482</v>
      </c>
      <c r="I837" t="s">
        <v>43</v>
      </c>
      <c r="J837" t="s">
        <v>19</v>
      </c>
      <c r="K837" t="s">
        <v>47</v>
      </c>
      <c r="L837" t="s">
        <v>60</v>
      </c>
      <c r="M837">
        <v>42</v>
      </c>
      <c r="O837">
        <v>1</v>
      </c>
      <c r="P837" t="s">
        <v>22</v>
      </c>
      <c r="Q837">
        <v>1059</v>
      </c>
      <c r="R837" t="s">
        <v>53</v>
      </c>
      <c r="S837">
        <f>IF(support_tickets[[#This Row],[status_cleaned]]="closed",1,0)</f>
        <v>0</v>
      </c>
      <c r="T837" t="str">
        <f>TEXT(support_tickets[[#This Row],[opened_at]],"mmm yyyy")</f>
        <v>Aug 2024</v>
      </c>
      <c r="U837">
        <f>YEAR(support_tickets[[#This Row],[opened_at]])*100+MONTH(support_tickets[[#This Row],[opened_at]])</f>
        <v>202408</v>
      </c>
      <c r="V837" s="29">
        <f>DATE(YEAR(support_tickets[[#This Row],[opened_at]]),MONTH(support_tickets[[#This Row],[opened_at]]),1)</f>
        <v>45505</v>
      </c>
    </row>
    <row r="838" spans="1:22">
      <c r="A838">
        <v>7286152640</v>
      </c>
      <c r="B838">
        <v>657568201</v>
      </c>
      <c r="C838" t="s">
        <v>318</v>
      </c>
      <c r="D838" t="s">
        <v>319</v>
      </c>
      <c r="E838">
        <v>45551614</v>
      </c>
      <c r="G838" s="1">
        <v>45630.095416666663</v>
      </c>
      <c r="H838" s="1">
        <v>45631.214166666665</v>
      </c>
      <c r="I838" t="s">
        <v>46</v>
      </c>
      <c r="J838" t="s">
        <v>25</v>
      </c>
      <c r="K838" t="s">
        <v>47</v>
      </c>
      <c r="L838" t="s">
        <v>60</v>
      </c>
      <c r="M838">
        <v>31</v>
      </c>
      <c r="N838">
        <v>1611</v>
      </c>
      <c r="O838">
        <v>1</v>
      </c>
      <c r="P838" t="s">
        <v>27</v>
      </c>
      <c r="Q838">
        <v>1074</v>
      </c>
      <c r="R838" t="s">
        <v>53</v>
      </c>
      <c r="S838">
        <f>IF(support_tickets[[#This Row],[status_cleaned]]="closed",1,0)</f>
        <v>0</v>
      </c>
      <c r="T838" t="str">
        <f>TEXT(support_tickets[[#This Row],[opened_at]],"mmm yyyy")</f>
        <v>Dec 2024</v>
      </c>
      <c r="U838">
        <f>YEAR(support_tickets[[#This Row],[opened_at]])*100+MONTH(support_tickets[[#This Row],[opened_at]])</f>
        <v>202412</v>
      </c>
      <c r="V838" s="29">
        <f>DATE(YEAR(support_tickets[[#This Row],[opened_at]]),MONTH(support_tickets[[#This Row],[opened_at]]),1)</f>
        <v>45627</v>
      </c>
    </row>
    <row r="839" spans="1:22">
      <c r="A839">
        <v>7323256411</v>
      </c>
      <c r="B839">
        <v>758276886</v>
      </c>
      <c r="C839" t="s">
        <v>516</v>
      </c>
      <c r="D839" t="s">
        <v>517</v>
      </c>
      <c r="E839">
        <v>95822412</v>
      </c>
      <c r="G839" s="1">
        <v>46049.872118055559</v>
      </c>
      <c r="I839" t="s">
        <v>3</v>
      </c>
      <c r="J839" t="s">
        <v>86</v>
      </c>
      <c r="K839" t="s">
        <v>47</v>
      </c>
      <c r="L839" t="s">
        <v>60</v>
      </c>
      <c r="M839">
        <v>38</v>
      </c>
      <c r="O839">
        <v>1</v>
      </c>
      <c r="P839" t="s">
        <v>87</v>
      </c>
      <c r="Q839">
        <v>1078</v>
      </c>
      <c r="R839" t="s">
        <v>53</v>
      </c>
      <c r="S839">
        <f>IF(support_tickets[[#This Row],[status_cleaned]]="closed",1,0)</f>
        <v>0</v>
      </c>
      <c r="T839" t="str">
        <f>TEXT(support_tickets[[#This Row],[opened_at]],"mmm yyyy")</f>
        <v>Jan 2026</v>
      </c>
      <c r="U839">
        <f>YEAR(support_tickets[[#This Row],[opened_at]])*100+MONTH(support_tickets[[#This Row],[opened_at]])</f>
        <v>202601</v>
      </c>
      <c r="V839" s="29">
        <f>DATE(YEAR(support_tickets[[#This Row],[opened_at]]),MONTH(support_tickets[[#This Row],[opened_at]]),1)</f>
        <v>46023</v>
      </c>
    </row>
    <row r="840" spans="1:22">
      <c r="A840">
        <v>7343111435</v>
      </c>
      <c r="B840">
        <v>683246764</v>
      </c>
      <c r="C840" t="s">
        <v>588</v>
      </c>
      <c r="D840" t="s">
        <v>589</v>
      </c>
      <c r="E840">
        <v>39958838</v>
      </c>
      <c r="G840" s="1">
        <v>45420.339085648149</v>
      </c>
      <c r="I840" t="s">
        <v>52</v>
      </c>
      <c r="J840" t="s">
        <v>38</v>
      </c>
      <c r="K840" t="s">
        <v>47</v>
      </c>
      <c r="L840" t="s">
        <v>60</v>
      </c>
      <c r="M840">
        <v>45</v>
      </c>
      <c r="O840">
        <v>1</v>
      </c>
      <c r="P840" t="s">
        <v>40</v>
      </c>
      <c r="Q840">
        <v>1082</v>
      </c>
      <c r="R840" t="s">
        <v>53</v>
      </c>
      <c r="S840">
        <f>IF(support_tickets[[#This Row],[status_cleaned]]="closed",1,0)</f>
        <v>0</v>
      </c>
      <c r="T840" t="str">
        <f>TEXT(support_tickets[[#This Row],[opened_at]],"mmm yyyy")</f>
        <v>May 2024</v>
      </c>
      <c r="U840">
        <f>YEAR(support_tickets[[#This Row],[opened_at]])*100+MONTH(support_tickets[[#This Row],[opened_at]])</f>
        <v>202405</v>
      </c>
      <c r="V840" s="29">
        <f>DATE(YEAR(support_tickets[[#This Row],[opened_at]]),MONTH(support_tickets[[#This Row],[opened_at]]),1)</f>
        <v>45413</v>
      </c>
    </row>
    <row r="841" spans="1:22">
      <c r="A841">
        <v>7466752669</v>
      </c>
      <c r="B841">
        <v>393622794</v>
      </c>
      <c r="C841" t="s">
        <v>424</v>
      </c>
      <c r="D841" t="s">
        <v>425</v>
      </c>
      <c r="E841">
        <v>38317637</v>
      </c>
      <c r="G841" s="1">
        <v>45715.143043981479</v>
      </c>
      <c r="I841" t="s">
        <v>52</v>
      </c>
      <c r="J841" t="s">
        <v>38</v>
      </c>
      <c r="K841" t="s">
        <v>47</v>
      </c>
      <c r="L841" t="s">
        <v>60</v>
      </c>
      <c r="M841">
        <v>28</v>
      </c>
      <c r="O841">
        <v>1</v>
      </c>
      <c r="P841" t="s">
        <v>40</v>
      </c>
      <c r="Q841">
        <v>1099</v>
      </c>
      <c r="R841" t="s">
        <v>53</v>
      </c>
      <c r="S841">
        <f>IF(support_tickets[[#This Row],[status_cleaned]]="closed",1,0)</f>
        <v>0</v>
      </c>
      <c r="T841" t="str">
        <f>TEXT(support_tickets[[#This Row],[opened_at]],"mmm yyyy")</f>
        <v>Feb 2025</v>
      </c>
      <c r="U841">
        <f>YEAR(support_tickets[[#This Row],[opened_at]])*100+MONTH(support_tickets[[#This Row],[opened_at]])</f>
        <v>202502</v>
      </c>
      <c r="V841" s="29">
        <f>DATE(YEAR(support_tickets[[#This Row],[opened_at]]),MONTH(support_tickets[[#This Row],[opened_at]]),1)</f>
        <v>45689</v>
      </c>
    </row>
    <row r="842" spans="1:22">
      <c r="A842">
        <v>7486516832</v>
      </c>
      <c r="B842">
        <v>146914391</v>
      </c>
      <c r="C842" t="s">
        <v>410</v>
      </c>
      <c r="D842" t="s">
        <v>411</v>
      </c>
      <c r="E842">
        <v>42857966</v>
      </c>
      <c r="G842" s="1">
        <v>45638.702569444446</v>
      </c>
      <c r="I842" t="s">
        <v>52</v>
      </c>
      <c r="J842" t="s">
        <v>86</v>
      </c>
      <c r="K842" t="s">
        <v>47</v>
      </c>
      <c r="L842" t="s">
        <v>60</v>
      </c>
      <c r="M842">
        <v>33</v>
      </c>
      <c r="O842">
        <v>1</v>
      </c>
      <c r="P842" t="s">
        <v>87</v>
      </c>
      <c r="Q842">
        <v>1105</v>
      </c>
      <c r="R842" t="s">
        <v>53</v>
      </c>
      <c r="S842">
        <f>IF(support_tickets[[#This Row],[status_cleaned]]="closed",1,0)</f>
        <v>0</v>
      </c>
      <c r="T842" t="str">
        <f>TEXT(support_tickets[[#This Row],[opened_at]],"mmm yyyy")</f>
        <v>Dec 2024</v>
      </c>
      <c r="U842">
        <f>YEAR(support_tickets[[#This Row],[opened_at]])*100+MONTH(support_tickets[[#This Row],[opened_at]])</f>
        <v>202412</v>
      </c>
      <c r="V842" s="29">
        <f>DATE(YEAR(support_tickets[[#This Row],[opened_at]]),MONTH(support_tickets[[#This Row],[opened_at]]),1)</f>
        <v>45627</v>
      </c>
    </row>
    <row r="843" spans="1:22">
      <c r="A843">
        <v>7625981516</v>
      </c>
      <c r="B843">
        <v>810741110</v>
      </c>
      <c r="C843" t="s">
        <v>416</v>
      </c>
      <c r="D843" t="s">
        <v>417</v>
      </c>
      <c r="E843">
        <v>31831063</v>
      </c>
      <c r="G843" s="1">
        <v>45629.638495370367</v>
      </c>
      <c r="H843" s="1">
        <v>45630.610023148147</v>
      </c>
      <c r="I843" t="s">
        <v>46</v>
      </c>
      <c r="J843" t="s">
        <v>86</v>
      </c>
      <c r="K843" t="s">
        <v>47</v>
      </c>
      <c r="L843" t="s">
        <v>60</v>
      </c>
      <c r="M843">
        <v>44</v>
      </c>
      <c r="N843">
        <v>1399</v>
      </c>
      <c r="O843">
        <v>1</v>
      </c>
      <c r="P843" t="s">
        <v>87</v>
      </c>
      <c r="Q843">
        <v>1130</v>
      </c>
      <c r="R843" t="s">
        <v>53</v>
      </c>
      <c r="S843">
        <f>IF(support_tickets[[#This Row],[status_cleaned]]="closed",1,0)</f>
        <v>0</v>
      </c>
      <c r="T843" t="str">
        <f>TEXT(support_tickets[[#This Row],[opened_at]],"mmm yyyy")</f>
        <v>Dec 2024</v>
      </c>
      <c r="U843">
        <f>YEAR(support_tickets[[#This Row],[opened_at]])*100+MONTH(support_tickets[[#This Row],[opened_at]])</f>
        <v>202412</v>
      </c>
      <c r="V843" s="29">
        <f>DATE(YEAR(support_tickets[[#This Row],[opened_at]]),MONTH(support_tickets[[#This Row],[opened_at]]),1)</f>
        <v>45627</v>
      </c>
    </row>
    <row r="844" spans="1:22">
      <c r="A844">
        <v>7875307494</v>
      </c>
      <c r="B844">
        <v>893838119</v>
      </c>
      <c r="C844" t="s">
        <v>1410</v>
      </c>
      <c r="D844" t="s">
        <v>1411</v>
      </c>
      <c r="E844">
        <v>71586053</v>
      </c>
      <c r="F844">
        <v>7272172156</v>
      </c>
      <c r="G844" s="1">
        <v>46077.378518518519</v>
      </c>
      <c r="I844" t="s">
        <v>18</v>
      </c>
      <c r="J844" t="s">
        <v>30</v>
      </c>
      <c r="K844" t="s">
        <v>47</v>
      </c>
      <c r="L844" t="s">
        <v>60</v>
      </c>
      <c r="M844">
        <v>47</v>
      </c>
      <c r="O844">
        <v>1</v>
      </c>
      <c r="P844" t="s">
        <v>31</v>
      </c>
      <c r="Q844">
        <v>1170</v>
      </c>
      <c r="R844" t="s">
        <v>53</v>
      </c>
      <c r="S844">
        <f>IF(support_tickets[[#This Row],[status_cleaned]]="closed",1,0)</f>
        <v>0</v>
      </c>
      <c r="T844" t="str">
        <f>TEXT(support_tickets[[#This Row],[opened_at]],"mmm yyyy")</f>
        <v>Feb 2026</v>
      </c>
      <c r="U844">
        <f>YEAR(support_tickets[[#This Row],[opened_at]])*100+MONTH(support_tickets[[#This Row],[opened_at]])</f>
        <v>202602</v>
      </c>
      <c r="V844" s="29">
        <f>DATE(YEAR(support_tickets[[#This Row],[opened_at]]),MONTH(support_tickets[[#This Row],[opened_at]]),1)</f>
        <v>46054</v>
      </c>
    </row>
    <row r="845" spans="1:22">
      <c r="A845">
        <v>8022662403</v>
      </c>
      <c r="B845">
        <v>714478186</v>
      </c>
      <c r="C845" t="s">
        <v>1408</v>
      </c>
      <c r="D845" t="s">
        <v>1409</v>
      </c>
      <c r="E845">
        <v>58718453</v>
      </c>
      <c r="G845" s="1">
        <v>45317.419733796298</v>
      </c>
      <c r="H845" s="1">
        <v>45317.61278935185</v>
      </c>
      <c r="I845" t="s">
        <v>46</v>
      </c>
      <c r="J845" t="s">
        <v>25</v>
      </c>
      <c r="K845" t="s">
        <v>47</v>
      </c>
      <c r="L845" t="s">
        <v>60</v>
      </c>
      <c r="M845">
        <v>1</v>
      </c>
      <c r="N845">
        <v>278</v>
      </c>
      <c r="O845">
        <v>1</v>
      </c>
      <c r="P845" t="s">
        <v>27</v>
      </c>
      <c r="Q845">
        <v>1187</v>
      </c>
      <c r="R845" t="s">
        <v>53</v>
      </c>
      <c r="S845">
        <f>IF(support_tickets[[#This Row],[status_cleaned]]="closed",1,0)</f>
        <v>0</v>
      </c>
      <c r="T845" t="str">
        <f>TEXT(support_tickets[[#This Row],[opened_at]],"mmm yyyy")</f>
        <v>Jan 2024</v>
      </c>
      <c r="U845">
        <f>YEAR(support_tickets[[#This Row],[opened_at]])*100+MONTH(support_tickets[[#This Row],[opened_at]])</f>
        <v>202401</v>
      </c>
      <c r="V845" s="29">
        <f>DATE(YEAR(support_tickets[[#This Row],[opened_at]]),MONTH(support_tickets[[#This Row],[opened_at]]),1)</f>
        <v>45292</v>
      </c>
    </row>
    <row r="846" spans="1:22">
      <c r="A846">
        <v>8129244193</v>
      </c>
      <c r="B846">
        <v>254905897</v>
      </c>
      <c r="C846" t="s">
        <v>1433</v>
      </c>
      <c r="D846" t="s">
        <v>1434</v>
      </c>
      <c r="E846">
        <v>42857966</v>
      </c>
      <c r="G846" s="1">
        <v>45729.704363425924</v>
      </c>
      <c r="I846" t="s">
        <v>56</v>
      </c>
      <c r="J846" t="s">
        <v>30</v>
      </c>
      <c r="K846" t="s">
        <v>47</v>
      </c>
      <c r="L846" t="s">
        <v>60</v>
      </c>
      <c r="M846">
        <v>25</v>
      </c>
      <c r="O846">
        <v>1</v>
      </c>
      <c r="P846" t="s">
        <v>31</v>
      </c>
      <c r="Q846">
        <v>1200</v>
      </c>
      <c r="R846" t="s">
        <v>53</v>
      </c>
      <c r="S846">
        <f>IF(support_tickets[[#This Row],[status_cleaned]]="closed",1,0)</f>
        <v>0</v>
      </c>
      <c r="T846" t="str">
        <f>TEXT(support_tickets[[#This Row],[opened_at]],"mmm yyyy")</f>
        <v>Mar 2025</v>
      </c>
      <c r="U846">
        <f>YEAR(support_tickets[[#This Row],[opened_at]])*100+MONTH(support_tickets[[#This Row],[opened_at]])</f>
        <v>202503</v>
      </c>
      <c r="V846" s="29">
        <f>DATE(YEAR(support_tickets[[#This Row],[opened_at]]),MONTH(support_tickets[[#This Row],[opened_at]]),1)</f>
        <v>45717</v>
      </c>
    </row>
    <row r="847" spans="1:22">
      <c r="A847">
        <v>8209567608</v>
      </c>
      <c r="B847">
        <v>838781242</v>
      </c>
      <c r="C847" t="s">
        <v>1439</v>
      </c>
      <c r="D847" t="s">
        <v>1440</v>
      </c>
      <c r="E847">
        <v>95758349</v>
      </c>
      <c r="G847" s="1">
        <v>45868.037754629629</v>
      </c>
      <c r="I847" t="s">
        <v>18</v>
      </c>
      <c r="J847" t="s">
        <v>86</v>
      </c>
      <c r="K847" t="s">
        <v>47</v>
      </c>
      <c r="L847" t="s">
        <v>60</v>
      </c>
      <c r="M847">
        <v>47</v>
      </c>
      <c r="O847">
        <v>1</v>
      </c>
      <c r="P847" t="s">
        <v>87</v>
      </c>
      <c r="Q847">
        <v>1213</v>
      </c>
      <c r="R847" t="s">
        <v>53</v>
      </c>
      <c r="S847">
        <f>IF(support_tickets[[#This Row],[status_cleaned]]="closed",1,0)</f>
        <v>0</v>
      </c>
      <c r="T847" t="str">
        <f>TEXT(support_tickets[[#This Row],[opened_at]],"mmm yyyy")</f>
        <v>Jul 2025</v>
      </c>
      <c r="U847">
        <f>YEAR(support_tickets[[#This Row],[opened_at]])*100+MONTH(support_tickets[[#This Row],[opened_at]])</f>
        <v>202507</v>
      </c>
      <c r="V847" s="29">
        <f>DATE(YEAR(support_tickets[[#This Row],[opened_at]]),MONTH(support_tickets[[#This Row],[opened_at]]),1)</f>
        <v>45839</v>
      </c>
    </row>
    <row r="848" spans="1:22">
      <c r="A848">
        <v>8318854626</v>
      </c>
      <c r="B848">
        <v>889924866</v>
      </c>
      <c r="C848" t="s">
        <v>1449</v>
      </c>
      <c r="D848" t="s">
        <v>1450</v>
      </c>
      <c r="E848">
        <v>43101783</v>
      </c>
      <c r="G848" s="1">
        <v>45743.753958333335</v>
      </c>
      <c r="I848" t="s">
        <v>46</v>
      </c>
      <c r="J848" t="s">
        <v>86</v>
      </c>
      <c r="K848" t="s">
        <v>47</v>
      </c>
      <c r="L848" t="s">
        <v>60</v>
      </c>
      <c r="M848">
        <v>54</v>
      </c>
      <c r="O848">
        <v>1</v>
      </c>
      <c r="P848" t="s">
        <v>87</v>
      </c>
      <c r="Q848">
        <v>1231</v>
      </c>
      <c r="R848" t="s">
        <v>53</v>
      </c>
      <c r="S848">
        <f>IF(support_tickets[[#This Row],[status_cleaned]]="closed",1,0)</f>
        <v>0</v>
      </c>
      <c r="T848" t="str">
        <f>TEXT(support_tickets[[#This Row],[opened_at]],"mmm yyyy")</f>
        <v>Mar 2025</v>
      </c>
      <c r="U848">
        <f>YEAR(support_tickets[[#This Row],[opened_at]])*100+MONTH(support_tickets[[#This Row],[opened_at]])</f>
        <v>202503</v>
      </c>
      <c r="V848" s="29">
        <f>DATE(YEAR(support_tickets[[#This Row],[opened_at]]),MONTH(support_tickets[[#This Row],[opened_at]]),1)</f>
        <v>45717</v>
      </c>
    </row>
    <row r="849" spans="1:22">
      <c r="A849">
        <v>8339541797</v>
      </c>
      <c r="B849">
        <v>927720428</v>
      </c>
      <c r="C849" t="s">
        <v>836</v>
      </c>
      <c r="D849" t="s">
        <v>837</v>
      </c>
      <c r="E849">
        <v>77187530</v>
      </c>
      <c r="F849">
        <v>5754738881</v>
      </c>
      <c r="G849" s="1">
        <v>45370.555706018517</v>
      </c>
      <c r="I849" t="s">
        <v>18</v>
      </c>
      <c r="J849" t="s">
        <v>59</v>
      </c>
      <c r="K849" t="s">
        <v>47</v>
      </c>
      <c r="L849" t="s">
        <v>60</v>
      </c>
      <c r="M849">
        <v>39</v>
      </c>
      <c r="O849">
        <v>1</v>
      </c>
      <c r="P849" t="s">
        <v>61</v>
      </c>
      <c r="Q849">
        <v>1232</v>
      </c>
      <c r="R849" t="s">
        <v>53</v>
      </c>
      <c r="S849">
        <f>IF(support_tickets[[#This Row],[status_cleaned]]="closed",1,0)</f>
        <v>0</v>
      </c>
      <c r="T849" t="str">
        <f>TEXT(support_tickets[[#This Row],[opened_at]],"mmm yyyy")</f>
        <v>Mar 2024</v>
      </c>
      <c r="U849">
        <f>YEAR(support_tickets[[#This Row],[opened_at]])*100+MONTH(support_tickets[[#This Row],[opened_at]])</f>
        <v>202403</v>
      </c>
      <c r="V849" s="29">
        <f>DATE(YEAR(support_tickets[[#This Row],[opened_at]]),MONTH(support_tickets[[#This Row],[opened_at]]),1)</f>
        <v>45352</v>
      </c>
    </row>
    <row r="850" spans="1:22">
      <c r="A850">
        <v>8523092435</v>
      </c>
      <c r="B850">
        <v>105638424</v>
      </c>
      <c r="C850" t="s">
        <v>1463</v>
      </c>
      <c r="D850" t="s">
        <v>1464</v>
      </c>
      <c r="E850">
        <v>31682744</v>
      </c>
      <c r="G850" s="1">
        <v>45528.876782407409</v>
      </c>
      <c r="I850" t="s">
        <v>46</v>
      </c>
      <c r="J850" t="s">
        <v>38</v>
      </c>
      <c r="K850" t="s">
        <v>47</v>
      </c>
      <c r="L850" t="s">
        <v>60</v>
      </c>
      <c r="M850">
        <v>6</v>
      </c>
      <c r="O850">
        <v>1</v>
      </c>
      <c r="P850" t="s">
        <v>40</v>
      </c>
      <c r="Q850">
        <v>1262</v>
      </c>
      <c r="R850" t="s">
        <v>53</v>
      </c>
      <c r="S850">
        <f>IF(support_tickets[[#This Row],[status_cleaned]]="closed",1,0)</f>
        <v>0</v>
      </c>
      <c r="T850" t="str">
        <f>TEXT(support_tickets[[#This Row],[opened_at]],"mmm yyyy")</f>
        <v>Aug 2024</v>
      </c>
      <c r="U850">
        <f>YEAR(support_tickets[[#This Row],[opened_at]])*100+MONTH(support_tickets[[#This Row],[opened_at]])</f>
        <v>202408</v>
      </c>
      <c r="V850" s="29">
        <f>DATE(YEAR(support_tickets[[#This Row],[opened_at]]),MONTH(support_tickets[[#This Row],[opened_at]]),1)</f>
        <v>45505</v>
      </c>
    </row>
    <row r="851" spans="1:22">
      <c r="A851">
        <v>8589455936</v>
      </c>
      <c r="B851">
        <v>909340042</v>
      </c>
      <c r="C851" t="s">
        <v>1180</v>
      </c>
      <c r="D851" t="s">
        <v>1181</v>
      </c>
      <c r="E851">
        <v>36697396</v>
      </c>
      <c r="G851" s="1">
        <v>45413.876307870371</v>
      </c>
      <c r="I851" t="s">
        <v>46</v>
      </c>
      <c r="J851" t="s">
        <v>38</v>
      </c>
      <c r="K851" t="s">
        <v>47</v>
      </c>
      <c r="L851" t="s">
        <v>60</v>
      </c>
      <c r="M851">
        <v>50</v>
      </c>
      <c r="O851">
        <v>1</v>
      </c>
      <c r="P851" t="s">
        <v>40</v>
      </c>
      <c r="Q851">
        <v>1278</v>
      </c>
      <c r="R851" t="s">
        <v>53</v>
      </c>
      <c r="S851">
        <f>IF(support_tickets[[#This Row],[status_cleaned]]="closed",1,0)</f>
        <v>0</v>
      </c>
      <c r="T851" t="str">
        <f>TEXT(support_tickets[[#This Row],[opened_at]],"mmm yyyy")</f>
        <v>May 2024</v>
      </c>
      <c r="U851">
        <f>YEAR(support_tickets[[#This Row],[opened_at]])*100+MONTH(support_tickets[[#This Row],[opened_at]])</f>
        <v>202405</v>
      </c>
      <c r="V851" s="29">
        <f>DATE(YEAR(support_tickets[[#This Row],[opened_at]]),MONTH(support_tickets[[#This Row],[opened_at]]),1)</f>
        <v>45413</v>
      </c>
    </row>
    <row r="852" spans="1:22">
      <c r="A852">
        <v>8593345998</v>
      </c>
      <c r="B852">
        <v>407209235</v>
      </c>
      <c r="C852" t="s">
        <v>1412</v>
      </c>
      <c r="D852" t="s">
        <v>1413</v>
      </c>
      <c r="E852">
        <v>70291817</v>
      </c>
      <c r="G852" s="1">
        <v>45388.765567129631</v>
      </c>
      <c r="H852" s="1">
        <v>45389.997511574074</v>
      </c>
      <c r="I852" t="s">
        <v>18</v>
      </c>
      <c r="J852" t="s">
        <v>86</v>
      </c>
      <c r="K852" t="s">
        <v>47</v>
      </c>
      <c r="L852" t="s">
        <v>60</v>
      </c>
      <c r="M852">
        <v>81</v>
      </c>
      <c r="N852">
        <v>1774</v>
      </c>
      <c r="O852">
        <v>1</v>
      </c>
      <c r="P852" t="s">
        <v>87</v>
      </c>
      <c r="Q852">
        <v>1279</v>
      </c>
      <c r="R852" t="s">
        <v>53</v>
      </c>
      <c r="S852">
        <f>IF(support_tickets[[#This Row],[status_cleaned]]="closed",1,0)</f>
        <v>0</v>
      </c>
      <c r="T852" t="str">
        <f>TEXT(support_tickets[[#This Row],[opened_at]],"mmm yyyy")</f>
        <v>Apr 2024</v>
      </c>
      <c r="U852">
        <f>YEAR(support_tickets[[#This Row],[opened_at]])*100+MONTH(support_tickets[[#This Row],[opened_at]])</f>
        <v>202404</v>
      </c>
      <c r="V852" s="29">
        <f>DATE(YEAR(support_tickets[[#This Row],[opened_at]]),MONTH(support_tickets[[#This Row],[opened_at]]),1)</f>
        <v>45383</v>
      </c>
    </row>
    <row r="853" spans="1:22">
      <c r="A853">
        <v>8754601962</v>
      </c>
      <c r="B853">
        <v>431292818</v>
      </c>
      <c r="C853" t="s">
        <v>1298</v>
      </c>
      <c r="D853" t="s">
        <v>1299</v>
      </c>
      <c r="E853">
        <v>66629388</v>
      </c>
      <c r="G853" s="1">
        <v>45815.039768518516</v>
      </c>
      <c r="I853" t="s">
        <v>56</v>
      </c>
      <c r="J853" t="s">
        <v>38</v>
      </c>
      <c r="K853" t="s">
        <v>47</v>
      </c>
      <c r="L853" t="s">
        <v>60</v>
      </c>
      <c r="M853">
        <v>6</v>
      </c>
      <c r="O853">
        <v>1</v>
      </c>
      <c r="P853" t="s">
        <v>40</v>
      </c>
      <c r="Q853">
        <v>1305</v>
      </c>
      <c r="R853" t="s">
        <v>53</v>
      </c>
      <c r="S853">
        <f>IF(support_tickets[[#This Row],[status_cleaned]]="closed",1,0)</f>
        <v>0</v>
      </c>
      <c r="T853" t="str">
        <f>TEXT(support_tickets[[#This Row],[opened_at]],"mmm yyyy")</f>
        <v>Jun 2025</v>
      </c>
      <c r="U853">
        <f>YEAR(support_tickets[[#This Row],[opened_at]])*100+MONTH(support_tickets[[#This Row],[opened_at]])</f>
        <v>202506</v>
      </c>
      <c r="V853" s="29">
        <f>DATE(YEAR(support_tickets[[#This Row],[opened_at]]),MONTH(support_tickets[[#This Row],[opened_at]]),1)</f>
        <v>45809</v>
      </c>
    </row>
    <row r="854" spans="1:22">
      <c r="A854">
        <v>9204079853</v>
      </c>
      <c r="B854">
        <v>839393192</v>
      </c>
      <c r="C854" t="s">
        <v>28</v>
      </c>
      <c r="D854" t="s">
        <v>29</v>
      </c>
      <c r="E854">
        <v>78139880</v>
      </c>
      <c r="G854" s="1">
        <v>45551.630208333336</v>
      </c>
      <c r="H854" s="1">
        <v>45551.788541666669</v>
      </c>
      <c r="I854" t="s">
        <v>43</v>
      </c>
      <c r="J854" t="s">
        <v>86</v>
      </c>
      <c r="K854" t="s">
        <v>47</v>
      </c>
      <c r="L854" t="s">
        <v>60</v>
      </c>
      <c r="M854">
        <v>37</v>
      </c>
      <c r="N854">
        <v>228</v>
      </c>
      <c r="O854">
        <v>1</v>
      </c>
      <c r="P854" t="s">
        <v>87</v>
      </c>
      <c r="Q854">
        <v>1385</v>
      </c>
      <c r="R854" t="s">
        <v>53</v>
      </c>
      <c r="S854">
        <f>IF(support_tickets[[#This Row],[status_cleaned]]="closed",1,0)</f>
        <v>0</v>
      </c>
      <c r="T854" t="str">
        <f>TEXT(support_tickets[[#This Row],[opened_at]],"mmm yyyy")</f>
        <v>Sep 2024</v>
      </c>
      <c r="U854">
        <f>YEAR(support_tickets[[#This Row],[opened_at]])*100+MONTH(support_tickets[[#This Row],[opened_at]])</f>
        <v>202409</v>
      </c>
      <c r="V854" s="29">
        <f>DATE(YEAR(support_tickets[[#This Row],[opened_at]]),MONTH(support_tickets[[#This Row],[opened_at]]),1)</f>
        <v>45536</v>
      </c>
    </row>
    <row r="855" spans="1:22">
      <c r="A855">
        <v>9242240289</v>
      </c>
      <c r="B855">
        <v>600871106</v>
      </c>
      <c r="C855" t="s">
        <v>1531</v>
      </c>
      <c r="D855" t="s">
        <v>1532</v>
      </c>
      <c r="E855">
        <v>98753260</v>
      </c>
      <c r="F855">
        <v>6228372352</v>
      </c>
      <c r="G855" s="1">
        <v>45376.178761574076</v>
      </c>
      <c r="H855" s="1">
        <v>45376.889178240737</v>
      </c>
      <c r="I855" t="s">
        <v>37</v>
      </c>
      <c r="J855" t="s">
        <v>19</v>
      </c>
      <c r="K855" t="s">
        <v>47</v>
      </c>
      <c r="L855" t="s">
        <v>60</v>
      </c>
      <c r="M855">
        <v>57</v>
      </c>
      <c r="N855">
        <v>1023</v>
      </c>
      <c r="O855">
        <v>1</v>
      </c>
      <c r="P855" t="s">
        <v>22</v>
      </c>
      <c r="Q855">
        <v>1393</v>
      </c>
      <c r="R855" t="s">
        <v>53</v>
      </c>
      <c r="S855">
        <f>IF(support_tickets[[#This Row],[status_cleaned]]="closed",1,0)</f>
        <v>0</v>
      </c>
      <c r="T855" t="str">
        <f>TEXT(support_tickets[[#This Row],[opened_at]],"mmm yyyy")</f>
        <v>Mar 2024</v>
      </c>
      <c r="U855">
        <f>YEAR(support_tickets[[#This Row],[opened_at]])*100+MONTH(support_tickets[[#This Row],[opened_at]])</f>
        <v>202403</v>
      </c>
      <c r="V855" s="29">
        <f>DATE(YEAR(support_tickets[[#This Row],[opened_at]]),MONTH(support_tickets[[#This Row],[opened_at]]),1)</f>
        <v>45352</v>
      </c>
    </row>
    <row r="856" spans="1:22">
      <c r="A856">
        <v>9441699194</v>
      </c>
      <c r="B856">
        <v>739750911</v>
      </c>
      <c r="C856" t="s">
        <v>1178</v>
      </c>
      <c r="D856" t="s">
        <v>1179</v>
      </c>
      <c r="E856">
        <v>83197857</v>
      </c>
      <c r="G856" s="1">
        <v>45450.793321759258</v>
      </c>
      <c r="I856" t="s">
        <v>56</v>
      </c>
      <c r="J856" t="s">
        <v>59</v>
      </c>
      <c r="K856" t="s">
        <v>47</v>
      </c>
      <c r="L856" t="s">
        <v>60</v>
      </c>
      <c r="M856">
        <v>59</v>
      </c>
      <c r="O856">
        <v>1</v>
      </c>
      <c r="P856" t="s">
        <v>61</v>
      </c>
      <c r="Q856">
        <v>1424</v>
      </c>
      <c r="R856" t="s">
        <v>53</v>
      </c>
      <c r="S856">
        <f>IF(support_tickets[[#This Row],[status_cleaned]]="closed",1,0)</f>
        <v>0</v>
      </c>
      <c r="T856" t="str">
        <f>TEXT(support_tickets[[#This Row],[opened_at]],"mmm yyyy")</f>
        <v>Jun 2024</v>
      </c>
      <c r="U856">
        <f>YEAR(support_tickets[[#This Row],[opened_at]])*100+MONTH(support_tickets[[#This Row],[opened_at]])</f>
        <v>202406</v>
      </c>
      <c r="V856" s="29">
        <f>DATE(YEAR(support_tickets[[#This Row],[opened_at]]),MONTH(support_tickets[[#This Row],[opened_at]]),1)</f>
        <v>45444</v>
      </c>
    </row>
    <row r="857" spans="1:22">
      <c r="A857">
        <v>9561219277</v>
      </c>
      <c r="B857">
        <v>146744734</v>
      </c>
      <c r="C857" t="s">
        <v>254</v>
      </c>
      <c r="D857" t="s">
        <v>255</v>
      </c>
      <c r="E857">
        <v>53524491</v>
      </c>
      <c r="G857" s="1">
        <v>45725.818402777775</v>
      </c>
      <c r="I857" t="s">
        <v>46</v>
      </c>
      <c r="J857" t="s">
        <v>86</v>
      </c>
      <c r="K857" t="s">
        <v>47</v>
      </c>
      <c r="L857" t="s">
        <v>60</v>
      </c>
      <c r="M857">
        <v>3</v>
      </c>
      <c r="O857">
        <v>1</v>
      </c>
      <c r="P857" t="s">
        <v>87</v>
      </c>
      <c r="Q857">
        <v>1441</v>
      </c>
      <c r="R857" t="s">
        <v>53</v>
      </c>
      <c r="S857">
        <f>IF(support_tickets[[#This Row],[status_cleaned]]="closed",1,0)</f>
        <v>0</v>
      </c>
      <c r="T857" t="str">
        <f>TEXT(support_tickets[[#This Row],[opened_at]],"mmm yyyy")</f>
        <v>Mar 2025</v>
      </c>
      <c r="U857">
        <f>YEAR(support_tickets[[#This Row],[opened_at]])*100+MONTH(support_tickets[[#This Row],[opened_at]])</f>
        <v>202503</v>
      </c>
      <c r="V857" s="29">
        <f>DATE(YEAR(support_tickets[[#This Row],[opened_at]]),MONTH(support_tickets[[#This Row],[opened_at]]),1)</f>
        <v>45717</v>
      </c>
    </row>
    <row r="858" spans="1:22">
      <c r="A858">
        <v>9670521286</v>
      </c>
      <c r="B858">
        <v>579182105</v>
      </c>
      <c r="C858" t="s">
        <v>456</v>
      </c>
      <c r="D858" t="s">
        <v>457</v>
      </c>
      <c r="E858">
        <v>43101783</v>
      </c>
      <c r="G858" s="1">
        <v>45607.110949074071</v>
      </c>
      <c r="I858" t="s">
        <v>52</v>
      </c>
      <c r="J858" t="s">
        <v>19</v>
      </c>
      <c r="K858" t="s">
        <v>47</v>
      </c>
      <c r="L858" t="s">
        <v>60</v>
      </c>
      <c r="M858">
        <v>110</v>
      </c>
      <c r="O858">
        <v>1</v>
      </c>
      <c r="P858" t="s">
        <v>22</v>
      </c>
      <c r="Q858">
        <v>1461</v>
      </c>
      <c r="R858" t="s">
        <v>53</v>
      </c>
      <c r="S858">
        <f>IF(support_tickets[[#This Row],[status_cleaned]]="closed",1,0)</f>
        <v>0</v>
      </c>
      <c r="T858" t="str">
        <f>TEXT(support_tickets[[#This Row],[opened_at]],"mmm yyyy")</f>
        <v>Nov 2024</v>
      </c>
      <c r="U858">
        <f>YEAR(support_tickets[[#This Row],[opened_at]])*100+MONTH(support_tickets[[#This Row],[opened_at]])</f>
        <v>202411</v>
      </c>
      <c r="V858" s="29">
        <f>DATE(YEAR(support_tickets[[#This Row],[opened_at]]),MONTH(support_tickets[[#This Row],[opened_at]]),1)</f>
        <v>45597</v>
      </c>
    </row>
    <row r="859" spans="1:22">
      <c r="A859">
        <v>1041782916</v>
      </c>
      <c r="B859">
        <v>749762955</v>
      </c>
      <c r="C859" t="s">
        <v>44</v>
      </c>
      <c r="D859" t="s">
        <v>45</v>
      </c>
      <c r="E859">
        <v>60806024</v>
      </c>
      <c r="G859" s="1">
        <v>45780.724768518521</v>
      </c>
      <c r="I859" t="s">
        <v>46</v>
      </c>
      <c r="J859" t="s">
        <v>30</v>
      </c>
      <c r="K859" t="s">
        <v>47</v>
      </c>
      <c r="L859" t="s">
        <v>34</v>
      </c>
      <c r="M859">
        <v>52</v>
      </c>
      <c r="O859">
        <v>0</v>
      </c>
      <c r="P859" t="s">
        <v>31</v>
      </c>
      <c r="Q859">
        <v>7</v>
      </c>
      <c r="R859" t="s">
        <v>53</v>
      </c>
      <c r="S859">
        <f>IF(support_tickets[[#This Row],[status_cleaned]]="closed",1,0)</f>
        <v>0</v>
      </c>
      <c r="T859" t="str">
        <f>TEXT(support_tickets[[#This Row],[opened_at]],"mmm yyyy")</f>
        <v>May 2025</v>
      </c>
      <c r="U859">
        <f>YEAR(support_tickets[[#This Row],[opened_at]])*100+MONTH(support_tickets[[#This Row],[opened_at]])</f>
        <v>202505</v>
      </c>
      <c r="V859" s="29">
        <f>DATE(YEAR(support_tickets[[#This Row],[opened_at]]),MONTH(support_tickets[[#This Row],[opened_at]]),1)</f>
        <v>45778</v>
      </c>
    </row>
    <row r="860" spans="1:22">
      <c r="A860">
        <v>1149977994</v>
      </c>
      <c r="B860">
        <v>250980852</v>
      </c>
      <c r="C860" t="s">
        <v>96</v>
      </c>
      <c r="D860" t="s">
        <v>97</v>
      </c>
      <c r="E860">
        <v>93926371</v>
      </c>
      <c r="G860" s="1">
        <v>45688.8983912037</v>
      </c>
      <c r="I860" t="s">
        <v>46</v>
      </c>
      <c r="J860" t="s">
        <v>59</v>
      </c>
      <c r="K860" t="s">
        <v>47</v>
      </c>
      <c r="L860" t="s">
        <v>34</v>
      </c>
      <c r="M860">
        <v>39</v>
      </c>
      <c r="O860">
        <v>0</v>
      </c>
      <c r="P860" t="s">
        <v>61</v>
      </c>
      <c r="Q860">
        <v>27</v>
      </c>
      <c r="R860" t="s">
        <v>53</v>
      </c>
      <c r="S860">
        <f>IF(support_tickets[[#This Row],[status_cleaned]]="closed",1,0)</f>
        <v>0</v>
      </c>
      <c r="T860" t="str">
        <f>TEXT(support_tickets[[#This Row],[opened_at]],"mmm yyyy")</f>
        <v>Jan 2025</v>
      </c>
      <c r="U860">
        <f>YEAR(support_tickets[[#This Row],[opened_at]])*100+MONTH(support_tickets[[#This Row],[opened_at]])</f>
        <v>202501</v>
      </c>
      <c r="V860" s="29">
        <f>DATE(YEAR(support_tickets[[#This Row],[opened_at]]),MONTH(support_tickets[[#This Row],[opened_at]]),1)</f>
        <v>45658</v>
      </c>
    </row>
    <row r="861" spans="1:22">
      <c r="A861">
        <v>1221696347</v>
      </c>
      <c r="B861">
        <v>853703117</v>
      </c>
      <c r="C861" t="s">
        <v>128</v>
      </c>
      <c r="D861" t="s">
        <v>129</v>
      </c>
      <c r="E861">
        <v>96028436</v>
      </c>
      <c r="G861" s="1">
        <v>45448.093136574076</v>
      </c>
      <c r="H861" s="1">
        <v>45448.819525462961</v>
      </c>
      <c r="I861" t="s">
        <v>43</v>
      </c>
      <c r="J861" t="s">
        <v>38</v>
      </c>
      <c r="K861" t="s">
        <v>47</v>
      </c>
      <c r="L861" t="s">
        <v>34</v>
      </c>
      <c r="M861">
        <v>19</v>
      </c>
      <c r="N861">
        <v>1046</v>
      </c>
      <c r="O861">
        <v>0</v>
      </c>
      <c r="P861" t="s">
        <v>40</v>
      </c>
      <c r="Q861">
        <v>43</v>
      </c>
      <c r="R861" t="s">
        <v>53</v>
      </c>
      <c r="S861">
        <f>IF(support_tickets[[#This Row],[status_cleaned]]="closed",1,0)</f>
        <v>0</v>
      </c>
      <c r="T861" t="str">
        <f>TEXT(support_tickets[[#This Row],[opened_at]],"mmm yyyy")</f>
        <v>Jun 2024</v>
      </c>
      <c r="U861">
        <f>YEAR(support_tickets[[#This Row],[opened_at]])*100+MONTH(support_tickets[[#This Row],[opened_at]])</f>
        <v>202406</v>
      </c>
      <c r="V861" s="29">
        <f>DATE(YEAR(support_tickets[[#This Row],[opened_at]]),MONTH(support_tickets[[#This Row],[opened_at]]),1)</f>
        <v>45444</v>
      </c>
    </row>
    <row r="862" spans="1:22">
      <c r="A862">
        <v>1262880146</v>
      </c>
      <c r="B862">
        <v>991617660</v>
      </c>
      <c r="C862" t="s">
        <v>148</v>
      </c>
      <c r="D862" t="s">
        <v>149</v>
      </c>
      <c r="E862">
        <v>88461803</v>
      </c>
      <c r="G862" s="1">
        <v>45600.571956018517</v>
      </c>
      <c r="H862" s="1">
        <v>45601.380983796298</v>
      </c>
      <c r="I862" t="s">
        <v>37</v>
      </c>
      <c r="J862" t="s">
        <v>59</v>
      </c>
      <c r="K862" t="s">
        <v>47</v>
      </c>
      <c r="L862" t="s">
        <v>34</v>
      </c>
      <c r="M862">
        <v>47</v>
      </c>
      <c r="N862">
        <v>1165</v>
      </c>
      <c r="O862">
        <v>0</v>
      </c>
      <c r="P862" t="s">
        <v>61</v>
      </c>
      <c r="Q862">
        <v>54</v>
      </c>
      <c r="R862" t="s">
        <v>53</v>
      </c>
      <c r="S862">
        <f>IF(support_tickets[[#This Row],[status_cleaned]]="closed",1,0)</f>
        <v>0</v>
      </c>
      <c r="T862" t="str">
        <f>TEXT(support_tickets[[#This Row],[opened_at]],"mmm yyyy")</f>
        <v>Nov 2024</v>
      </c>
      <c r="U862">
        <f>YEAR(support_tickets[[#This Row],[opened_at]])*100+MONTH(support_tickets[[#This Row],[opened_at]])</f>
        <v>202411</v>
      </c>
      <c r="V862" s="29">
        <f>DATE(YEAR(support_tickets[[#This Row],[opened_at]]),MONTH(support_tickets[[#This Row],[opened_at]]),1)</f>
        <v>45597</v>
      </c>
    </row>
    <row r="863" spans="1:22">
      <c r="A863">
        <v>1525913802</v>
      </c>
      <c r="B863">
        <v>741580895</v>
      </c>
      <c r="C863" t="s">
        <v>210</v>
      </c>
      <c r="D863" t="s">
        <v>211</v>
      </c>
      <c r="E863">
        <v>19583482</v>
      </c>
      <c r="G863" s="1">
        <v>45716.258877314816</v>
      </c>
      <c r="I863" t="s">
        <v>43</v>
      </c>
      <c r="J863" t="s">
        <v>30</v>
      </c>
      <c r="K863" t="s">
        <v>47</v>
      </c>
      <c r="L863" t="s">
        <v>34</v>
      </c>
      <c r="M863">
        <v>31</v>
      </c>
      <c r="O863">
        <v>0</v>
      </c>
      <c r="P863" t="s">
        <v>31</v>
      </c>
      <c r="Q863">
        <v>89</v>
      </c>
      <c r="R863" t="s">
        <v>53</v>
      </c>
      <c r="S863">
        <f>IF(support_tickets[[#This Row],[status_cleaned]]="closed",1,0)</f>
        <v>0</v>
      </c>
      <c r="T863" t="str">
        <f>TEXT(support_tickets[[#This Row],[opened_at]],"mmm yyyy")</f>
        <v>Feb 2025</v>
      </c>
      <c r="U863">
        <f>YEAR(support_tickets[[#This Row],[opened_at]])*100+MONTH(support_tickets[[#This Row],[opened_at]])</f>
        <v>202502</v>
      </c>
      <c r="V863" s="29">
        <f>DATE(YEAR(support_tickets[[#This Row],[opened_at]]),MONTH(support_tickets[[#This Row],[opened_at]]),1)</f>
        <v>45689</v>
      </c>
    </row>
    <row r="864" spans="1:22">
      <c r="A864">
        <v>1579620620</v>
      </c>
      <c r="B864">
        <v>778321204</v>
      </c>
      <c r="C864" t="s">
        <v>230</v>
      </c>
      <c r="D864" t="s">
        <v>231</v>
      </c>
      <c r="E864">
        <v>32969840</v>
      </c>
      <c r="G864" s="1">
        <v>45946.840150462966</v>
      </c>
      <c r="I864" t="s">
        <v>43</v>
      </c>
      <c r="J864" t="s">
        <v>19</v>
      </c>
      <c r="K864" t="s">
        <v>47</v>
      </c>
      <c r="L864" t="s">
        <v>34</v>
      </c>
      <c r="M864">
        <v>9</v>
      </c>
      <c r="O864">
        <v>0</v>
      </c>
      <c r="P864" t="s">
        <v>22</v>
      </c>
      <c r="Q864">
        <v>100</v>
      </c>
      <c r="R864" t="s">
        <v>53</v>
      </c>
      <c r="S864">
        <f>IF(support_tickets[[#This Row],[status_cleaned]]="closed",1,0)</f>
        <v>0</v>
      </c>
      <c r="T864" t="str">
        <f>TEXT(support_tickets[[#This Row],[opened_at]],"mmm yyyy")</f>
        <v>Oct 2025</v>
      </c>
      <c r="U864">
        <f>YEAR(support_tickets[[#This Row],[opened_at]])*100+MONTH(support_tickets[[#This Row],[opened_at]])</f>
        <v>202510</v>
      </c>
      <c r="V864" s="29">
        <f>DATE(YEAR(support_tickets[[#This Row],[opened_at]]),MONTH(support_tickets[[#This Row],[opened_at]]),1)</f>
        <v>45931</v>
      </c>
    </row>
    <row r="865" spans="1:22">
      <c r="A865">
        <v>1616152681</v>
      </c>
      <c r="B865">
        <v>128636900</v>
      </c>
      <c r="C865" t="s">
        <v>82</v>
      </c>
      <c r="D865" t="s">
        <v>83</v>
      </c>
      <c r="E865">
        <v>91734598</v>
      </c>
      <c r="G865" s="1">
        <v>45468.827777777777</v>
      </c>
      <c r="I865" t="s">
        <v>18</v>
      </c>
      <c r="J865" t="s">
        <v>38</v>
      </c>
      <c r="K865" t="s">
        <v>47</v>
      </c>
      <c r="L865" t="s">
        <v>34</v>
      </c>
      <c r="M865">
        <v>13</v>
      </c>
      <c r="O865">
        <v>0</v>
      </c>
      <c r="P865" t="s">
        <v>40</v>
      </c>
      <c r="Q865">
        <v>108</v>
      </c>
      <c r="R865" t="s">
        <v>53</v>
      </c>
      <c r="S865">
        <f>IF(support_tickets[[#This Row],[status_cleaned]]="closed",1,0)</f>
        <v>0</v>
      </c>
      <c r="T865" t="str">
        <f>TEXT(support_tickets[[#This Row],[opened_at]],"mmm yyyy")</f>
        <v>Jun 2024</v>
      </c>
      <c r="U865">
        <f>YEAR(support_tickets[[#This Row],[opened_at]])*100+MONTH(support_tickets[[#This Row],[opened_at]])</f>
        <v>202406</v>
      </c>
      <c r="V865" s="29">
        <f>DATE(YEAR(support_tickets[[#This Row],[opened_at]]),MONTH(support_tickets[[#This Row],[opened_at]]),1)</f>
        <v>45444</v>
      </c>
    </row>
    <row r="866" spans="1:22">
      <c r="A866">
        <v>1720578321</v>
      </c>
      <c r="B866">
        <v>689274064</v>
      </c>
      <c r="C866" t="s">
        <v>282</v>
      </c>
      <c r="D866" t="s">
        <v>283</v>
      </c>
      <c r="E866">
        <v>41227216</v>
      </c>
      <c r="G866" s="1">
        <v>46007.336770833332</v>
      </c>
      <c r="I866" t="s">
        <v>18</v>
      </c>
      <c r="J866" t="s">
        <v>59</v>
      </c>
      <c r="K866" t="s">
        <v>47</v>
      </c>
      <c r="L866" t="s">
        <v>34</v>
      </c>
      <c r="M866">
        <v>72</v>
      </c>
      <c r="O866">
        <v>0</v>
      </c>
      <c r="P866" t="s">
        <v>61</v>
      </c>
      <c r="Q866">
        <v>129</v>
      </c>
      <c r="R866" t="s">
        <v>53</v>
      </c>
      <c r="S866">
        <f>IF(support_tickets[[#This Row],[status_cleaned]]="closed",1,0)</f>
        <v>0</v>
      </c>
      <c r="T866" t="str">
        <f>TEXT(support_tickets[[#This Row],[opened_at]],"mmm yyyy")</f>
        <v>Dec 2025</v>
      </c>
      <c r="U866">
        <f>YEAR(support_tickets[[#This Row],[opened_at]])*100+MONTH(support_tickets[[#This Row],[opened_at]])</f>
        <v>202512</v>
      </c>
      <c r="V866" s="29">
        <f>DATE(YEAR(support_tickets[[#This Row],[opened_at]]),MONTH(support_tickets[[#This Row],[opened_at]]),1)</f>
        <v>45992</v>
      </c>
    </row>
    <row r="867" spans="1:22">
      <c r="A867">
        <v>1734307097</v>
      </c>
      <c r="B867">
        <v>154337019</v>
      </c>
      <c r="C867" t="s">
        <v>290</v>
      </c>
      <c r="D867" t="s">
        <v>291</v>
      </c>
      <c r="E867">
        <v>77187530</v>
      </c>
      <c r="F867">
        <v>4153232553</v>
      </c>
      <c r="G867" s="1">
        <v>45822.67728009259</v>
      </c>
      <c r="I867" t="s">
        <v>46</v>
      </c>
      <c r="J867" t="s">
        <v>86</v>
      </c>
      <c r="K867" t="s">
        <v>47</v>
      </c>
      <c r="L867" t="s">
        <v>34</v>
      </c>
      <c r="M867">
        <v>23</v>
      </c>
      <c r="O867">
        <v>0</v>
      </c>
      <c r="P867" t="s">
        <v>87</v>
      </c>
      <c r="Q867">
        <v>134</v>
      </c>
      <c r="R867" t="s">
        <v>53</v>
      </c>
      <c r="S867">
        <f>IF(support_tickets[[#This Row],[status_cleaned]]="closed",1,0)</f>
        <v>0</v>
      </c>
      <c r="T867" t="str">
        <f>TEXT(support_tickets[[#This Row],[opened_at]],"mmm yyyy")</f>
        <v>Jun 2025</v>
      </c>
      <c r="U867">
        <f>YEAR(support_tickets[[#This Row],[opened_at]])*100+MONTH(support_tickets[[#This Row],[opened_at]])</f>
        <v>202506</v>
      </c>
      <c r="V867" s="29">
        <f>DATE(YEAR(support_tickets[[#This Row],[opened_at]]),MONTH(support_tickets[[#This Row],[opened_at]]),1)</f>
        <v>45809</v>
      </c>
    </row>
    <row r="868" spans="1:22">
      <c r="A868">
        <v>1769534424</v>
      </c>
      <c r="B868">
        <v>366578178</v>
      </c>
      <c r="C868" t="s">
        <v>310</v>
      </c>
      <c r="D868" t="s">
        <v>311</v>
      </c>
      <c r="E868">
        <v>38538251</v>
      </c>
      <c r="G868" s="1">
        <v>45356.566099537034</v>
      </c>
      <c r="I868" t="s">
        <v>46</v>
      </c>
      <c r="J868" t="s">
        <v>38</v>
      </c>
      <c r="K868" t="s">
        <v>47</v>
      </c>
      <c r="L868" t="s">
        <v>34</v>
      </c>
      <c r="M868">
        <v>87</v>
      </c>
      <c r="O868">
        <v>0</v>
      </c>
      <c r="P868" t="s">
        <v>40</v>
      </c>
      <c r="Q868">
        <v>146</v>
      </c>
      <c r="R868" t="s">
        <v>53</v>
      </c>
      <c r="S868">
        <f>IF(support_tickets[[#This Row],[status_cleaned]]="closed",1,0)</f>
        <v>0</v>
      </c>
      <c r="T868" t="str">
        <f>TEXT(support_tickets[[#This Row],[opened_at]],"mmm yyyy")</f>
        <v>Mar 2024</v>
      </c>
      <c r="U868">
        <f>YEAR(support_tickets[[#This Row],[opened_at]])*100+MONTH(support_tickets[[#This Row],[opened_at]])</f>
        <v>202403</v>
      </c>
      <c r="V868" s="29">
        <f>DATE(YEAR(support_tickets[[#This Row],[opened_at]]),MONTH(support_tickets[[#This Row],[opened_at]]),1)</f>
        <v>45352</v>
      </c>
    </row>
    <row r="869" spans="1:22">
      <c r="A869">
        <v>1942571752</v>
      </c>
      <c r="B869">
        <v>161587757</v>
      </c>
      <c r="C869" t="s">
        <v>378</v>
      </c>
      <c r="D869" t="s">
        <v>379</v>
      </c>
      <c r="E869">
        <v>91734598</v>
      </c>
      <c r="G869" s="1">
        <v>45967.738587962966</v>
      </c>
      <c r="I869" t="s">
        <v>43</v>
      </c>
      <c r="J869" t="s">
        <v>30</v>
      </c>
      <c r="K869" t="s">
        <v>47</v>
      </c>
      <c r="L869" t="s">
        <v>34</v>
      </c>
      <c r="M869">
        <v>36</v>
      </c>
      <c r="O869">
        <v>0</v>
      </c>
      <c r="P869" t="s">
        <v>31</v>
      </c>
      <c r="Q869">
        <v>189</v>
      </c>
      <c r="R869" t="s">
        <v>53</v>
      </c>
      <c r="S869">
        <f>IF(support_tickets[[#This Row],[status_cleaned]]="closed",1,0)</f>
        <v>0</v>
      </c>
      <c r="T869" t="str">
        <f>TEXT(support_tickets[[#This Row],[opened_at]],"mmm yyyy")</f>
        <v>Nov 2025</v>
      </c>
      <c r="U869">
        <f>YEAR(support_tickets[[#This Row],[opened_at]])*100+MONTH(support_tickets[[#This Row],[opened_at]])</f>
        <v>202511</v>
      </c>
      <c r="V869" s="29">
        <f>DATE(YEAR(support_tickets[[#This Row],[opened_at]]),MONTH(support_tickets[[#This Row],[opened_at]]),1)</f>
        <v>45962</v>
      </c>
    </row>
    <row r="870" spans="1:22">
      <c r="A870">
        <v>2093889745</v>
      </c>
      <c r="B870">
        <v>146914391</v>
      </c>
      <c r="C870" t="s">
        <v>410</v>
      </c>
      <c r="D870" t="s">
        <v>411</v>
      </c>
      <c r="E870">
        <v>55657579</v>
      </c>
      <c r="F870">
        <v>1775790050</v>
      </c>
      <c r="G870" s="1">
        <v>45599.453136574077</v>
      </c>
      <c r="I870" t="s">
        <v>52</v>
      </c>
      <c r="J870" t="s">
        <v>25</v>
      </c>
      <c r="K870" t="s">
        <v>47</v>
      </c>
      <c r="L870" t="s">
        <v>34</v>
      </c>
      <c r="M870">
        <v>55</v>
      </c>
      <c r="O870">
        <v>0</v>
      </c>
      <c r="P870" t="s">
        <v>27</v>
      </c>
      <c r="Q870">
        <v>207</v>
      </c>
      <c r="R870" t="s">
        <v>53</v>
      </c>
      <c r="S870">
        <f>IF(support_tickets[[#This Row],[status_cleaned]]="closed",1,0)</f>
        <v>0</v>
      </c>
      <c r="T870" t="str">
        <f>TEXT(support_tickets[[#This Row],[opened_at]],"mmm yyyy")</f>
        <v>Nov 2024</v>
      </c>
      <c r="U870">
        <f>YEAR(support_tickets[[#This Row],[opened_at]])*100+MONTH(support_tickets[[#This Row],[opened_at]])</f>
        <v>202411</v>
      </c>
      <c r="V870" s="29">
        <f>DATE(YEAR(support_tickets[[#This Row],[opened_at]]),MONTH(support_tickets[[#This Row],[opened_at]]),1)</f>
        <v>45597</v>
      </c>
    </row>
    <row r="871" spans="1:22">
      <c r="A871">
        <v>2400804845</v>
      </c>
      <c r="B871">
        <v>107333788</v>
      </c>
      <c r="C871" t="s">
        <v>480</v>
      </c>
      <c r="D871" t="s">
        <v>481</v>
      </c>
      <c r="E871">
        <v>63551839</v>
      </c>
      <c r="G871" s="1">
        <v>45471.614490740743</v>
      </c>
      <c r="I871" t="s">
        <v>3</v>
      </c>
      <c r="J871" t="s">
        <v>59</v>
      </c>
      <c r="K871" t="s">
        <v>47</v>
      </c>
      <c r="L871" t="s">
        <v>34</v>
      </c>
      <c r="M871">
        <v>1</v>
      </c>
      <c r="O871">
        <v>0</v>
      </c>
      <c r="P871" t="s">
        <v>61</v>
      </c>
      <c r="Q871">
        <v>255</v>
      </c>
      <c r="R871" t="s">
        <v>53</v>
      </c>
      <c r="S871">
        <f>IF(support_tickets[[#This Row],[status_cleaned]]="closed",1,0)</f>
        <v>0</v>
      </c>
      <c r="T871" t="str">
        <f>TEXT(support_tickets[[#This Row],[opened_at]],"mmm yyyy")</f>
        <v>Jun 2024</v>
      </c>
      <c r="U871">
        <f>YEAR(support_tickets[[#This Row],[opened_at]])*100+MONTH(support_tickets[[#This Row],[opened_at]])</f>
        <v>202406</v>
      </c>
      <c r="V871" s="29">
        <f>DATE(YEAR(support_tickets[[#This Row],[opened_at]]),MONTH(support_tickets[[#This Row],[opened_at]]),1)</f>
        <v>45444</v>
      </c>
    </row>
    <row r="872" spans="1:22">
      <c r="A872">
        <v>2597508443</v>
      </c>
      <c r="B872">
        <v>634211672</v>
      </c>
      <c r="C872" t="s">
        <v>69</v>
      </c>
      <c r="D872" t="s">
        <v>70</v>
      </c>
      <c r="E872">
        <v>49349722</v>
      </c>
      <c r="G872" s="1">
        <v>45915.532152777778</v>
      </c>
      <c r="H872" s="1">
        <v>45916.267569444448</v>
      </c>
      <c r="I872" t="s">
        <v>56</v>
      </c>
      <c r="J872" t="s">
        <v>30</v>
      </c>
      <c r="K872" t="s">
        <v>47</v>
      </c>
      <c r="L872" t="s">
        <v>34</v>
      </c>
      <c r="M872">
        <v>30</v>
      </c>
      <c r="N872">
        <v>1059</v>
      </c>
      <c r="O872">
        <v>0</v>
      </c>
      <c r="P872" t="s">
        <v>31</v>
      </c>
      <c r="Q872">
        <v>286</v>
      </c>
      <c r="R872" t="s">
        <v>53</v>
      </c>
      <c r="S872">
        <f>IF(support_tickets[[#This Row],[status_cleaned]]="closed",1,0)</f>
        <v>0</v>
      </c>
      <c r="T872" t="str">
        <f>TEXT(support_tickets[[#This Row],[opened_at]],"mmm yyyy")</f>
        <v>Sep 2025</v>
      </c>
      <c r="U872">
        <f>YEAR(support_tickets[[#This Row],[opened_at]])*100+MONTH(support_tickets[[#This Row],[opened_at]])</f>
        <v>202509</v>
      </c>
      <c r="V872" s="29">
        <f>DATE(YEAR(support_tickets[[#This Row],[opened_at]]),MONTH(support_tickets[[#This Row],[opened_at]]),1)</f>
        <v>45901</v>
      </c>
    </row>
    <row r="873" spans="1:22">
      <c r="A873">
        <v>2653779563</v>
      </c>
      <c r="B873">
        <v>245737277</v>
      </c>
      <c r="C873" t="s">
        <v>534</v>
      </c>
      <c r="D873" t="s">
        <v>535</v>
      </c>
      <c r="E873">
        <v>81182864</v>
      </c>
      <c r="G873" s="1">
        <v>45527.938634259262</v>
      </c>
      <c r="H873" s="1">
        <v>45528.68377314815</v>
      </c>
      <c r="I873" t="s">
        <v>46</v>
      </c>
      <c r="J873" t="s">
        <v>19</v>
      </c>
      <c r="K873" t="s">
        <v>47</v>
      </c>
      <c r="L873" t="s">
        <v>34</v>
      </c>
      <c r="M873">
        <v>19</v>
      </c>
      <c r="N873">
        <v>1073</v>
      </c>
      <c r="O873">
        <v>0</v>
      </c>
      <c r="P873" t="s">
        <v>22</v>
      </c>
      <c r="Q873">
        <v>293</v>
      </c>
      <c r="R873" t="s">
        <v>53</v>
      </c>
      <c r="S873">
        <f>IF(support_tickets[[#This Row],[status_cleaned]]="closed",1,0)</f>
        <v>0</v>
      </c>
      <c r="T873" t="str">
        <f>TEXT(support_tickets[[#This Row],[opened_at]],"mmm yyyy")</f>
        <v>Aug 2024</v>
      </c>
      <c r="U873">
        <f>YEAR(support_tickets[[#This Row],[opened_at]])*100+MONTH(support_tickets[[#This Row],[opened_at]])</f>
        <v>202408</v>
      </c>
      <c r="V873" s="29">
        <f>DATE(YEAR(support_tickets[[#This Row],[opened_at]]),MONTH(support_tickets[[#This Row],[opened_at]]),1)</f>
        <v>45505</v>
      </c>
    </row>
    <row r="874" spans="1:22">
      <c r="A874">
        <v>2843563009</v>
      </c>
      <c r="B874">
        <v>425155441</v>
      </c>
      <c r="C874" t="s">
        <v>584</v>
      </c>
      <c r="D874" t="s">
        <v>585</v>
      </c>
      <c r="E874">
        <v>35808537</v>
      </c>
      <c r="G874" s="1">
        <v>45626.55431712963</v>
      </c>
      <c r="I874" t="s">
        <v>3</v>
      </c>
      <c r="J874" t="s">
        <v>86</v>
      </c>
      <c r="K874" t="s">
        <v>47</v>
      </c>
      <c r="L874" t="s">
        <v>34</v>
      </c>
      <c r="M874">
        <v>46</v>
      </c>
      <c r="O874">
        <v>0</v>
      </c>
      <c r="P874" t="s">
        <v>87</v>
      </c>
      <c r="Q874">
        <v>331</v>
      </c>
      <c r="R874" t="s">
        <v>53</v>
      </c>
      <c r="S874">
        <f>IF(support_tickets[[#This Row],[status_cleaned]]="closed",1,0)</f>
        <v>0</v>
      </c>
      <c r="T874" t="str">
        <f>TEXT(support_tickets[[#This Row],[opened_at]],"mmm yyyy")</f>
        <v>Nov 2024</v>
      </c>
      <c r="U874">
        <f>YEAR(support_tickets[[#This Row],[opened_at]])*100+MONTH(support_tickets[[#This Row],[opened_at]])</f>
        <v>202411</v>
      </c>
      <c r="V874" s="29">
        <f>DATE(YEAR(support_tickets[[#This Row],[opened_at]]),MONTH(support_tickets[[#This Row],[opened_at]]),1)</f>
        <v>45597</v>
      </c>
    </row>
    <row r="875" spans="1:22">
      <c r="A875">
        <v>2904319901</v>
      </c>
      <c r="B875">
        <v>603703167</v>
      </c>
      <c r="C875" t="s">
        <v>600</v>
      </c>
      <c r="D875" t="s">
        <v>601</v>
      </c>
      <c r="E875">
        <v>31931511</v>
      </c>
      <c r="G875" s="1">
        <v>45864.474456018521</v>
      </c>
      <c r="I875" t="s">
        <v>43</v>
      </c>
      <c r="J875" t="s">
        <v>38</v>
      </c>
      <c r="K875" t="s">
        <v>47</v>
      </c>
      <c r="L875" t="s">
        <v>34</v>
      </c>
      <c r="M875">
        <v>67</v>
      </c>
      <c r="O875">
        <v>0</v>
      </c>
      <c r="P875" t="s">
        <v>40</v>
      </c>
      <c r="Q875">
        <v>341</v>
      </c>
      <c r="R875" t="s">
        <v>53</v>
      </c>
      <c r="S875">
        <f>IF(support_tickets[[#This Row],[status_cleaned]]="closed",1,0)</f>
        <v>0</v>
      </c>
      <c r="T875" t="str">
        <f>TEXT(support_tickets[[#This Row],[opened_at]],"mmm yyyy")</f>
        <v>Jul 2025</v>
      </c>
      <c r="U875">
        <f>YEAR(support_tickets[[#This Row],[opened_at]])*100+MONTH(support_tickets[[#This Row],[opened_at]])</f>
        <v>202507</v>
      </c>
      <c r="V875" s="29">
        <f>DATE(YEAR(support_tickets[[#This Row],[opened_at]]),MONTH(support_tickets[[#This Row],[opened_at]]),1)</f>
        <v>45839</v>
      </c>
    </row>
    <row r="876" spans="1:22">
      <c r="A876">
        <v>3007269420</v>
      </c>
      <c r="B876">
        <v>590822013</v>
      </c>
      <c r="C876" t="s">
        <v>634</v>
      </c>
      <c r="D876" t="s">
        <v>635</v>
      </c>
      <c r="E876">
        <v>12614124</v>
      </c>
      <c r="G876" s="1">
        <v>45495.022083333337</v>
      </c>
      <c r="I876" t="s">
        <v>46</v>
      </c>
      <c r="J876" t="s">
        <v>86</v>
      </c>
      <c r="K876" t="s">
        <v>47</v>
      </c>
      <c r="L876" t="s">
        <v>34</v>
      </c>
      <c r="M876">
        <v>63</v>
      </c>
      <c r="O876">
        <v>0</v>
      </c>
      <c r="P876" t="s">
        <v>87</v>
      </c>
      <c r="Q876">
        <v>364</v>
      </c>
      <c r="R876" t="s">
        <v>53</v>
      </c>
      <c r="S876">
        <f>IF(support_tickets[[#This Row],[status_cleaned]]="closed",1,0)</f>
        <v>0</v>
      </c>
      <c r="T876" t="str">
        <f>TEXT(support_tickets[[#This Row],[opened_at]],"mmm yyyy")</f>
        <v>Jul 2024</v>
      </c>
      <c r="U876">
        <f>YEAR(support_tickets[[#This Row],[opened_at]])*100+MONTH(support_tickets[[#This Row],[opened_at]])</f>
        <v>202407</v>
      </c>
      <c r="V876" s="29">
        <f>DATE(YEAR(support_tickets[[#This Row],[opened_at]]),MONTH(support_tickets[[#This Row],[opened_at]]),1)</f>
        <v>45474</v>
      </c>
    </row>
    <row r="877" spans="1:22">
      <c r="A877">
        <v>3085068274</v>
      </c>
      <c r="B877">
        <v>755064741</v>
      </c>
      <c r="C877" t="s">
        <v>654</v>
      </c>
      <c r="D877" t="s">
        <v>655</v>
      </c>
      <c r="E877">
        <v>19583482</v>
      </c>
      <c r="G877" s="1">
        <v>45832.716226851851</v>
      </c>
      <c r="I877" t="s">
        <v>43</v>
      </c>
      <c r="J877" t="s">
        <v>25</v>
      </c>
      <c r="K877" t="s">
        <v>47</v>
      </c>
      <c r="L877" t="s">
        <v>34</v>
      </c>
      <c r="M877">
        <v>41</v>
      </c>
      <c r="O877">
        <v>0</v>
      </c>
      <c r="P877" t="s">
        <v>27</v>
      </c>
      <c r="Q877">
        <v>379</v>
      </c>
      <c r="R877" t="s">
        <v>53</v>
      </c>
      <c r="S877">
        <f>IF(support_tickets[[#This Row],[status_cleaned]]="closed",1,0)</f>
        <v>0</v>
      </c>
      <c r="T877" t="str">
        <f>TEXT(support_tickets[[#This Row],[opened_at]],"mmm yyyy")</f>
        <v>Jun 2025</v>
      </c>
      <c r="U877">
        <f>YEAR(support_tickets[[#This Row],[opened_at]])*100+MONTH(support_tickets[[#This Row],[opened_at]])</f>
        <v>202506</v>
      </c>
      <c r="V877" s="29">
        <f>DATE(YEAR(support_tickets[[#This Row],[opened_at]]),MONTH(support_tickets[[#This Row],[opened_at]]),1)</f>
        <v>45809</v>
      </c>
    </row>
    <row r="878" spans="1:22">
      <c r="A878">
        <v>3318581854</v>
      </c>
      <c r="B878">
        <v>240712839</v>
      </c>
      <c r="C878" t="s">
        <v>706</v>
      </c>
      <c r="D878" t="s">
        <v>707</v>
      </c>
      <c r="E878">
        <v>31931511</v>
      </c>
      <c r="F878">
        <v>2178508211</v>
      </c>
      <c r="G878" s="1">
        <v>46028.409062500003</v>
      </c>
      <c r="I878" t="s">
        <v>3</v>
      </c>
      <c r="J878" t="s">
        <v>86</v>
      </c>
      <c r="K878" t="s">
        <v>47</v>
      </c>
      <c r="L878" t="s">
        <v>34</v>
      </c>
      <c r="M878">
        <v>14</v>
      </c>
      <c r="O878">
        <v>0</v>
      </c>
      <c r="P878" t="s">
        <v>87</v>
      </c>
      <c r="Q878">
        <v>418</v>
      </c>
      <c r="R878" t="s">
        <v>53</v>
      </c>
      <c r="S878">
        <f>IF(support_tickets[[#This Row],[status_cleaned]]="closed",1,0)</f>
        <v>0</v>
      </c>
      <c r="T878" t="str">
        <f>TEXT(support_tickets[[#This Row],[opened_at]],"mmm yyyy")</f>
        <v>Jan 2026</v>
      </c>
      <c r="U878">
        <f>YEAR(support_tickets[[#This Row],[opened_at]])*100+MONTH(support_tickets[[#This Row],[opened_at]])</f>
        <v>202601</v>
      </c>
      <c r="V878" s="29">
        <f>DATE(YEAR(support_tickets[[#This Row],[opened_at]]),MONTH(support_tickets[[#This Row],[opened_at]]),1)</f>
        <v>46023</v>
      </c>
    </row>
    <row r="879" spans="1:22">
      <c r="A879">
        <v>3321206093</v>
      </c>
      <c r="B879">
        <v>674615376</v>
      </c>
      <c r="C879" t="s">
        <v>340</v>
      </c>
      <c r="D879" t="s">
        <v>341</v>
      </c>
      <c r="E879">
        <v>30868105</v>
      </c>
      <c r="F879">
        <v>2349891418</v>
      </c>
      <c r="G879" s="1">
        <v>46101.119039351855</v>
      </c>
      <c r="I879" t="s">
        <v>18</v>
      </c>
      <c r="J879" t="s">
        <v>25</v>
      </c>
      <c r="K879" t="s">
        <v>47</v>
      </c>
      <c r="L879" t="s">
        <v>34</v>
      </c>
      <c r="M879">
        <v>15</v>
      </c>
      <c r="O879">
        <v>0</v>
      </c>
      <c r="P879" t="s">
        <v>27</v>
      </c>
      <c r="Q879">
        <v>419</v>
      </c>
      <c r="R879" t="s">
        <v>53</v>
      </c>
      <c r="S879">
        <f>IF(support_tickets[[#This Row],[status_cleaned]]="closed",1,0)</f>
        <v>0</v>
      </c>
      <c r="T879" t="str">
        <f>TEXT(support_tickets[[#This Row],[opened_at]],"mmm yyyy")</f>
        <v>Mar 2026</v>
      </c>
      <c r="U879">
        <f>YEAR(support_tickets[[#This Row],[opened_at]])*100+MONTH(support_tickets[[#This Row],[opened_at]])</f>
        <v>202603</v>
      </c>
      <c r="V879" s="29">
        <f>DATE(YEAR(support_tickets[[#This Row],[opened_at]]),MONTH(support_tickets[[#This Row],[opened_at]]),1)</f>
        <v>46082</v>
      </c>
    </row>
    <row r="880" spans="1:22">
      <c r="A880">
        <v>3357731126</v>
      </c>
      <c r="B880">
        <v>691461470</v>
      </c>
      <c r="C880" t="s">
        <v>67</v>
      </c>
      <c r="D880" t="s">
        <v>68</v>
      </c>
      <c r="E880">
        <v>99949389</v>
      </c>
      <c r="G880" s="1">
        <v>45970.198020833333</v>
      </c>
      <c r="I880" t="s">
        <v>18</v>
      </c>
      <c r="J880" t="s">
        <v>86</v>
      </c>
      <c r="K880" t="s">
        <v>47</v>
      </c>
      <c r="L880" t="s">
        <v>34</v>
      </c>
      <c r="M880">
        <v>25</v>
      </c>
      <c r="O880">
        <v>0</v>
      </c>
      <c r="P880" t="s">
        <v>87</v>
      </c>
      <c r="Q880">
        <v>426</v>
      </c>
      <c r="R880" t="s">
        <v>53</v>
      </c>
      <c r="S880">
        <f>IF(support_tickets[[#This Row],[status_cleaned]]="closed",1,0)</f>
        <v>0</v>
      </c>
      <c r="T880" t="str">
        <f>TEXT(support_tickets[[#This Row],[opened_at]],"mmm yyyy")</f>
        <v>Nov 2025</v>
      </c>
      <c r="U880">
        <f>YEAR(support_tickets[[#This Row],[opened_at]])*100+MONTH(support_tickets[[#This Row],[opened_at]])</f>
        <v>202511</v>
      </c>
      <c r="V880" s="29">
        <f>DATE(YEAR(support_tickets[[#This Row],[opened_at]]),MONTH(support_tickets[[#This Row],[opened_at]]),1)</f>
        <v>45962</v>
      </c>
    </row>
    <row r="881" spans="1:22">
      <c r="A881">
        <v>3480083546</v>
      </c>
      <c r="B881">
        <v>715766024</v>
      </c>
      <c r="C881" t="s">
        <v>748</v>
      </c>
      <c r="D881" t="s">
        <v>749</v>
      </c>
      <c r="E881">
        <v>31931511</v>
      </c>
      <c r="G881" s="1">
        <v>45768.08630787037</v>
      </c>
      <c r="H881" s="1">
        <v>45768.780057870368</v>
      </c>
      <c r="I881" t="s">
        <v>18</v>
      </c>
      <c r="J881" t="s">
        <v>86</v>
      </c>
      <c r="K881" t="s">
        <v>47</v>
      </c>
      <c r="L881" t="s">
        <v>34</v>
      </c>
      <c r="M881">
        <v>59</v>
      </c>
      <c r="N881">
        <v>999</v>
      </c>
      <c r="O881">
        <v>0</v>
      </c>
      <c r="P881" t="s">
        <v>87</v>
      </c>
      <c r="Q881">
        <v>445</v>
      </c>
      <c r="R881" t="s">
        <v>53</v>
      </c>
      <c r="S881">
        <f>IF(support_tickets[[#This Row],[status_cleaned]]="closed",1,0)</f>
        <v>0</v>
      </c>
      <c r="T881" t="str">
        <f>TEXT(support_tickets[[#This Row],[opened_at]],"mmm yyyy")</f>
        <v>Apr 2025</v>
      </c>
      <c r="U881">
        <f>YEAR(support_tickets[[#This Row],[opened_at]])*100+MONTH(support_tickets[[#This Row],[opened_at]])</f>
        <v>202504</v>
      </c>
      <c r="V881" s="29">
        <f>DATE(YEAR(support_tickets[[#This Row],[opened_at]]),MONTH(support_tickets[[#This Row],[opened_at]]),1)</f>
        <v>45748</v>
      </c>
    </row>
    <row r="882" spans="1:22">
      <c r="A882">
        <v>3671638169</v>
      </c>
      <c r="B882">
        <v>157184151</v>
      </c>
      <c r="C882" t="s">
        <v>466</v>
      </c>
      <c r="D882" t="s">
        <v>467</v>
      </c>
      <c r="E882">
        <v>47295260</v>
      </c>
      <c r="F882">
        <v>3051815663</v>
      </c>
      <c r="G882" s="1">
        <v>45926.054490740738</v>
      </c>
      <c r="I882" t="s">
        <v>56</v>
      </c>
      <c r="J882" t="s">
        <v>30</v>
      </c>
      <c r="K882" t="s">
        <v>47</v>
      </c>
      <c r="L882" t="s">
        <v>34</v>
      </c>
      <c r="M882">
        <v>39</v>
      </c>
      <c r="O882">
        <v>0</v>
      </c>
      <c r="P882" t="s">
        <v>31</v>
      </c>
      <c r="Q882">
        <v>479</v>
      </c>
      <c r="R882" t="s">
        <v>53</v>
      </c>
      <c r="S882">
        <f>IF(support_tickets[[#This Row],[status_cleaned]]="closed",1,0)</f>
        <v>0</v>
      </c>
      <c r="T882" t="str">
        <f>TEXT(support_tickets[[#This Row],[opened_at]],"mmm yyyy")</f>
        <v>Sep 2025</v>
      </c>
      <c r="U882">
        <f>YEAR(support_tickets[[#This Row],[opened_at]])*100+MONTH(support_tickets[[#This Row],[opened_at]])</f>
        <v>202509</v>
      </c>
      <c r="V882" s="29">
        <f>DATE(YEAR(support_tickets[[#This Row],[opened_at]]),MONTH(support_tickets[[#This Row],[opened_at]]),1)</f>
        <v>45901</v>
      </c>
    </row>
    <row r="883" spans="1:22">
      <c r="A883">
        <v>3713596008</v>
      </c>
      <c r="B883">
        <v>408840720</v>
      </c>
      <c r="C883" t="s">
        <v>250</v>
      </c>
      <c r="D883" t="s">
        <v>251</v>
      </c>
      <c r="E883">
        <v>63551839</v>
      </c>
      <c r="G883" s="1">
        <v>45966.998368055552</v>
      </c>
      <c r="I883" t="s">
        <v>37</v>
      </c>
      <c r="J883" t="s">
        <v>30</v>
      </c>
      <c r="K883" t="s">
        <v>47</v>
      </c>
      <c r="L883" t="s">
        <v>34</v>
      </c>
      <c r="M883">
        <v>52</v>
      </c>
      <c r="O883">
        <v>0</v>
      </c>
      <c r="P883" t="s">
        <v>31</v>
      </c>
      <c r="Q883">
        <v>485</v>
      </c>
      <c r="R883" t="s">
        <v>53</v>
      </c>
      <c r="S883">
        <f>IF(support_tickets[[#This Row],[status_cleaned]]="closed",1,0)</f>
        <v>0</v>
      </c>
      <c r="T883" t="str">
        <f>TEXT(support_tickets[[#This Row],[opened_at]],"mmm yyyy")</f>
        <v>Nov 2025</v>
      </c>
      <c r="U883">
        <f>YEAR(support_tickets[[#This Row],[opened_at]])*100+MONTH(support_tickets[[#This Row],[opened_at]])</f>
        <v>202511</v>
      </c>
      <c r="V883" s="29">
        <f>DATE(YEAR(support_tickets[[#This Row],[opened_at]]),MONTH(support_tickets[[#This Row],[opened_at]]),1)</f>
        <v>45962</v>
      </c>
    </row>
    <row r="884" spans="1:22">
      <c r="A884">
        <v>3749176389</v>
      </c>
      <c r="B884">
        <v>856975382</v>
      </c>
      <c r="C884" t="s">
        <v>803</v>
      </c>
      <c r="D884" t="s">
        <v>804</v>
      </c>
      <c r="E884">
        <v>22575562</v>
      </c>
      <c r="F884">
        <v>6499884316</v>
      </c>
      <c r="G884" s="1">
        <v>45509.708287037036</v>
      </c>
      <c r="I884" t="s">
        <v>56</v>
      </c>
      <c r="J884" t="s">
        <v>25</v>
      </c>
      <c r="K884" t="s">
        <v>47</v>
      </c>
      <c r="L884" t="s">
        <v>34</v>
      </c>
      <c r="M884">
        <v>36</v>
      </c>
      <c r="O884">
        <v>0</v>
      </c>
      <c r="P884" t="s">
        <v>27</v>
      </c>
      <c r="Q884">
        <v>491</v>
      </c>
      <c r="R884" t="s">
        <v>53</v>
      </c>
      <c r="S884">
        <f>IF(support_tickets[[#This Row],[status_cleaned]]="closed",1,0)</f>
        <v>0</v>
      </c>
      <c r="T884" t="str">
        <f>TEXT(support_tickets[[#This Row],[opened_at]],"mmm yyyy")</f>
        <v>Aug 2024</v>
      </c>
      <c r="U884">
        <f>YEAR(support_tickets[[#This Row],[opened_at]])*100+MONTH(support_tickets[[#This Row],[opened_at]])</f>
        <v>202408</v>
      </c>
      <c r="V884" s="29">
        <f>DATE(YEAR(support_tickets[[#This Row],[opened_at]]),MONTH(support_tickets[[#This Row],[opened_at]]),1)</f>
        <v>45505</v>
      </c>
    </row>
    <row r="885" spans="1:22">
      <c r="A885">
        <v>3770465710</v>
      </c>
      <c r="B885">
        <v>130465806</v>
      </c>
      <c r="C885" t="s">
        <v>809</v>
      </c>
      <c r="D885" t="s">
        <v>810</v>
      </c>
      <c r="E885">
        <v>70897765</v>
      </c>
      <c r="G885" s="1">
        <v>45633.640462962961</v>
      </c>
      <c r="I885" t="s">
        <v>18</v>
      </c>
      <c r="J885" t="s">
        <v>25</v>
      </c>
      <c r="K885" t="s">
        <v>47</v>
      </c>
      <c r="L885" t="s">
        <v>34</v>
      </c>
      <c r="M885">
        <v>92</v>
      </c>
      <c r="O885">
        <v>0</v>
      </c>
      <c r="P885" t="s">
        <v>27</v>
      </c>
      <c r="Q885">
        <v>495</v>
      </c>
      <c r="R885" t="s">
        <v>53</v>
      </c>
      <c r="S885">
        <f>IF(support_tickets[[#This Row],[status_cleaned]]="closed",1,0)</f>
        <v>0</v>
      </c>
      <c r="T885" t="str">
        <f>TEXT(support_tickets[[#This Row],[opened_at]],"mmm yyyy")</f>
        <v>Dec 2024</v>
      </c>
      <c r="U885">
        <f>YEAR(support_tickets[[#This Row],[opened_at]])*100+MONTH(support_tickets[[#This Row],[opened_at]])</f>
        <v>202412</v>
      </c>
      <c r="V885" s="29">
        <f>DATE(YEAR(support_tickets[[#This Row],[opened_at]]),MONTH(support_tickets[[#This Row],[opened_at]]),1)</f>
        <v>45627</v>
      </c>
    </row>
    <row r="886" spans="1:22">
      <c r="A886">
        <v>4028598526</v>
      </c>
      <c r="B886">
        <v>273910700</v>
      </c>
      <c r="C886" t="s">
        <v>856</v>
      </c>
      <c r="D886" t="s">
        <v>857</v>
      </c>
      <c r="E886">
        <v>19289546</v>
      </c>
      <c r="G886" s="1">
        <v>45503.959722222222</v>
      </c>
      <c r="H886" s="1">
        <v>45504.640277777777</v>
      </c>
      <c r="I886" t="s">
        <v>52</v>
      </c>
      <c r="J886" t="s">
        <v>19</v>
      </c>
      <c r="K886" t="s">
        <v>47</v>
      </c>
      <c r="L886" t="s">
        <v>34</v>
      </c>
      <c r="M886">
        <v>17</v>
      </c>
      <c r="N886">
        <v>980</v>
      </c>
      <c r="O886">
        <v>0</v>
      </c>
      <c r="P886" t="s">
        <v>22</v>
      </c>
      <c r="Q886">
        <v>528</v>
      </c>
      <c r="R886" t="s">
        <v>53</v>
      </c>
      <c r="S886">
        <f>IF(support_tickets[[#This Row],[status_cleaned]]="closed",1,0)</f>
        <v>0</v>
      </c>
      <c r="T886" t="str">
        <f>TEXT(support_tickets[[#This Row],[opened_at]],"mmm yyyy")</f>
        <v>Jul 2024</v>
      </c>
      <c r="U886">
        <f>YEAR(support_tickets[[#This Row],[opened_at]])*100+MONTH(support_tickets[[#This Row],[opened_at]])</f>
        <v>202407</v>
      </c>
      <c r="V886" s="29">
        <f>DATE(YEAR(support_tickets[[#This Row],[opened_at]]),MONTH(support_tickets[[#This Row],[opened_at]]),1)</f>
        <v>45474</v>
      </c>
    </row>
    <row r="887" spans="1:22">
      <c r="A887">
        <v>4377346239</v>
      </c>
      <c r="B887">
        <v>359779090</v>
      </c>
      <c r="C887" t="s">
        <v>912</v>
      </c>
      <c r="D887" t="s">
        <v>913</v>
      </c>
      <c r="E887">
        <v>46913810</v>
      </c>
      <c r="G887" s="1">
        <v>46089.619062500002</v>
      </c>
      <c r="I887" t="s">
        <v>37</v>
      </c>
      <c r="J887" t="s">
        <v>86</v>
      </c>
      <c r="K887" t="s">
        <v>47</v>
      </c>
      <c r="L887" t="s">
        <v>34</v>
      </c>
      <c r="M887">
        <v>3</v>
      </c>
      <c r="O887">
        <v>0</v>
      </c>
      <c r="P887" t="s">
        <v>87</v>
      </c>
      <c r="Q887">
        <v>583</v>
      </c>
      <c r="R887" t="s">
        <v>53</v>
      </c>
      <c r="S887">
        <f>IF(support_tickets[[#This Row],[status_cleaned]]="closed",1,0)</f>
        <v>0</v>
      </c>
      <c r="T887" t="str">
        <f>TEXT(support_tickets[[#This Row],[opened_at]],"mmm yyyy")</f>
        <v>Mar 2026</v>
      </c>
      <c r="U887">
        <f>YEAR(support_tickets[[#This Row],[opened_at]])*100+MONTH(support_tickets[[#This Row],[opened_at]])</f>
        <v>202603</v>
      </c>
      <c r="V887" s="29">
        <f>DATE(YEAR(support_tickets[[#This Row],[opened_at]]),MONTH(support_tickets[[#This Row],[opened_at]]),1)</f>
        <v>46082</v>
      </c>
    </row>
    <row r="888" spans="1:22">
      <c r="A888">
        <v>4486203607</v>
      </c>
      <c r="B888">
        <v>187623171</v>
      </c>
      <c r="C888" t="s">
        <v>944</v>
      </c>
      <c r="D888" t="s">
        <v>945</v>
      </c>
      <c r="E888">
        <v>58181396</v>
      </c>
      <c r="F888">
        <v>7825337991</v>
      </c>
      <c r="G888" s="1">
        <v>45598.938900462963</v>
      </c>
      <c r="I888" t="s">
        <v>46</v>
      </c>
      <c r="J888" t="s">
        <v>25</v>
      </c>
      <c r="K888" t="s">
        <v>47</v>
      </c>
      <c r="L888" t="s">
        <v>34</v>
      </c>
      <c r="M888">
        <v>39</v>
      </c>
      <c r="O888">
        <v>0</v>
      </c>
      <c r="P888" t="s">
        <v>27</v>
      </c>
      <c r="Q888">
        <v>608</v>
      </c>
      <c r="R888" t="s">
        <v>53</v>
      </c>
      <c r="S888">
        <f>IF(support_tickets[[#This Row],[status_cleaned]]="closed",1,0)</f>
        <v>0</v>
      </c>
      <c r="T888" t="str">
        <f>TEXT(support_tickets[[#This Row],[opened_at]],"mmm yyyy")</f>
        <v>Nov 2024</v>
      </c>
      <c r="U888">
        <f>YEAR(support_tickets[[#This Row],[opened_at]])*100+MONTH(support_tickets[[#This Row],[opened_at]])</f>
        <v>202411</v>
      </c>
      <c r="V888" s="29">
        <f>DATE(YEAR(support_tickets[[#This Row],[opened_at]]),MONTH(support_tickets[[#This Row],[opened_at]]),1)</f>
        <v>45597</v>
      </c>
    </row>
    <row r="889" spans="1:22">
      <c r="A889">
        <v>4579402178</v>
      </c>
      <c r="B889">
        <v>656307931</v>
      </c>
      <c r="C889" t="s">
        <v>966</v>
      </c>
      <c r="D889" t="s">
        <v>967</v>
      </c>
      <c r="E889">
        <v>60929647</v>
      </c>
      <c r="F889">
        <v>7834027827</v>
      </c>
      <c r="G889" s="1">
        <v>46035.220763888887</v>
      </c>
      <c r="I889" t="s">
        <v>37</v>
      </c>
      <c r="J889" t="s">
        <v>59</v>
      </c>
      <c r="K889" t="s">
        <v>47</v>
      </c>
      <c r="L889" t="s">
        <v>34</v>
      </c>
      <c r="M889">
        <v>20</v>
      </c>
      <c r="O889">
        <v>0</v>
      </c>
      <c r="P889" t="s">
        <v>61</v>
      </c>
      <c r="Q889">
        <v>626</v>
      </c>
      <c r="R889" t="s">
        <v>53</v>
      </c>
      <c r="S889">
        <f>IF(support_tickets[[#This Row],[status_cleaned]]="closed",1,0)</f>
        <v>0</v>
      </c>
      <c r="T889" t="str">
        <f>TEXT(support_tickets[[#This Row],[opened_at]],"mmm yyyy")</f>
        <v>Jan 2026</v>
      </c>
      <c r="U889">
        <f>YEAR(support_tickets[[#This Row],[opened_at]])*100+MONTH(support_tickets[[#This Row],[opened_at]])</f>
        <v>202601</v>
      </c>
      <c r="V889" s="29">
        <f>DATE(YEAR(support_tickets[[#This Row],[opened_at]]),MONTH(support_tickets[[#This Row],[opened_at]]),1)</f>
        <v>46023</v>
      </c>
    </row>
    <row r="890" spans="1:22">
      <c r="A890">
        <v>5067996808</v>
      </c>
      <c r="B890">
        <v>609587361</v>
      </c>
      <c r="C890" t="s">
        <v>1054</v>
      </c>
      <c r="D890" t="s">
        <v>1055</v>
      </c>
      <c r="E890">
        <v>16150444</v>
      </c>
      <c r="G890" s="1">
        <v>45729.653032407405</v>
      </c>
      <c r="H890" s="1">
        <v>45730.632199074076</v>
      </c>
      <c r="I890" t="s">
        <v>46</v>
      </c>
      <c r="J890" t="s">
        <v>19</v>
      </c>
      <c r="K890" t="s">
        <v>47</v>
      </c>
      <c r="L890" t="s">
        <v>34</v>
      </c>
      <c r="M890">
        <v>71</v>
      </c>
      <c r="N890">
        <v>1410</v>
      </c>
      <c r="O890">
        <v>0</v>
      </c>
      <c r="P890" t="s">
        <v>22</v>
      </c>
      <c r="Q890">
        <v>707</v>
      </c>
      <c r="R890" t="s">
        <v>53</v>
      </c>
      <c r="S890">
        <f>IF(support_tickets[[#This Row],[status_cleaned]]="closed",1,0)</f>
        <v>0</v>
      </c>
      <c r="T890" t="str">
        <f>TEXT(support_tickets[[#This Row],[opened_at]],"mmm yyyy")</f>
        <v>Mar 2025</v>
      </c>
      <c r="U890">
        <f>YEAR(support_tickets[[#This Row],[opened_at]])*100+MONTH(support_tickets[[#This Row],[opened_at]])</f>
        <v>202503</v>
      </c>
      <c r="V890" s="29">
        <f>DATE(YEAR(support_tickets[[#This Row],[opened_at]]),MONTH(support_tickets[[#This Row],[opened_at]]),1)</f>
        <v>45717</v>
      </c>
    </row>
    <row r="891" spans="1:22">
      <c r="A891">
        <v>5163217597</v>
      </c>
      <c r="B891">
        <v>474524558</v>
      </c>
      <c r="C891" t="s">
        <v>1064</v>
      </c>
      <c r="D891" t="s">
        <v>1065</v>
      </c>
      <c r="E891">
        <v>49349722</v>
      </c>
      <c r="F891">
        <v>5830513583</v>
      </c>
      <c r="G891" s="1">
        <v>45768.959976851853</v>
      </c>
      <c r="I891" t="s">
        <v>46</v>
      </c>
      <c r="J891" t="s">
        <v>38</v>
      </c>
      <c r="K891" t="s">
        <v>47</v>
      </c>
      <c r="L891" t="s">
        <v>34</v>
      </c>
      <c r="M891">
        <v>81</v>
      </c>
      <c r="O891">
        <v>0</v>
      </c>
      <c r="P891" t="s">
        <v>40</v>
      </c>
      <c r="Q891">
        <v>723</v>
      </c>
      <c r="R891" t="s">
        <v>53</v>
      </c>
      <c r="S891">
        <f>IF(support_tickets[[#This Row],[status_cleaned]]="closed",1,0)</f>
        <v>0</v>
      </c>
      <c r="T891" t="str">
        <f>TEXT(support_tickets[[#This Row],[opened_at]],"mmm yyyy")</f>
        <v>Apr 2025</v>
      </c>
      <c r="U891">
        <f>YEAR(support_tickets[[#This Row],[opened_at]])*100+MONTH(support_tickets[[#This Row],[opened_at]])</f>
        <v>202504</v>
      </c>
      <c r="V891" s="29">
        <f>DATE(YEAR(support_tickets[[#This Row],[opened_at]]),MONTH(support_tickets[[#This Row],[opened_at]]),1)</f>
        <v>45748</v>
      </c>
    </row>
    <row r="892" spans="1:22">
      <c r="A892">
        <v>5267587298</v>
      </c>
      <c r="B892">
        <v>366200875</v>
      </c>
      <c r="C892" t="s">
        <v>232</v>
      </c>
      <c r="D892" t="s">
        <v>233</v>
      </c>
      <c r="E892">
        <v>14265799</v>
      </c>
      <c r="F892">
        <v>1818503364</v>
      </c>
      <c r="G892" s="1">
        <v>45467.468564814815</v>
      </c>
      <c r="I892" t="s">
        <v>52</v>
      </c>
      <c r="J892" t="s">
        <v>30</v>
      </c>
      <c r="K892" t="s">
        <v>47</v>
      </c>
      <c r="L892" t="s">
        <v>34</v>
      </c>
      <c r="M892">
        <v>45</v>
      </c>
      <c r="O892">
        <v>0</v>
      </c>
      <c r="P892" t="s">
        <v>31</v>
      </c>
      <c r="Q892">
        <v>745</v>
      </c>
      <c r="R892" t="s">
        <v>53</v>
      </c>
      <c r="S892">
        <f>IF(support_tickets[[#This Row],[status_cleaned]]="closed",1,0)</f>
        <v>0</v>
      </c>
      <c r="T892" t="str">
        <f>TEXT(support_tickets[[#This Row],[opened_at]],"mmm yyyy")</f>
        <v>Jun 2024</v>
      </c>
      <c r="U892">
        <f>YEAR(support_tickets[[#This Row],[opened_at]])*100+MONTH(support_tickets[[#This Row],[opened_at]])</f>
        <v>202406</v>
      </c>
      <c r="V892" s="29">
        <f>DATE(YEAR(support_tickets[[#This Row],[opened_at]]),MONTH(support_tickets[[#This Row],[opened_at]]),1)</f>
        <v>45444</v>
      </c>
    </row>
    <row r="893" spans="1:22">
      <c r="A893">
        <v>5380536374</v>
      </c>
      <c r="B893">
        <v>154337019</v>
      </c>
      <c r="C893" t="s">
        <v>290</v>
      </c>
      <c r="D893" t="s">
        <v>291</v>
      </c>
      <c r="E893">
        <v>58537831</v>
      </c>
      <c r="F893">
        <v>4153232553</v>
      </c>
      <c r="G893" s="1">
        <v>45962.634988425925</v>
      </c>
      <c r="I893" t="s">
        <v>46</v>
      </c>
      <c r="J893" t="s">
        <v>19</v>
      </c>
      <c r="K893" t="s">
        <v>47</v>
      </c>
      <c r="L893" t="s">
        <v>34</v>
      </c>
      <c r="M893">
        <v>6</v>
      </c>
      <c r="O893">
        <v>0</v>
      </c>
      <c r="P893" t="s">
        <v>22</v>
      </c>
      <c r="Q893">
        <v>777</v>
      </c>
      <c r="R893" t="s">
        <v>53</v>
      </c>
      <c r="S893">
        <f>IF(support_tickets[[#This Row],[status_cleaned]]="closed",1,0)</f>
        <v>0</v>
      </c>
      <c r="T893" t="str">
        <f>TEXT(support_tickets[[#This Row],[opened_at]],"mmm yyyy")</f>
        <v>Nov 2025</v>
      </c>
      <c r="U893">
        <f>YEAR(support_tickets[[#This Row],[opened_at]])*100+MONTH(support_tickets[[#This Row],[opened_at]])</f>
        <v>202511</v>
      </c>
      <c r="V893" s="29">
        <f>DATE(YEAR(support_tickets[[#This Row],[opened_at]]),MONTH(support_tickets[[#This Row],[opened_at]]),1)</f>
        <v>45962</v>
      </c>
    </row>
    <row r="894" spans="1:22">
      <c r="A894">
        <v>5455048748</v>
      </c>
      <c r="B894">
        <v>835172306</v>
      </c>
      <c r="C894" t="s">
        <v>192</v>
      </c>
      <c r="D894" t="s">
        <v>193</v>
      </c>
      <c r="E894">
        <v>71662963</v>
      </c>
      <c r="F894">
        <v>7519795910</v>
      </c>
      <c r="G894" s="1">
        <v>45938.668356481481</v>
      </c>
      <c r="I894" t="s">
        <v>43</v>
      </c>
      <c r="J894" t="s">
        <v>38</v>
      </c>
      <c r="K894" t="s">
        <v>47</v>
      </c>
      <c r="L894" t="s">
        <v>34</v>
      </c>
      <c r="M894">
        <v>1</v>
      </c>
      <c r="O894">
        <v>0</v>
      </c>
      <c r="P894" t="s">
        <v>40</v>
      </c>
      <c r="Q894">
        <v>792</v>
      </c>
      <c r="R894" t="s">
        <v>53</v>
      </c>
      <c r="S894">
        <f>IF(support_tickets[[#This Row],[status_cleaned]]="closed",1,0)</f>
        <v>0</v>
      </c>
      <c r="T894" t="str">
        <f>TEXT(support_tickets[[#This Row],[opened_at]],"mmm yyyy")</f>
        <v>Oct 2025</v>
      </c>
      <c r="U894">
        <f>YEAR(support_tickets[[#This Row],[opened_at]])*100+MONTH(support_tickets[[#This Row],[opened_at]])</f>
        <v>202510</v>
      </c>
      <c r="V894" s="29">
        <f>DATE(YEAR(support_tickets[[#This Row],[opened_at]]),MONTH(support_tickets[[#This Row],[opened_at]]),1)</f>
        <v>45931</v>
      </c>
    </row>
    <row r="895" spans="1:22">
      <c r="A895">
        <v>5480792737</v>
      </c>
      <c r="B895">
        <v>928917719</v>
      </c>
      <c r="C895" t="s">
        <v>408</v>
      </c>
      <c r="D895" t="s">
        <v>409</v>
      </c>
      <c r="E895">
        <v>58966946</v>
      </c>
      <c r="F895">
        <v>5747218802</v>
      </c>
      <c r="G895" s="1">
        <v>45357.087824074071</v>
      </c>
      <c r="I895" t="s">
        <v>37</v>
      </c>
      <c r="J895" t="s">
        <v>59</v>
      </c>
      <c r="K895" t="s">
        <v>47</v>
      </c>
      <c r="L895" t="s">
        <v>34</v>
      </c>
      <c r="M895">
        <v>8</v>
      </c>
      <c r="O895">
        <v>0</v>
      </c>
      <c r="P895" t="s">
        <v>61</v>
      </c>
      <c r="Q895">
        <v>799</v>
      </c>
      <c r="R895" t="s">
        <v>53</v>
      </c>
      <c r="S895">
        <f>IF(support_tickets[[#This Row],[status_cleaned]]="closed",1,0)</f>
        <v>0</v>
      </c>
      <c r="T895" t="str">
        <f>TEXT(support_tickets[[#This Row],[opened_at]],"mmm yyyy")</f>
        <v>Mar 2024</v>
      </c>
      <c r="U895">
        <f>YEAR(support_tickets[[#This Row],[opened_at]])*100+MONTH(support_tickets[[#This Row],[opened_at]])</f>
        <v>202403</v>
      </c>
      <c r="V895" s="29">
        <f>DATE(YEAR(support_tickets[[#This Row],[opened_at]]),MONTH(support_tickets[[#This Row],[opened_at]]),1)</f>
        <v>45352</v>
      </c>
    </row>
    <row r="896" spans="1:22">
      <c r="A896">
        <v>5843504590</v>
      </c>
      <c r="B896">
        <v>634047267</v>
      </c>
      <c r="C896" t="s">
        <v>1184</v>
      </c>
      <c r="D896" t="s">
        <v>1185</v>
      </c>
      <c r="E896">
        <v>19335534</v>
      </c>
      <c r="G896" s="1">
        <v>45814.825706018521</v>
      </c>
      <c r="I896" t="s">
        <v>52</v>
      </c>
      <c r="J896" t="s">
        <v>86</v>
      </c>
      <c r="K896" t="s">
        <v>47</v>
      </c>
      <c r="L896" t="s">
        <v>34</v>
      </c>
      <c r="M896">
        <v>69</v>
      </c>
      <c r="O896">
        <v>0</v>
      </c>
      <c r="P896" t="s">
        <v>87</v>
      </c>
      <c r="Q896">
        <v>861</v>
      </c>
      <c r="R896" t="s">
        <v>53</v>
      </c>
      <c r="S896">
        <f>IF(support_tickets[[#This Row],[status_cleaned]]="closed",1,0)</f>
        <v>0</v>
      </c>
      <c r="T896" t="str">
        <f>TEXT(support_tickets[[#This Row],[opened_at]],"mmm yyyy")</f>
        <v>Jun 2025</v>
      </c>
      <c r="U896">
        <f>YEAR(support_tickets[[#This Row],[opened_at]])*100+MONTH(support_tickets[[#This Row],[opened_at]])</f>
        <v>202506</v>
      </c>
      <c r="V896" s="29">
        <f>DATE(YEAR(support_tickets[[#This Row],[opened_at]]),MONTH(support_tickets[[#This Row],[opened_at]]),1)</f>
        <v>45809</v>
      </c>
    </row>
    <row r="897" spans="1:22">
      <c r="A897">
        <v>5954280353</v>
      </c>
      <c r="B897">
        <v>583564328</v>
      </c>
      <c r="C897" t="s">
        <v>406</v>
      </c>
      <c r="D897" t="s">
        <v>407</v>
      </c>
      <c r="E897">
        <v>45812670</v>
      </c>
      <c r="G897" s="1">
        <v>45396.160833333335</v>
      </c>
      <c r="I897" t="s">
        <v>46</v>
      </c>
      <c r="J897" t="s">
        <v>86</v>
      </c>
      <c r="K897" t="s">
        <v>47</v>
      </c>
      <c r="L897" t="s">
        <v>34</v>
      </c>
      <c r="M897">
        <v>3</v>
      </c>
      <c r="O897">
        <v>0</v>
      </c>
      <c r="P897" t="s">
        <v>87</v>
      </c>
      <c r="Q897">
        <v>879</v>
      </c>
      <c r="R897" t="s">
        <v>53</v>
      </c>
      <c r="S897">
        <f>IF(support_tickets[[#This Row],[status_cleaned]]="closed",1,0)</f>
        <v>0</v>
      </c>
      <c r="T897" t="str">
        <f>TEXT(support_tickets[[#This Row],[opened_at]],"mmm yyyy")</f>
        <v>Apr 2024</v>
      </c>
      <c r="U897">
        <f>YEAR(support_tickets[[#This Row],[opened_at]])*100+MONTH(support_tickets[[#This Row],[opened_at]])</f>
        <v>202404</v>
      </c>
      <c r="V897" s="29">
        <f>DATE(YEAR(support_tickets[[#This Row],[opened_at]]),MONTH(support_tickets[[#This Row],[opened_at]]),1)</f>
        <v>45383</v>
      </c>
    </row>
    <row r="898" spans="1:22">
      <c r="A898">
        <v>6299302677</v>
      </c>
      <c r="B898">
        <v>202418976</v>
      </c>
      <c r="C898" t="s">
        <v>166</v>
      </c>
      <c r="D898" t="s">
        <v>167</v>
      </c>
      <c r="E898">
        <v>90388981</v>
      </c>
      <c r="G898" s="1">
        <v>46064.111851851849</v>
      </c>
      <c r="I898" t="s">
        <v>56</v>
      </c>
      <c r="J898" t="s">
        <v>86</v>
      </c>
      <c r="K898" t="s">
        <v>47</v>
      </c>
      <c r="L898" t="s">
        <v>34</v>
      </c>
      <c r="M898">
        <v>51</v>
      </c>
      <c r="O898">
        <v>0</v>
      </c>
      <c r="P898" t="s">
        <v>87</v>
      </c>
      <c r="Q898">
        <v>942</v>
      </c>
      <c r="R898" t="s">
        <v>53</v>
      </c>
      <c r="S898">
        <f>IF(support_tickets[[#This Row],[status_cleaned]]="closed",1,0)</f>
        <v>0</v>
      </c>
      <c r="T898" t="str">
        <f>TEXT(support_tickets[[#This Row],[opened_at]],"mmm yyyy")</f>
        <v>Feb 2026</v>
      </c>
      <c r="U898">
        <f>YEAR(support_tickets[[#This Row],[opened_at]])*100+MONTH(support_tickets[[#This Row],[opened_at]])</f>
        <v>202602</v>
      </c>
      <c r="V898" s="29">
        <f>DATE(YEAR(support_tickets[[#This Row],[opened_at]]),MONTH(support_tickets[[#This Row],[opened_at]]),1)</f>
        <v>46054</v>
      </c>
    </row>
    <row r="899" spans="1:22">
      <c r="A899">
        <v>6309386587</v>
      </c>
      <c r="B899">
        <v>366338529</v>
      </c>
      <c r="C899" t="s">
        <v>1086</v>
      </c>
      <c r="D899" t="s">
        <v>1087</v>
      </c>
      <c r="E899">
        <v>47338124</v>
      </c>
      <c r="G899" s="1">
        <v>46094.142245370371</v>
      </c>
      <c r="I899" t="s">
        <v>56</v>
      </c>
      <c r="J899" t="s">
        <v>30</v>
      </c>
      <c r="K899" t="s">
        <v>47</v>
      </c>
      <c r="L899" t="s">
        <v>34</v>
      </c>
      <c r="M899">
        <v>28</v>
      </c>
      <c r="O899">
        <v>0</v>
      </c>
      <c r="P899" t="s">
        <v>31</v>
      </c>
      <c r="Q899">
        <v>945</v>
      </c>
      <c r="R899" t="s">
        <v>53</v>
      </c>
      <c r="S899">
        <f>IF(support_tickets[[#This Row],[status_cleaned]]="closed",1,0)</f>
        <v>0</v>
      </c>
      <c r="T899" t="str">
        <f>TEXT(support_tickets[[#This Row],[opened_at]],"mmm yyyy")</f>
        <v>Mar 2026</v>
      </c>
      <c r="U899">
        <f>YEAR(support_tickets[[#This Row],[opened_at]])*100+MONTH(support_tickets[[#This Row],[opened_at]])</f>
        <v>202603</v>
      </c>
      <c r="V899" s="29">
        <f>DATE(YEAR(support_tickets[[#This Row],[opened_at]]),MONTH(support_tickets[[#This Row],[opened_at]]),1)</f>
        <v>46082</v>
      </c>
    </row>
    <row r="900" spans="1:22">
      <c r="A900">
        <v>6310493848</v>
      </c>
      <c r="B900">
        <v>930071496</v>
      </c>
      <c r="C900" t="s">
        <v>1254</v>
      </c>
      <c r="D900" t="s">
        <v>1255</v>
      </c>
      <c r="E900">
        <v>96282117</v>
      </c>
      <c r="G900" s="1">
        <v>45470.191493055558</v>
      </c>
      <c r="I900" t="s">
        <v>46</v>
      </c>
      <c r="J900" t="s">
        <v>25</v>
      </c>
      <c r="K900" t="s">
        <v>47</v>
      </c>
      <c r="L900" t="s">
        <v>34</v>
      </c>
      <c r="M900">
        <v>44</v>
      </c>
      <c r="O900">
        <v>0</v>
      </c>
      <c r="P900" t="s">
        <v>27</v>
      </c>
      <c r="Q900">
        <v>946</v>
      </c>
      <c r="R900" t="s">
        <v>53</v>
      </c>
      <c r="S900">
        <f>IF(support_tickets[[#This Row],[status_cleaned]]="closed",1,0)</f>
        <v>0</v>
      </c>
      <c r="T900" t="str">
        <f>TEXT(support_tickets[[#This Row],[opened_at]],"mmm yyyy")</f>
        <v>Jun 2024</v>
      </c>
      <c r="U900">
        <f>YEAR(support_tickets[[#This Row],[opened_at]])*100+MONTH(support_tickets[[#This Row],[opened_at]])</f>
        <v>202406</v>
      </c>
      <c r="V900" s="29">
        <f>DATE(YEAR(support_tickets[[#This Row],[opened_at]]),MONTH(support_tickets[[#This Row],[opened_at]]),1)</f>
        <v>45444</v>
      </c>
    </row>
    <row r="901" spans="1:22">
      <c r="A901">
        <v>6551405716</v>
      </c>
      <c r="B901">
        <v>188703430</v>
      </c>
      <c r="C901" t="s">
        <v>1282</v>
      </c>
      <c r="D901" t="s">
        <v>1283</v>
      </c>
      <c r="E901">
        <v>22201654</v>
      </c>
      <c r="G901" s="1">
        <v>45535.887465277781</v>
      </c>
      <c r="H901" s="1">
        <v>45536.393020833333</v>
      </c>
      <c r="I901" t="s">
        <v>3</v>
      </c>
      <c r="J901" t="s">
        <v>25</v>
      </c>
      <c r="K901" t="s">
        <v>47</v>
      </c>
      <c r="L901" t="s">
        <v>34</v>
      </c>
      <c r="M901">
        <v>33</v>
      </c>
      <c r="N901">
        <v>728</v>
      </c>
      <c r="O901">
        <v>0</v>
      </c>
      <c r="P901" t="s">
        <v>27</v>
      </c>
      <c r="Q901">
        <v>979</v>
      </c>
      <c r="R901" t="s">
        <v>53</v>
      </c>
      <c r="S901">
        <f>IF(support_tickets[[#This Row],[status_cleaned]]="closed",1,0)</f>
        <v>0</v>
      </c>
      <c r="T901" t="str">
        <f>TEXT(support_tickets[[#This Row],[opened_at]],"mmm yyyy")</f>
        <v>Aug 2024</v>
      </c>
      <c r="U901">
        <f>YEAR(support_tickets[[#This Row],[opened_at]])*100+MONTH(support_tickets[[#This Row],[opened_at]])</f>
        <v>202408</v>
      </c>
      <c r="V901" s="29">
        <f>DATE(YEAR(support_tickets[[#This Row],[opened_at]]),MONTH(support_tickets[[#This Row],[opened_at]]),1)</f>
        <v>45505</v>
      </c>
    </row>
    <row r="902" spans="1:22">
      <c r="A902">
        <v>6973394281</v>
      </c>
      <c r="B902">
        <v>341449138</v>
      </c>
      <c r="C902" t="s">
        <v>470</v>
      </c>
      <c r="D902" t="s">
        <v>471</v>
      </c>
      <c r="E902">
        <v>30513739</v>
      </c>
      <c r="G902" s="1">
        <v>45475.112060185187</v>
      </c>
      <c r="I902" t="s">
        <v>46</v>
      </c>
      <c r="J902" t="s">
        <v>30</v>
      </c>
      <c r="K902" t="s">
        <v>47</v>
      </c>
      <c r="L902" t="s">
        <v>34</v>
      </c>
      <c r="M902">
        <v>31</v>
      </c>
      <c r="O902">
        <v>0</v>
      </c>
      <c r="P902" t="s">
        <v>31</v>
      </c>
      <c r="Q902">
        <v>1023</v>
      </c>
      <c r="R902" t="s">
        <v>53</v>
      </c>
      <c r="S902">
        <f>IF(support_tickets[[#This Row],[status_cleaned]]="closed",1,0)</f>
        <v>0</v>
      </c>
      <c r="T902" t="str">
        <f>TEXT(support_tickets[[#This Row],[opened_at]],"mmm yyyy")</f>
        <v>Jul 2024</v>
      </c>
      <c r="U902">
        <f>YEAR(support_tickets[[#This Row],[opened_at]])*100+MONTH(support_tickets[[#This Row],[opened_at]])</f>
        <v>202407</v>
      </c>
      <c r="V902" s="29">
        <f>DATE(YEAR(support_tickets[[#This Row],[opened_at]]),MONTH(support_tickets[[#This Row],[opened_at]]),1)</f>
        <v>45474</v>
      </c>
    </row>
    <row r="903" spans="1:22">
      <c r="A903">
        <v>7037126743</v>
      </c>
      <c r="B903">
        <v>874305759</v>
      </c>
      <c r="C903" t="s">
        <v>1296</v>
      </c>
      <c r="D903" t="s">
        <v>1297</v>
      </c>
      <c r="E903">
        <v>82394227</v>
      </c>
      <c r="G903" s="1">
        <v>45817.300358796296</v>
      </c>
      <c r="I903" t="s">
        <v>56</v>
      </c>
      <c r="J903" t="s">
        <v>19</v>
      </c>
      <c r="K903" t="s">
        <v>47</v>
      </c>
      <c r="L903" t="s">
        <v>34</v>
      </c>
      <c r="M903">
        <v>39</v>
      </c>
      <c r="O903">
        <v>0</v>
      </c>
      <c r="P903" t="s">
        <v>22</v>
      </c>
      <c r="Q903">
        <v>1040</v>
      </c>
      <c r="R903" t="s">
        <v>53</v>
      </c>
      <c r="S903">
        <f>IF(support_tickets[[#This Row],[status_cleaned]]="closed",1,0)</f>
        <v>0</v>
      </c>
      <c r="T903" t="str">
        <f>TEXT(support_tickets[[#This Row],[opened_at]],"mmm yyyy")</f>
        <v>Jun 2025</v>
      </c>
      <c r="U903">
        <f>YEAR(support_tickets[[#This Row],[opened_at]])*100+MONTH(support_tickets[[#This Row],[opened_at]])</f>
        <v>202506</v>
      </c>
      <c r="V903" s="29">
        <f>DATE(YEAR(support_tickets[[#This Row],[opened_at]]),MONTH(support_tickets[[#This Row],[opened_at]]),1)</f>
        <v>45809</v>
      </c>
    </row>
    <row r="904" spans="1:22">
      <c r="A904">
        <v>7399912515</v>
      </c>
      <c r="B904">
        <v>112279027</v>
      </c>
      <c r="C904" t="s">
        <v>1358</v>
      </c>
      <c r="D904" t="s">
        <v>1359</v>
      </c>
      <c r="E904">
        <v>36697396</v>
      </c>
      <c r="G904" s="1">
        <v>45921.572800925926</v>
      </c>
      <c r="I904" t="s">
        <v>37</v>
      </c>
      <c r="J904" t="s">
        <v>19</v>
      </c>
      <c r="K904" t="s">
        <v>47</v>
      </c>
      <c r="L904" t="s">
        <v>34</v>
      </c>
      <c r="M904">
        <v>28</v>
      </c>
      <c r="O904">
        <v>0</v>
      </c>
      <c r="P904" t="s">
        <v>22</v>
      </c>
      <c r="Q904">
        <v>1090</v>
      </c>
      <c r="R904" t="s">
        <v>53</v>
      </c>
      <c r="S904">
        <f>IF(support_tickets[[#This Row],[status_cleaned]]="closed",1,0)</f>
        <v>0</v>
      </c>
      <c r="T904" t="str">
        <f>TEXT(support_tickets[[#This Row],[opened_at]],"mmm yyyy")</f>
        <v>Sep 2025</v>
      </c>
      <c r="U904">
        <f>YEAR(support_tickets[[#This Row],[opened_at]])*100+MONTH(support_tickets[[#This Row],[opened_at]])</f>
        <v>202509</v>
      </c>
      <c r="V904" s="29">
        <f>DATE(YEAR(support_tickets[[#This Row],[opened_at]]),MONTH(support_tickets[[#This Row],[opened_at]]),1)</f>
        <v>45901</v>
      </c>
    </row>
    <row r="905" spans="1:22">
      <c r="A905">
        <v>7537228950</v>
      </c>
      <c r="B905">
        <v>768737754</v>
      </c>
      <c r="C905" t="s">
        <v>622</v>
      </c>
      <c r="D905" t="s">
        <v>623</v>
      </c>
      <c r="E905">
        <v>33978249</v>
      </c>
      <c r="G905" s="1">
        <v>45470.79892361111</v>
      </c>
      <c r="I905" t="s">
        <v>52</v>
      </c>
      <c r="J905" t="s">
        <v>86</v>
      </c>
      <c r="K905" t="s">
        <v>47</v>
      </c>
      <c r="L905" t="s">
        <v>34</v>
      </c>
      <c r="M905">
        <v>56</v>
      </c>
      <c r="O905">
        <v>0</v>
      </c>
      <c r="P905" t="s">
        <v>87</v>
      </c>
      <c r="Q905">
        <v>1113</v>
      </c>
      <c r="R905" t="s">
        <v>53</v>
      </c>
      <c r="S905">
        <f>IF(support_tickets[[#This Row],[status_cleaned]]="closed",1,0)</f>
        <v>0</v>
      </c>
      <c r="T905" t="str">
        <f>TEXT(support_tickets[[#This Row],[opened_at]],"mmm yyyy")</f>
        <v>Jun 2024</v>
      </c>
      <c r="U905">
        <f>YEAR(support_tickets[[#This Row],[opened_at]])*100+MONTH(support_tickets[[#This Row],[opened_at]])</f>
        <v>202406</v>
      </c>
      <c r="V905" s="29">
        <f>DATE(YEAR(support_tickets[[#This Row],[opened_at]]),MONTH(support_tickets[[#This Row],[opened_at]]),1)</f>
        <v>45444</v>
      </c>
    </row>
    <row r="906" spans="1:22">
      <c r="A906">
        <v>7610991332</v>
      </c>
      <c r="B906">
        <v>249117905</v>
      </c>
      <c r="C906" t="s">
        <v>1042</v>
      </c>
      <c r="D906" t="s">
        <v>1043</v>
      </c>
      <c r="E906">
        <v>35808537</v>
      </c>
      <c r="F906">
        <v>1848411797</v>
      </c>
      <c r="G906" s="1">
        <v>46027.972986111112</v>
      </c>
      <c r="H906" s="1">
        <v>46028.477152777778</v>
      </c>
      <c r="I906" t="s">
        <v>43</v>
      </c>
      <c r="J906" t="s">
        <v>38</v>
      </c>
      <c r="K906" t="s">
        <v>47</v>
      </c>
      <c r="L906" t="s">
        <v>34</v>
      </c>
      <c r="M906">
        <v>6</v>
      </c>
      <c r="N906">
        <v>726</v>
      </c>
      <c r="O906">
        <v>0</v>
      </c>
      <c r="P906" t="s">
        <v>40</v>
      </c>
      <c r="Q906">
        <v>1125</v>
      </c>
      <c r="R906" t="s">
        <v>53</v>
      </c>
      <c r="S906">
        <f>IF(support_tickets[[#This Row],[status_cleaned]]="closed",1,0)</f>
        <v>0</v>
      </c>
      <c r="T906" t="str">
        <f>TEXT(support_tickets[[#This Row],[opened_at]],"mmm yyyy")</f>
        <v>Jan 2026</v>
      </c>
      <c r="U906">
        <f>YEAR(support_tickets[[#This Row],[opened_at]])*100+MONTH(support_tickets[[#This Row],[opened_at]])</f>
        <v>202601</v>
      </c>
      <c r="V906" s="29">
        <f>DATE(YEAR(support_tickets[[#This Row],[opened_at]]),MONTH(support_tickets[[#This Row],[opened_at]]),1)</f>
        <v>46023</v>
      </c>
    </row>
    <row r="907" spans="1:22">
      <c r="A907">
        <v>7747720341</v>
      </c>
      <c r="B907">
        <v>756102581</v>
      </c>
      <c r="C907" t="s">
        <v>688</v>
      </c>
      <c r="D907" t="s">
        <v>689</v>
      </c>
      <c r="E907">
        <v>96977837</v>
      </c>
      <c r="G907" s="1">
        <v>45631.672812500001</v>
      </c>
      <c r="I907" t="s">
        <v>56</v>
      </c>
      <c r="J907" t="s">
        <v>30</v>
      </c>
      <c r="K907" t="s">
        <v>47</v>
      </c>
      <c r="L907" t="s">
        <v>34</v>
      </c>
      <c r="M907">
        <v>64</v>
      </c>
      <c r="O907">
        <v>0</v>
      </c>
      <c r="P907" t="s">
        <v>31</v>
      </c>
      <c r="Q907">
        <v>1149</v>
      </c>
      <c r="R907" t="s">
        <v>53</v>
      </c>
      <c r="S907">
        <f>IF(support_tickets[[#This Row],[status_cleaned]]="closed",1,0)</f>
        <v>0</v>
      </c>
      <c r="T907" t="str">
        <f>TEXT(support_tickets[[#This Row],[opened_at]],"mmm yyyy")</f>
        <v>Dec 2024</v>
      </c>
      <c r="U907">
        <f>YEAR(support_tickets[[#This Row],[opened_at]])*100+MONTH(support_tickets[[#This Row],[opened_at]])</f>
        <v>202412</v>
      </c>
      <c r="V907" s="29">
        <f>DATE(YEAR(support_tickets[[#This Row],[opened_at]]),MONTH(support_tickets[[#This Row],[opened_at]]),1)</f>
        <v>45627</v>
      </c>
    </row>
    <row r="908" spans="1:22">
      <c r="A908">
        <v>7813467952</v>
      </c>
      <c r="B908">
        <v>245737277</v>
      </c>
      <c r="C908" t="s">
        <v>534</v>
      </c>
      <c r="D908" t="s">
        <v>535</v>
      </c>
      <c r="E908">
        <v>47295260</v>
      </c>
      <c r="F908">
        <v>1241941984</v>
      </c>
      <c r="G908" s="1">
        <v>45934.459108796298</v>
      </c>
      <c r="I908" t="s">
        <v>18</v>
      </c>
      <c r="J908" t="s">
        <v>30</v>
      </c>
      <c r="K908" t="s">
        <v>47</v>
      </c>
      <c r="L908" t="s">
        <v>34</v>
      </c>
      <c r="M908">
        <v>84</v>
      </c>
      <c r="O908">
        <v>0</v>
      </c>
      <c r="P908" t="s">
        <v>31</v>
      </c>
      <c r="Q908">
        <v>1160</v>
      </c>
      <c r="R908" t="s">
        <v>53</v>
      </c>
      <c r="S908">
        <f>IF(support_tickets[[#This Row],[status_cleaned]]="closed",1,0)</f>
        <v>0</v>
      </c>
      <c r="T908" t="str">
        <f>TEXT(support_tickets[[#This Row],[opened_at]],"mmm yyyy")</f>
        <v>Oct 2025</v>
      </c>
      <c r="U908">
        <f>YEAR(support_tickets[[#This Row],[opened_at]])*100+MONTH(support_tickets[[#This Row],[opened_at]])</f>
        <v>202510</v>
      </c>
      <c r="V908" s="29">
        <f>DATE(YEAR(support_tickets[[#This Row],[opened_at]]),MONTH(support_tickets[[#This Row],[opened_at]]),1)</f>
        <v>45931</v>
      </c>
    </row>
    <row r="909" spans="1:22">
      <c r="A909">
        <v>8250825687</v>
      </c>
      <c r="B909">
        <v>627422192</v>
      </c>
      <c r="C909" t="s">
        <v>1106</v>
      </c>
      <c r="D909" t="s">
        <v>1107</v>
      </c>
      <c r="E909">
        <v>60929647</v>
      </c>
      <c r="G909" s="1">
        <v>45572.95652777778</v>
      </c>
      <c r="I909" t="s">
        <v>18</v>
      </c>
      <c r="J909" t="s">
        <v>38</v>
      </c>
      <c r="K909" t="s">
        <v>47</v>
      </c>
      <c r="L909" t="s">
        <v>34</v>
      </c>
      <c r="M909">
        <v>35</v>
      </c>
      <c r="O909">
        <v>0</v>
      </c>
      <c r="P909" t="s">
        <v>40</v>
      </c>
      <c r="Q909">
        <v>1221</v>
      </c>
      <c r="R909" t="s">
        <v>53</v>
      </c>
      <c r="S909">
        <f>IF(support_tickets[[#This Row],[status_cleaned]]="closed",1,0)</f>
        <v>0</v>
      </c>
      <c r="T909" t="str">
        <f>TEXT(support_tickets[[#This Row],[opened_at]],"mmm yyyy")</f>
        <v>Oct 2024</v>
      </c>
      <c r="U909">
        <f>YEAR(support_tickets[[#This Row],[opened_at]])*100+MONTH(support_tickets[[#This Row],[opened_at]])</f>
        <v>202410</v>
      </c>
      <c r="V909" s="29">
        <f>DATE(YEAR(support_tickets[[#This Row],[opened_at]]),MONTH(support_tickets[[#This Row],[opened_at]]),1)</f>
        <v>45566</v>
      </c>
    </row>
    <row r="910" spans="1:22">
      <c r="A910">
        <v>8388219280</v>
      </c>
      <c r="B910">
        <v>946237594</v>
      </c>
      <c r="C910" t="s">
        <v>288</v>
      </c>
      <c r="D910" t="s">
        <v>289</v>
      </c>
      <c r="E910">
        <v>56164955</v>
      </c>
      <c r="F910">
        <v>7482301234</v>
      </c>
      <c r="G910" s="1">
        <v>45744.862557870372</v>
      </c>
      <c r="H910" s="1">
        <v>45745.866030092591</v>
      </c>
      <c r="I910" t="s">
        <v>56</v>
      </c>
      <c r="J910" t="s">
        <v>59</v>
      </c>
      <c r="K910" t="s">
        <v>47</v>
      </c>
      <c r="L910" t="s">
        <v>34</v>
      </c>
      <c r="M910">
        <v>42</v>
      </c>
      <c r="N910">
        <v>1445</v>
      </c>
      <c r="O910">
        <v>0</v>
      </c>
      <c r="P910" t="s">
        <v>61</v>
      </c>
      <c r="Q910">
        <v>1235</v>
      </c>
      <c r="R910" t="s">
        <v>53</v>
      </c>
      <c r="S910">
        <f>IF(support_tickets[[#This Row],[status_cleaned]]="closed",1,0)</f>
        <v>0</v>
      </c>
      <c r="T910" t="str">
        <f>TEXT(support_tickets[[#This Row],[opened_at]],"mmm yyyy")</f>
        <v>Mar 2025</v>
      </c>
      <c r="U910">
        <f>YEAR(support_tickets[[#This Row],[opened_at]])*100+MONTH(support_tickets[[#This Row],[opened_at]])</f>
        <v>202503</v>
      </c>
      <c r="V910" s="29">
        <f>DATE(YEAR(support_tickets[[#This Row],[opened_at]]),MONTH(support_tickets[[#This Row],[opened_at]]),1)</f>
        <v>45717</v>
      </c>
    </row>
    <row r="911" spans="1:22">
      <c r="A911">
        <v>8478607503</v>
      </c>
      <c r="B911">
        <v>541156077</v>
      </c>
      <c r="C911" t="s">
        <v>1062</v>
      </c>
      <c r="D911" t="s">
        <v>1063</v>
      </c>
      <c r="E911">
        <v>13999315</v>
      </c>
      <c r="G911" s="1">
        <v>46043.664212962962</v>
      </c>
      <c r="I911" t="s">
        <v>43</v>
      </c>
      <c r="J911" t="s">
        <v>86</v>
      </c>
      <c r="K911" t="s">
        <v>47</v>
      </c>
      <c r="L911" t="s">
        <v>34</v>
      </c>
      <c r="M911">
        <v>28</v>
      </c>
      <c r="O911">
        <v>0</v>
      </c>
      <c r="P911" t="s">
        <v>87</v>
      </c>
      <c r="Q911">
        <v>1251</v>
      </c>
      <c r="R911" t="s">
        <v>53</v>
      </c>
      <c r="S911">
        <f>IF(support_tickets[[#This Row],[status_cleaned]]="closed",1,0)</f>
        <v>0</v>
      </c>
      <c r="T911" t="str">
        <f>TEXT(support_tickets[[#This Row],[opened_at]],"mmm yyyy")</f>
        <v>Jan 2026</v>
      </c>
      <c r="U911">
        <f>YEAR(support_tickets[[#This Row],[opened_at]])*100+MONTH(support_tickets[[#This Row],[opened_at]])</f>
        <v>202601</v>
      </c>
      <c r="V911" s="29">
        <f>DATE(YEAR(support_tickets[[#This Row],[opened_at]]),MONTH(support_tickets[[#This Row],[opened_at]]),1)</f>
        <v>46023</v>
      </c>
    </row>
    <row r="912" spans="1:22">
      <c r="A912">
        <v>8609401630</v>
      </c>
      <c r="B912">
        <v>515156661</v>
      </c>
      <c r="C912" t="s">
        <v>1469</v>
      </c>
      <c r="D912" t="s">
        <v>1470</v>
      </c>
      <c r="E912">
        <v>66722344</v>
      </c>
      <c r="F912">
        <v>8636756590</v>
      </c>
      <c r="G912" s="1">
        <v>45733.30978009259</v>
      </c>
      <c r="I912" t="s">
        <v>56</v>
      </c>
      <c r="J912" t="s">
        <v>19</v>
      </c>
      <c r="K912" t="s">
        <v>47</v>
      </c>
      <c r="L912" t="s">
        <v>34</v>
      </c>
      <c r="M912">
        <v>40</v>
      </c>
      <c r="O912">
        <v>0</v>
      </c>
      <c r="P912" t="s">
        <v>22</v>
      </c>
      <c r="Q912">
        <v>1284</v>
      </c>
      <c r="R912" t="s">
        <v>53</v>
      </c>
      <c r="S912">
        <f>IF(support_tickets[[#This Row],[status_cleaned]]="closed",1,0)</f>
        <v>0</v>
      </c>
      <c r="T912" t="str">
        <f>TEXT(support_tickets[[#This Row],[opened_at]],"mmm yyyy")</f>
        <v>Mar 2025</v>
      </c>
      <c r="U912">
        <f>YEAR(support_tickets[[#This Row],[opened_at]])*100+MONTH(support_tickets[[#This Row],[opened_at]])</f>
        <v>202503</v>
      </c>
      <c r="V912" s="29">
        <f>DATE(YEAR(support_tickets[[#This Row],[opened_at]]),MONTH(support_tickets[[#This Row],[opened_at]]),1)</f>
        <v>45717</v>
      </c>
    </row>
    <row r="913" spans="1:22">
      <c r="A913">
        <v>8872346835</v>
      </c>
      <c r="B913">
        <v>910637681</v>
      </c>
      <c r="C913" t="s">
        <v>1489</v>
      </c>
      <c r="D913" t="s">
        <v>1490</v>
      </c>
      <c r="E913">
        <v>14308421</v>
      </c>
      <c r="F913">
        <v>4591989418</v>
      </c>
      <c r="G913" s="1">
        <v>45614.269305555557</v>
      </c>
      <c r="I913" t="s">
        <v>3</v>
      </c>
      <c r="J913" t="s">
        <v>30</v>
      </c>
      <c r="K913" t="s">
        <v>47</v>
      </c>
      <c r="L913" t="s">
        <v>34</v>
      </c>
      <c r="M913">
        <v>62</v>
      </c>
      <c r="O913">
        <v>0</v>
      </c>
      <c r="P913" t="s">
        <v>31</v>
      </c>
      <c r="Q913">
        <v>1322</v>
      </c>
      <c r="R913" t="s">
        <v>53</v>
      </c>
      <c r="S913">
        <f>IF(support_tickets[[#This Row],[status_cleaned]]="closed",1,0)</f>
        <v>0</v>
      </c>
      <c r="T913" t="str">
        <f>TEXT(support_tickets[[#This Row],[opened_at]],"mmm yyyy")</f>
        <v>Nov 2024</v>
      </c>
      <c r="U913">
        <f>YEAR(support_tickets[[#This Row],[opened_at]])*100+MONTH(support_tickets[[#This Row],[opened_at]])</f>
        <v>202411</v>
      </c>
      <c r="V913" s="29">
        <f>DATE(YEAR(support_tickets[[#This Row],[opened_at]]),MONTH(support_tickets[[#This Row],[opened_at]]),1)</f>
        <v>45597</v>
      </c>
    </row>
    <row r="914" spans="1:22">
      <c r="A914">
        <v>8885361853</v>
      </c>
      <c r="B914">
        <v>830261466</v>
      </c>
      <c r="C914" t="s">
        <v>918</v>
      </c>
      <c r="D914" t="s">
        <v>919</v>
      </c>
      <c r="E914">
        <v>28740864</v>
      </c>
      <c r="F914">
        <v>4898595925</v>
      </c>
      <c r="G914" s="1">
        <v>45676.576192129629</v>
      </c>
      <c r="I914" t="s">
        <v>37</v>
      </c>
      <c r="J914" t="s">
        <v>59</v>
      </c>
      <c r="K914" t="s">
        <v>47</v>
      </c>
      <c r="L914" t="s">
        <v>34</v>
      </c>
      <c r="M914">
        <v>61</v>
      </c>
      <c r="O914">
        <v>0</v>
      </c>
      <c r="P914" t="s">
        <v>61</v>
      </c>
      <c r="Q914">
        <v>1327</v>
      </c>
      <c r="R914" t="s">
        <v>53</v>
      </c>
      <c r="S914">
        <f>IF(support_tickets[[#This Row],[status_cleaned]]="closed",1,0)</f>
        <v>0</v>
      </c>
      <c r="T914" t="str">
        <f>TEXT(support_tickets[[#This Row],[opened_at]],"mmm yyyy")</f>
        <v>Jan 2025</v>
      </c>
      <c r="U914">
        <f>YEAR(support_tickets[[#This Row],[opened_at]])*100+MONTH(support_tickets[[#This Row],[opened_at]])</f>
        <v>202501</v>
      </c>
      <c r="V914" s="29">
        <f>DATE(YEAR(support_tickets[[#This Row],[opened_at]]),MONTH(support_tickets[[#This Row],[opened_at]]),1)</f>
        <v>45658</v>
      </c>
    </row>
    <row r="915" spans="1:22">
      <c r="A915">
        <v>8988896196</v>
      </c>
      <c r="B915">
        <v>699240979</v>
      </c>
      <c r="C915" t="s">
        <v>380</v>
      </c>
      <c r="D915" t="s">
        <v>381</v>
      </c>
      <c r="E915">
        <v>30514014</v>
      </c>
      <c r="F915">
        <v>1857462274</v>
      </c>
      <c r="G915" s="1">
        <v>45994.531261574077</v>
      </c>
      <c r="I915" t="s">
        <v>46</v>
      </c>
      <c r="J915" t="s">
        <v>86</v>
      </c>
      <c r="K915" t="s">
        <v>47</v>
      </c>
      <c r="L915" t="s">
        <v>34</v>
      </c>
      <c r="M915">
        <v>54</v>
      </c>
      <c r="O915">
        <v>0</v>
      </c>
      <c r="P915" t="s">
        <v>87</v>
      </c>
      <c r="Q915">
        <v>1341</v>
      </c>
      <c r="R915" t="s">
        <v>53</v>
      </c>
      <c r="S915">
        <f>IF(support_tickets[[#This Row],[status_cleaned]]="closed",1,0)</f>
        <v>0</v>
      </c>
      <c r="T915" t="str">
        <f>TEXT(support_tickets[[#This Row],[opened_at]],"mmm yyyy")</f>
        <v>Dec 2025</v>
      </c>
      <c r="U915">
        <f>YEAR(support_tickets[[#This Row],[opened_at]])*100+MONTH(support_tickets[[#This Row],[opened_at]])</f>
        <v>202512</v>
      </c>
      <c r="V915" s="29">
        <f>DATE(YEAR(support_tickets[[#This Row],[opened_at]]),MONTH(support_tickets[[#This Row],[opened_at]]),1)</f>
        <v>45992</v>
      </c>
    </row>
    <row r="916" spans="1:22">
      <c r="A916">
        <v>9045966937</v>
      </c>
      <c r="B916">
        <v>196057712</v>
      </c>
      <c r="C916" t="s">
        <v>780</v>
      </c>
      <c r="D916" t="s">
        <v>781</v>
      </c>
      <c r="E916">
        <v>13999315</v>
      </c>
      <c r="F916">
        <v>9330590753</v>
      </c>
      <c r="G916" s="1">
        <v>45447.76321759259</v>
      </c>
      <c r="I916" t="s">
        <v>43</v>
      </c>
      <c r="J916" t="s">
        <v>59</v>
      </c>
      <c r="K916" t="s">
        <v>47</v>
      </c>
      <c r="L916" t="s">
        <v>34</v>
      </c>
      <c r="M916">
        <v>1</v>
      </c>
      <c r="O916">
        <v>0</v>
      </c>
      <c r="P916" t="s">
        <v>61</v>
      </c>
      <c r="Q916">
        <v>1353</v>
      </c>
      <c r="R916" t="s">
        <v>53</v>
      </c>
      <c r="S916">
        <f>IF(support_tickets[[#This Row],[status_cleaned]]="closed",1,0)</f>
        <v>0</v>
      </c>
      <c r="T916" t="str">
        <f>TEXT(support_tickets[[#This Row],[opened_at]],"mmm yyyy")</f>
        <v>Jun 2024</v>
      </c>
      <c r="U916">
        <f>YEAR(support_tickets[[#This Row],[opened_at]])*100+MONTH(support_tickets[[#This Row],[opened_at]])</f>
        <v>202406</v>
      </c>
      <c r="V916" s="29">
        <f>DATE(YEAR(support_tickets[[#This Row],[opened_at]]),MONTH(support_tickets[[#This Row],[opened_at]]),1)</f>
        <v>45444</v>
      </c>
    </row>
    <row r="917" spans="1:22">
      <c r="A917">
        <v>9098746608</v>
      </c>
      <c r="B917">
        <v>639633807</v>
      </c>
      <c r="C917" t="s">
        <v>1517</v>
      </c>
      <c r="D917" t="s">
        <v>1518</v>
      </c>
      <c r="E917">
        <v>38538251</v>
      </c>
      <c r="G917" s="1">
        <v>45800.941099537034</v>
      </c>
      <c r="I917" t="s">
        <v>43</v>
      </c>
      <c r="J917" t="s">
        <v>19</v>
      </c>
      <c r="K917" t="s">
        <v>47</v>
      </c>
      <c r="L917" t="s">
        <v>34</v>
      </c>
      <c r="M917">
        <v>27</v>
      </c>
      <c r="O917">
        <v>0</v>
      </c>
      <c r="P917" t="s">
        <v>22</v>
      </c>
      <c r="Q917">
        <v>1367</v>
      </c>
      <c r="R917" t="s">
        <v>53</v>
      </c>
      <c r="S917">
        <f>IF(support_tickets[[#This Row],[status_cleaned]]="closed",1,0)</f>
        <v>0</v>
      </c>
      <c r="T917" t="str">
        <f>TEXT(support_tickets[[#This Row],[opened_at]],"mmm yyyy")</f>
        <v>May 2025</v>
      </c>
      <c r="U917">
        <f>YEAR(support_tickets[[#This Row],[opened_at]])*100+MONTH(support_tickets[[#This Row],[opened_at]])</f>
        <v>202505</v>
      </c>
      <c r="V917" s="29">
        <f>DATE(YEAR(support_tickets[[#This Row],[opened_at]]),MONTH(support_tickets[[#This Row],[opened_at]]),1)</f>
        <v>45778</v>
      </c>
    </row>
    <row r="918" spans="1:22">
      <c r="A918">
        <v>9132533231</v>
      </c>
      <c r="B918">
        <v>464090064</v>
      </c>
      <c r="C918" t="s">
        <v>1487</v>
      </c>
      <c r="D918" t="s">
        <v>1488</v>
      </c>
      <c r="E918">
        <v>18883684</v>
      </c>
      <c r="G918" s="1">
        <v>45896.530613425923</v>
      </c>
      <c r="I918" t="s">
        <v>52</v>
      </c>
      <c r="J918" t="s">
        <v>19</v>
      </c>
      <c r="K918" t="s">
        <v>47</v>
      </c>
      <c r="L918" t="s">
        <v>34</v>
      </c>
      <c r="M918">
        <v>82</v>
      </c>
      <c r="O918">
        <v>0</v>
      </c>
      <c r="P918" t="s">
        <v>22</v>
      </c>
      <c r="Q918">
        <v>1376</v>
      </c>
      <c r="R918" t="s">
        <v>53</v>
      </c>
      <c r="S918">
        <f>IF(support_tickets[[#This Row],[status_cleaned]]="closed",1,0)</f>
        <v>0</v>
      </c>
      <c r="T918" t="str">
        <f>TEXT(support_tickets[[#This Row],[opened_at]],"mmm yyyy")</f>
        <v>Aug 2025</v>
      </c>
      <c r="U918">
        <f>YEAR(support_tickets[[#This Row],[opened_at]])*100+MONTH(support_tickets[[#This Row],[opened_at]])</f>
        <v>202508</v>
      </c>
      <c r="V918" s="29">
        <f>DATE(YEAR(support_tickets[[#This Row],[opened_at]]),MONTH(support_tickets[[#This Row],[opened_at]]),1)</f>
        <v>45870</v>
      </c>
    </row>
    <row r="919" spans="1:22">
      <c r="A919">
        <v>9180203758</v>
      </c>
      <c r="B919">
        <v>703462253</v>
      </c>
      <c r="C919" t="s">
        <v>1523</v>
      </c>
      <c r="D919" t="s">
        <v>1524</v>
      </c>
      <c r="E919">
        <v>22448136</v>
      </c>
      <c r="F919">
        <v>7890723343</v>
      </c>
      <c r="G919" s="1">
        <v>45473.044166666667</v>
      </c>
      <c r="I919" t="s">
        <v>3</v>
      </c>
      <c r="J919" t="s">
        <v>30</v>
      </c>
      <c r="K919" t="s">
        <v>47</v>
      </c>
      <c r="L919" t="s">
        <v>34</v>
      </c>
      <c r="M919">
        <v>38</v>
      </c>
      <c r="O919">
        <v>0</v>
      </c>
      <c r="P919" t="s">
        <v>31</v>
      </c>
      <c r="Q919">
        <v>1383</v>
      </c>
      <c r="R919" t="s">
        <v>53</v>
      </c>
      <c r="S919">
        <f>IF(support_tickets[[#This Row],[status_cleaned]]="closed",1,0)</f>
        <v>0</v>
      </c>
      <c r="T919" t="str">
        <f>TEXT(support_tickets[[#This Row],[opened_at]],"mmm yyyy")</f>
        <v>Jun 2024</v>
      </c>
      <c r="U919">
        <f>YEAR(support_tickets[[#This Row],[opened_at]])*100+MONTH(support_tickets[[#This Row],[opened_at]])</f>
        <v>202406</v>
      </c>
      <c r="V919" s="29">
        <f>DATE(YEAR(support_tickets[[#This Row],[opened_at]]),MONTH(support_tickets[[#This Row],[opened_at]]),1)</f>
        <v>45444</v>
      </c>
    </row>
    <row r="920" spans="1:22">
      <c r="A920">
        <v>9560180877</v>
      </c>
      <c r="B920">
        <v>358303887</v>
      </c>
      <c r="C920" t="s">
        <v>797</v>
      </c>
      <c r="D920" t="s">
        <v>798</v>
      </c>
      <c r="E920">
        <v>39476249</v>
      </c>
      <c r="F920">
        <v>9130517572</v>
      </c>
      <c r="G920" s="1">
        <v>45736.730578703704</v>
      </c>
      <c r="H920" s="1">
        <v>45737.288912037038</v>
      </c>
      <c r="I920" t="s">
        <v>18</v>
      </c>
      <c r="J920" t="s">
        <v>19</v>
      </c>
      <c r="K920" t="s">
        <v>47</v>
      </c>
      <c r="L920" t="s">
        <v>34</v>
      </c>
      <c r="M920">
        <v>12</v>
      </c>
      <c r="N920">
        <v>804</v>
      </c>
      <c r="O920">
        <v>0</v>
      </c>
      <c r="P920" t="s">
        <v>22</v>
      </c>
      <c r="Q920">
        <v>1440</v>
      </c>
      <c r="R920" t="s">
        <v>53</v>
      </c>
      <c r="S920">
        <f>IF(support_tickets[[#This Row],[status_cleaned]]="closed",1,0)</f>
        <v>0</v>
      </c>
      <c r="T920" t="str">
        <f>TEXT(support_tickets[[#This Row],[opened_at]],"mmm yyyy")</f>
        <v>Mar 2025</v>
      </c>
      <c r="U920">
        <f>YEAR(support_tickets[[#This Row],[opened_at]])*100+MONTH(support_tickets[[#This Row],[opened_at]])</f>
        <v>202503</v>
      </c>
      <c r="V920" s="29">
        <f>DATE(YEAR(support_tickets[[#This Row],[opened_at]]),MONTH(support_tickets[[#This Row],[opened_at]]),1)</f>
        <v>45717</v>
      </c>
    </row>
    <row r="921" spans="1:22">
      <c r="A921">
        <v>9612824095</v>
      </c>
      <c r="B921">
        <v>187907572</v>
      </c>
      <c r="C921" t="s">
        <v>1555</v>
      </c>
      <c r="D921" t="s">
        <v>1556</v>
      </c>
      <c r="E921">
        <v>89978790</v>
      </c>
      <c r="G921" s="1">
        <v>45804.018425925926</v>
      </c>
      <c r="H921" s="1">
        <v>45804.90662037037</v>
      </c>
      <c r="I921" t="s">
        <v>18</v>
      </c>
      <c r="J921" t="s">
        <v>25</v>
      </c>
      <c r="K921" t="s">
        <v>47</v>
      </c>
      <c r="L921" t="s">
        <v>34</v>
      </c>
      <c r="M921">
        <v>35</v>
      </c>
      <c r="N921">
        <v>1279</v>
      </c>
      <c r="O921">
        <v>0</v>
      </c>
      <c r="P921" t="s">
        <v>27</v>
      </c>
      <c r="Q921">
        <v>1452</v>
      </c>
      <c r="R921" t="s">
        <v>53</v>
      </c>
      <c r="S921">
        <f>IF(support_tickets[[#This Row],[status_cleaned]]="closed",1,0)</f>
        <v>0</v>
      </c>
      <c r="T921" t="str">
        <f>TEXT(support_tickets[[#This Row],[opened_at]],"mmm yyyy")</f>
        <v>May 2025</v>
      </c>
      <c r="U921">
        <f>YEAR(support_tickets[[#This Row],[opened_at]])*100+MONTH(support_tickets[[#This Row],[opened_at]])</f>
        <v>202505</v>
      </c>
      <c r="V921" s="29">
        <f>DATE(YEAR(support_tickets[[#This Row],[opened_at]]),MONTH(support_tickets[[#This Row],[opened_at]]),1)</f>
        <v>45778</v>
      </c>
    </row>
    <row r="922" spans="1:22">
      <c r="A922">
        <v>9687275388</v>
      </c>
      <c r="B922">
        <v>823494111</v>
      </c>
      <c r="C922" t="s">
        <v>1563</v>
      </c>
      <c r="D922" t="s">
        <v>1564</v>
      </c>
      <c r="E922">
        <v>84252722</v>
      </c>
      <c r="G922" s="1">
        <v>45565.494351851848</v>
      </c>
      <c r="I922" t="s">
        <v>43</v>
      </c>
      <c r="J922" t="s">
        <v>86</v>
      </c>
      <c r="K922" t="s">
        <v>47</v>
      </c>
      <c r="L922" t="s">
        <v>34</v>
      </c>
      <c r="M922">
        <v>70</v>
      </c>
      <c r="O922">
        <v>0</v>
      </c>
      <c r="P922" t="s">
        <v>87</v>
      </c>
      <c r="Q922">
        <v>1466</v>
      </c>
      <c r="R922" t="s">
        <v>53</v>
      </c>
      <c r="S922">
        <f>IF(support_tickets[[#This Row],[status_cleaned]]="closed",1,0)</f>
        <v>0</v>
      </c>
      <c r="T922" t="str">
        <f>TEXT(support_tickets[[#This Row],[opened_at]],"mmm yyyy")</f>
        <v>Sep 2024</v>
      </c>
      <c r="U922">
        <f>YEAR(support_tickets[[#This Row],[opened_at]])*100+MONTH(support_tickets[[#This Row],[opened_at]])</f>
        <v>202409</v>
      </c>
      <c r="V922" s="29">
        <f>DATE(YEAR(support_tickets[[#This Row],[opened_at]]),MONTH(support_tickets[[#This Row],[opened_at]]),1)</f>
        <v>45536</v>
      </c>
    </row>
    <row r="923" spans="1:22">
      <c r="A923">
        <v>9804668445</v>
      </c>
      <c r="B923">
        <v>930071496</v>
      </c>
      <c r="C923" t="s">
        <v>1254</v>
      </c>
      <c r="D923" t="s">
        <v>1255</v>
      </c>
      <c r="E923">
        <v>45351479</v>
      </c>
      <c r="G923" s="1">
        <v>46107.44635416667</v>
      </c>
      <c r="I923" t="s">
        <v>3</v>
      </c>
      <c r="J923" t="s">
        <v>25</v>
      </c>
      <c r="K923" t="s">
        <v>47</v>
      </c>
      <c r="L923" t="s">
        <v>34</v>
      </c>
      <c r="M923">
        <v>80</v>
      </c>
      <c r="O923">
        <v>0</v>
      </c>
      <c r="P923" t="s">
        <v>27</v>
      </c>
      <c r="Q923">
        <v>1480</v>
      </c>
      <c r="R923" t="s">
        <v>53</v>
      </c>
      <c r="S923">
        <f>IF(support_tickets[[#This Row],[status_cleaned]]="closed",1,0)</f>
        <v>0</v>
      </c>
      <c r="T923" t="str">
        <f>TEXT(support_tickets[[#This Row],[opened_at]],"mmm yyyy")</f>
        <v>Mar 2026</v>
      </c>
      <c r="U923">
        <f>YEAR(support_tickets[[#This Row],[opened_at]])*100+MONTH(support_tickets[[#This Row],[opened_at]])</f>
        <v>202603</v>
      </c>
      <c r="V923" s="29">
        <f>DATE(YEAR(support_tickets[[#This Row],[opened_at]]),MONTH(support_tickets[[#This Row],[opened_at]]),1)</f>
        <v>46082</v>
      </c>
    </row>
    <row r="924" spans="1:22">
      <c r="A924">
        <v>9845473273</v>
      </c>
      <c r="B924">
        <v>442648079</v>
      </c>
      <c r="C924" t="s">
        <v>1206</v>
      </c>
      <c r="D924" t="s">
        <v>1207</v>
      </c>
      <c r="E924">
        <v>73791320</v>
      </c>
      <c r="F924">
        <v>1402153307</v>
      </c>
      <c r="G924" s="1">
        <v>45659.491388888891</v>
      </c>
      <c r="I924" t="s">
        <v>56</v>
      </c>
      <c r="J924" t="s">
        <v>25</v>
      </c>
      <c r="K924" t="s">
        <v>47</v>
      </c>
      <c r="L924" t="s">
        <v>34</v>
      </c>
      <c r="M924">
        <v>48</v>
      </c>
      <c r="O924">
        <v>0</v>
      </c>
      <c r="P924" t="s">
        <v>27</v>
      </c>
      <c r="Q924">
        <v>1486</v>
      </c>
      <c r="R924" t="s">
        <v>53</v>
      </c>
      <c r="S924">
        <f>IF(support_tickets[[#This Row],[status_cleaned]]="closed",1,0)</f>
        <v>0</v>
      </c>
      <c r="T924" t="str">
        <f>TEXT(support_tickets[[#This Row],[opened_at]],"mmm yyyy")</f>
        <v>Jan 2025</v>
      </c>
      <c r="U924">
        <f>YEAR(support_tickets[[#This Row],[opened_at]])*100+MONTH(support_tickets[[#This Row],[opened_at]])</f>
        <v>202501</v>
      </c>
      <c r="V924" s="29">
        <f>DATE(YEAR(support_tickets[[#This Row],[opened_at]]),MONTH(support_tickets[[#This Row],[opened_at]]),1)</f>
        <v>45658</v>
      </c>
    </row>
    <row r="925" spans="1:22">
      <c r="A925">
        <v>1113600611</v>
      </c>
      <c r="B925">
        <v>475364113</v>
      </c>
      <c r="C925" t="s">
        <v>80</v>
      </c>
      <c r="D925" t="s">
        <v>81</v>
      </c>
      <c r="E925">
        <v>80823176</v>
      </c>
      <c r="G925" s="1">
        <v>45584.061006944445</v>
      </c>
      <c r="I925" t="s">
        <v>46</v>
      </c>
      <c r="J925" t="s">
        <v>38</v>
      </c>
      <c r="K925" t="s">
        <v>47</v>
      </c>
      <c r="L925" t="s">
        <v>53</v>
      </c>
      <c r="M925">
        <v>31</v>
      </c>
      <c r="O925">
        <v>1</v>
      </c>
      <c r="P925" t="s">
        <v>40</v>
      </c>
      <c r="Q925">
        <v>20</v>
      </c>
      <c r="R925" t="s">
        <v>53</v>
      </c>
      <c r="S925">
        <f>IF(support_tickets[[#This Row],[status_cleaned]]="closed",1,0)</f>
        <v>0</v>
      </c>
      <c r="T925" t="str">
        <f>TEXT(support_tickets[[#This Row],[opened_at]],"mmm yyyy")</f>
        <v>Oct 2024</v>
      </c>
      <c r="U925">
        <f>YEAR(support_tickets[[#This Row],[opened_at]])*100+MONTH(support_tickets[[#This Row],[opened_at]])</f>
        <v>202410</v>
      </c>
      <c r="V925" s="29">
        <f>DATE(YEAR(support_tickets[[#This Row],[opened_at]]),MONTH(support_tickets[[#This Row],[opened_at]]),1)</f>
        <v>45566</v>
      </c>
    </row>
    <row r="926" spans="1:22">
      <c r="A926">
        <v>1159151675</v>
      </c>
      <c r="B926">
        <v>926178355</v>
      </c>
      <c r="C926" t="s">
        <v>102</v>
      </c>
      <c r="D926" t="s">
        <v>103</v>
      </c>
      <c r="E926">
        <v>91415657</v>
      </c>
      <c r="G926" s="1">
        <v>45365.151493055557</v>
      </c>
      <c r="I926" t="s">
        <v>37</v>
      </c>
      <c r="J926" t="s">
        <v>38</v>
      </c>
      <c r="K926" t="s">
        <v>47</v>
      </c>
      <c r="L926" t="s">
        <v>53</v>
      </c>
      <c r="M926">
        <v>12</v>
      </c>
      <c r="O926">
        <v>1</v>
      </c>
      <c r="P926" t="s">
        <v>40</v>
      </c>
      <c r="Q926">
        <v>30</v>
      </c>
      <c r="R926" t="s">
        <v>53</v>
      </c>
      <c r="S926">
        <f>IF(support_tickets[[#This Row],[status_cleaned]]="closed",1,0)</f>
        <v>0</v>
      </c>
      <c r="T926" t="str">
        <f>TEXT(support_tickets[[#This Row],[opened_at]],"mmm yyyy")</f>
        <v>Mar 2024</v>
      </c>
      <c r="U926">
        <f>YEAR(support_tickets[[#This Row],[opened_at]])*100+MONTH(support_tickets[[#This Row],[opened_at]])</f>
        <v>202403</v>
      </c>
      <c r="V926" s="29">
        <f>DATE(YEAR(support_tickets[[#This Row],[opened_at]]),MONTH(support_tickets[[#This Row],[opened_at]]),1)</f>
        <v>45352</v>
      </c>
    </row>
    <row r="927" spans="1:22">
      <c r="A927">
        <v>1322568010</v>
      </c>
      <c r="B927">
        <v>804086195</v>
      </c>
      <c r="C927" t="s">
        <v>160</v>
      </c>
      <c r="D927" t="s">
        <v>161</v>
      </c>
      <c r="E927">
        <v>59684848</v>
      </c>
      <c r="G927" s="1">
        <v>45570.245775462965</v>
      </c>
      <c r="I927" t="s">
        <v>43</v>
      </c>
      <c r="J927" t="s">
        <v>19</v>
      </c>
      <c r="K927" t="s">
        <v>47</v>
      </c>
      <c r="L927" t="s">
        <v>53</v>
      </c>
      <c r="M927">
        <v>35</v>
      </c>
      <c r="O927">
        <v>1</v>
      </c>
      <c r="P927" t="s">
        <v>22</v>
      </c>
      <c r="Q927">
        <v>61</v>
      </c>
      <c r="R927" t="s">
        <v>53</v>
      </c>
      <c r="S927">
        <f>IF(support_tickets[[#This Row],[status_cleaned]]="closed",1,0)</f>
        <v>0</v>
      </c>
      <c r="T927" t="str">
        <f>TEXT(support_tickets[[#This Row],[opened_at]],"mmm yyyy")</f>
        <v>Oct 2024</v>
      </c>
      <c r="U927">
        <f>YEAR(support_tickets[[#This Row],[opened_at]])*100+MONTH(support_tickets[[#This Row],[opened_at]])</f>
        <v>202410</v>
      </c>
      <c r="V927" s="29">
        <f>DATE(YEAR(support_tickets[[#This Row],[opened_at]]),MONTH(support_tickets[[#This Row],[opened_at]]),1)</f>
        <v>45566</v>
      </c>
    </row>
    <row r="928" spans="1:22">
      <c r="A928">
        <v>1356483054</v>
      </c>
      <c r="B928">
        <v>861639583</v>
      </c>
      <c r="C928" t="s">
        <v>164</v>
      </c>
      <c r="D928" t="s">
        <v>165</v>
      </c>
      <c r="E928">
        <v>61220073</v>
      </c>
      <c r="G928" s="1">
        <v>45349.237546296295</v>
      </c>
      <c r="I928" t="s">
        <v>46</v>
      </c>
      <c r="J928" t="s">
        <v>59</v>
      </c>
      <c r="K928" t="s">
        <v>47</v>
      </c>
      <c r="L928" t="s">
        <v>53</v>
      </c>
      <c r="M928">
        <v>47</v>
      </c>
      <c r="O928">
        <v>1</v>
      </c>
      <c r="P928" t="s">
        <v>61</v>
      </c>
      <c r="Q928">
        <v>63</v>
      </c>
      <c r="R928" t="s">
        <v>53</v>
      </c>
      <c r="S928">
        <f>IF(support_tickets[[#This Row],[status_cleaned]]="closed",1,0)</f>
        <v>0</v>
      </c>
      <c r="T928" t="str">
        <f>TEXT(support_tickets[[#This Row],[opened_at]],"mmm yyyy")</f>
        <v>Feb 2024</v>
      </c>
      <c r="U928">
        <f>YEAR(support_tickets[[#This Row],[opened_at]])*100+MONTH(support_tickets[[#This Row],[opened_at]])</f>
        <v>202402</v>
      </c>
      <c r="V928" s="29">
        <f>DATE(YEAR(support_tickets[[#This Row],[opened_at]]),MONTH(support_tickets[[#This Row],[opened_at]]),1)</f>
        <v>45323</v>
      </c>
    </row>
    <row r="929" spans="1:22">
      <c r="A929">
        <v>1555344321</v>
      </c>
      <c r="B929">
        <v>530986098</v>
      </c>
      <c r="C929" t="s">
        <v>216</v>
      </c>
      <c r="D929" t="s">
        <v>217</v>
      </c>
      <c r="E929">
        <v>60185867</v>
      </c>
      <c r="G929" s="1">
        <v>45877.817986111113</v>
      </c>
      <c r="I929" t="s">
        <v>3</v>
      </c>
      <c r="J929" t="s">
        <v>59</v>
      </c>
      <c r="K929" t="s">
        <v>47</v>
      </c>
      <c r="L929" t="s">
        <v>53</v>
      </c>
      <c r="M929">
        <v>25</v>
      </c>
      <c r="O929">
        <v>1</v>
      </c>
      <c r="P929" t="s">
        <v>61</v>
      </c>
      <c r="Q929">
        <v>93</v>
      </c>
      <c r="R929" t="s">
        <v>53</v>
      </c>
      <c r="S929">
        <f>IF(support_tickets[[#This Row],[status_cleaned]]="closed",1,0)</f>
        <v>0</v>
      </c>
      <c r="T929" t="str">
        <f>TEXT(support_tickets[[#This Row],[opened_at]],"mmm yyyy")</f>
        <v>Aug 2025</v>
      </c>
      <c r="U929">
        <f>YEAR(support_tickets[[#This Row],[opened_at]])*100+MONTH(support_tickets[[#This Row],[opened_at]])</f>
        <v>202508</v>
      </c>
      <c r="V929" s="29">
        <f>DATE(YEAR(support_tickets[[#This Row],[opened_at]]),MONTH(support_tickets[[#This Row],[opened_at]]),1)</f>
        <v>45870</v>
      </c>
    </row>
    <row r="930" spans="1:22">
      <c r="A930">
        <v>1619132743</v>
      </c>
      <c r="B930">
        <v>968704078</v>
      </c>
      <c r="C930" t="s">
        <v>244</v>
      </c>
      <c r="D930" t="s">
        <v>245</v>
      </c>
      <c r="E930">
        <v>75579548</v>
      </c>
      <c r="G930" s="1">
        <v>45809.858703703707</v>
      </c>
      <c r="I930" t="s">
        <v>52</v>
      </c>
      <c r="J930" t="s">
        <v>19</v>
      </c>
      <c r="K930" t="s">
        <v>47</v>
      </c>
      <c r="L930" t="s">
        <v>53</v>
      </c>
      <c r="M930">
        <v>40</v>
      </c>
      <c r="O930">
        <v>1</v>
      </c>
      <c r="P930" t="s">
        <v>22</v>
      </c>
      <c r="Q930">
        <v>109</v>
      </c>
      <c r="R930" t="s">
        <v>53</v>
      </c>
      <c r="S930">
        <f>IF(support_tickets[[#This Row],[status_cleaned]]="closed",1,0)</f>
        <v>0</v>
      </c>
      <c r="T930" t="str">
        <f>TEXT(support_tickets[[#This Row],[opened_at]],"mmm yyyy")</f>
        <v>Jun 2025</v>
      </c>
      <c r="U930">
        <f>YEAR(support_tickets[[#This Row],[opened_at]])*100+MONTH(support_tickets[[#This Row],[opened_at]])</f>
        <v>202506</v>
      </c>
      <c r="V930" s="29">
        <f>DATE(YEAR(support_tickets[[#This Row],[opened_at]]),MONTH(support_tickets[[#This Row],[opened_at]]),1)</f>
        <v>45809</v>
      </c>
    </row>
    <row r="931" spans="1:22">
      <c r="A931">
        <v>1774350839</v>
      </c>
      <c r="B931">
        <v>480412754</v>
      </c>
      <c r="C931" t="s">
        <v>314</v>
      </c>
      <c r="D931" t="s">
        <v>315</v>
      </c>
      <c r="E931">
        <v>61220073</v>
      </c>
      <c r="G931" s="1">
        <v>45846.453993055555</v>
      </c>
      <c r="I931" t="s">
        <v>37</v>
      </c>
      <c r="J931" t="s">
        <v>30</v>
      </c>
      <c r="K931" t="s">
        <v>47</v>
      </c>
      <c r="L931" t="s">
        <v>53</v>
      </c>
      <c r="M931">
        <v>38</v>
      </c>
      <c r="O931">
        <v>1</v>
      </c>
      <c r="P931" t="s">
        <v>31</v>
      </c>
      <c r="Q931">
        <v>148</v>
      </c>
      <c r="R931" t="s">
        <v>53</v>
      </c>
      <c r="S931">
        <f>IF(support_tickets[[#This Row],[status_cleaned]]="closed",1,0)</f>
        <v>0</v>
      </c>
      <c r="T931" t="str">
        <f>TEXT(support_tickets[[#This Row],[opened_at]],"mmm yyyy")</f>
        <v>Jul 2025</v>
      </c>
      <c r="U931">
        <f>YEAR(support_tickets[[#This Row],[opened_at]])*100+MONTH(support_tickets[[#This Row],[opened_at]])</f>
        <v>202507</v>
      </c>
      <c r="V931" s="29">
        <f>DATE(YEAR(support_tickets[[#This Row],[opened_at]]),MONTH(support_tickets[[#This Row],[opened_at]]),1)</f>
        <v>45839</v>
      </c>
    </row>
    <row r="932" spans="1:22">
      <c r="A932">
        <v>2143067209</v>
      </c>
      <c r="B932">
        <v>583156434</v>
      </c>
      <c r="C932" t="s">
        <v>420</v>
      </c>
      <c r="D932" t="s">
        <v>421</v>
      </c>
      <c r="E932">
        <v>66306997</v>
      </c>
      <c r="G932" s="1">
        <v>45496.313530092593</v>
      </c>
      <c r="I932" t="s">
        <v>46</v>
      </c>
      <c r="J932" t="s">
        <v>30</v>
      </c>
      <c r="K932" t="s">
        <v>47</v>
      </c>
      <c r="L932" t="s">
        <v>53</v>
      </c>
      <c r="M932">
        <v>39</v>
      </c>
      <c r="O932">
        <v>1</v>
      </c>
      <c r="P932" t="s">
        <v>31</v>
      </c>
      <c r="Q932">
        <v>212</v>
      </c>
      <c r="R932" t="s">
        <v>53</v>
      </c>
      <c r="S932">
        <f>IF(support_tickets[[#This Row],[status_cleaned]]="closed",1,0)</f>
        <v>0</v>
      </c>
      <c r="T932" t="str">
        <f>TEXT(support_tickets[[#This Row],[opened_at]],"mmm yyyy")</f>
        <v>Jul 2024</v>
      </c>
      <c r="U932">
        <f>YEAR(support_tickets[[#This Row],[opened_at]])*100+MONTH(support_tickets[[#This Row],[opened_at]])</f>
        <v>202407</v>
      </c>
      <c r="V932" s="29">
        <f>DATE(YEAR(support_tickets[[#This Row],[opened_at]]),MONTH(support_tickets[[#This Row],[opened_at]]),1)</f>
        <v>45474</v>
      </c>
    </row>
    <row r="933" spans="1:22">
      <c r="A933">
        <v>2168709536</v>
      </c>
      <c r="B933">
        <v>355164255</v>
      </c>
      <c r="C933" t="s">
        <v>426</v>
      </c>
      <c r="D933" t="s">
        <v>427</v>
      </c>
      <c r="E933">
        <v>96282117</v>
      </c>
      <c r="F933">
        <v>9130280665</v>
      </c>
      <c r="G933" s="1">
        <v>46052.185532407406</v>
      </c>
      <c r="I933" t="s">
        <v>18</v>
      </c>
      <c r="J933" t="s">
        <v>30</v>
      </c>
      <c r="K933" t="s">
        <v>47</v>
      </c>
      <c r="L933" t="s">
        <v>53</v>
      </c>
      <c r="M933">
        <v>53</v>
      </c>
      <c r="O933">
        <v>1</v>
      </c>
      <c r="P933" t="s">
        <v>31</v>
      </c>
      <c r="Q933">
        <v>217</v>
      </c>
      <c r="R933" t="s">
        <v>53</v>
      </c>
      <c r="S933">
        <f>IF(support_tickets[[#This Row],[status_cleaned]]="closed",1,0)</f>
        <v>0</v>
      </c>
      <c r="T933" t="str">
        <f>TEXT(support_tickets[[#This Row],[opened_at]],"mmm yyyy")</f>
        <v>Jan 2026</v>
      </c>
      <c r="U933">
        <f>YEAR(support_tickets[[#This Row],[opened_at]])*100+MONTH(support_tickets[[#This Row],[opened_at]])</f>
        <v>202601</v>
      </c>
      <c r="V933" s="29">
        <f>DATE(YEAR(support_tickets[[#This Row],[opened_at]]),MONTH(support_tickets[[#This Row],[opened_at]]),1)</f>
        <v>46023</v>
      </c>
    </row>
    <row r="934" spans="1:22">
      <c r="A934">
        <v>2257497047</v>
      </c>
      <c r="B934">
        <v>928917719</v>
      </c>
      <c r="C934" t="s">
        <v>408</v>
      </c>
      <c r="D934" t="s">
        <v>409</v>
      </c>
      <c r="E934">
        <v>30513739</v>
      </c>
      <c r="G934" s="1">
        <v>45894.601597222223</v>
      </c>
      <c r="I934" t="s">
        <v>52</v>
      </c>
      <c r="J934" t="s">
        <v>25</v>
      </c>
      <c r="K934" t="s">
        <v>47</v>
      </c>
      <c r="L934" t="s">
        <v>53</v>
      </c>
      <c r="M934">
        <v>48</v>
      </c>
      <c r="O934">
        <v>1</v>
      </c>
      <c r="P934" t="s">
        <v>27</v>
      </c>
      <c r="Q934">
        <v>233</v>
      </c>
      <c r="R934" t="s">
        <v>53</v>
      </c>
      <c r="S934">
        <f>IF(support_tickets[[#This Row],[status_cleaned]]="closed",1,0)</f>
        <v>0</v>
      </c>
      <c r="T934" t="str">
        <f>TEXT(support_tickets[[#This Row],[opened_at]],"mmm yyyy")</f>
        <v>Aug 2025</v>
      </c>
      <c r="U934">
        <f>YEAR(support_tickets[[#This Row],[opened_at]])*100+MONTH(support_tickets[[#This Row],[opened_at]])</f>
        <v>202508</v>
      </c>
      <c r="V934" s="29">
        <f>DATE(YEAR(support_tickets[[#This Row],[opened_at]]),MONTH(support_tickets[[#This Row],[opened_at]]),1)</f>
        <v>45870</v>
      </c>
    </row>
    <row r="935" spans="1:22">
      <c r="A935">
        <v>2327342139</v>
      </c>
      <c r="B935">
        <v>905196831</v>
      </c>
      <c r="C935" t="s">
        <v>234</v>
      </c>
      <c r="D935" t="s">
        <v>235</v>
      </c>
      <c r="E935">
        <v>76238574</v>
      </c>
      <c r="G935" s="1">
        <v>45719.360821759263</v>
      </c>
      <c r="I935" t="s">
        <v>37</v>
      </c>
      <c r="J935" t="s">
        <v>86</v>
      </c>
      <c r="K935" t="s">
        <v>47</v>
      </c>
      <c r="L935" t="s">
        <v>53</v>
      </c>
      <c r="M935">
        <v>46</v>
      </c>
      <c r="O935">
        <v>1</v>
      </c>
      <c r="P935" t="s">
        <v>87</v>
      </c>
      <c r="Q935">
        <v>242</v>
      </c>
      <c r="R935" t="s">
        <v>53</v>
      </c>
      <c r="S935">
        <f>IF(support_tickets[[#This Row],[status_cleaned]]="closed",1,0)</f>
        <v>0</v>
      </c>
      <c r="T935" t="str">
        <f>TEXT(support_tickets[[#This Row],[opened_at]],"mmm yyyy")</f>
        <v>Mar 2025</v>
      </c>
      <c r="U935">
        <f>YEAR(support_tickets[[#This Row],[opened_at]])*100+MONTH(support_tickets[[#This Row],[opened_at]])</f>
        <v>202503</v>
      </c>
      <c r="V935" s="29">
        <f>DATE(YEAR(support_tickets[[#This Row],[opened_at]]),MONTH(support_tickets[[#This Row],[opened_at]]),1)</f>
        <v>45717</v>
      </c>
    </row>
    <row r="936" spans="1:22">
      <c r="A936">
        <v>2396079090</v>
      </c>
      <c r="B936">
        <v>287974375</v>
      </c>
      <c r="C936" t="s">
        <v>422</v>
      </c>
      <c r="D936" t="s">
        <v>423</v>
      </c>
      <c r="E936">
        <v>20709497</v>
      </c>
      <c r="F936">
        <v>3803069611</v>
      </c>
      <c r="G936" s="1">
        <v>45358.563969907409</v>
      </c>
      <c r="I936" t="s">
        <v>43</v>
      </c>
      <c r="J936" t="s">
        <v>25</v>
      </c>
      <c r="K936" t="s">
        <v>47</v>
      </c>
      <c r="L936" t="s">
        <v>53</v>
      </c>
      <c r="M936">
        <v>1</v>
      </c>
      <c r="O936">
        <v>1</v>
      </c>
      <c r="P936" t="s">
        <v>27</v>
      </c>
      <c r="Q936">
        <v>253</v>
      </c>
      <c r="R936" t="s">
        <v>53</v>
      </c>
      <c r="S936">
        <f>IF(support_tickets[[#This Row],[status_cleaned]]="closed",1,0)</f>
        <v>0</v>
      </c>
      <c r="T936" t="str">
        <f>TEXT(support_tickets[[#This Row],[opened_at]],"mmm yyyy")</f>
        <v>Mar 2024</v>
      </c>
      <c r="U936">
        <f>YEAR(support_tickets[[#This Row],[opened_at]])*100+MONTH(support_tickets[[#This Row],[opened_at]])</f>
        <v>202403</v>
      </c>
      <c r="V936" s="29">
        <f>DATE(YEAR(support_tickets[[#This Row],[opened_at]]),MONTH(support_tickets[[#This Row],[opened_at]]),1)</f>
        <v>45352</v>
      </c>
    </row>
    <row r="937" spans="1:22">
      <c r="A937">
        <v>2500493518</v>
      </c>
      <c r="B937">
        <v>604803700</v>
      </c>
      <c r="C937" t="s">
        <v>502</v>
      </c>
      <c r="D937" t="s">
        <v>503</v>
      </c>
      <c r="E937">
        <v>58586340</v>
      </c>
      <c r="F937">
        <v>2112658672</v>
      </c>
      <c r="G937" s="1">
        <v>45936.896724537037</v>
      </c>
      <c r="I937" t="s">
        <v>18</v>
      </c>
      <c r="J937" t="s">
        <v>38</v>
      </c>
      <c r="K937" t="s">
        <v>47</v>
      </c>
      <c r="L937" t="s">
        <v>53</v>
      </c>
      <c r="M937">
        <v>22</v>
      </c>
      <c r="O937">
        <v>1</v>
      </c>
      <c r="P937" t="s">
        <v>40</v>
      </c>
      <c r="Q937">
        <v>271</v>
      </c>
      <c r="R937" t="s">
        <v>53</v>
      </c>
      <c r="S937">
        <f>IF(support_tickets[[#This Row],[status_cleaned]]="closed",1,0)</f>
        <v>0</v>
      </c>
      <c r="T937" t="str">
        <f>TEXT(support_tickets[[#This Row],[opened_at]],"mmm yyyy")</f>
        <v>Oct 2025</v>
      </c>
      <c r="U937">
        <f>YEAR(support_tickets[[#This Row],[opened_at]])*100+MONTH(support_tickets[[#This Row],[opened_at]])</f>
        <v>202510</v>
      </c>
      <c r="V937" s="29">
        <f>DATE(YEAR(support_tickets[[#This Row],[opened_at]]),MONTH(support_tickets[[#This Row],[opened_at]]),1)</f>
        <v>45931</v>
      </c>
    </row>
    <row r="938" spans="1:22">
      <c r="A938">
        <v>2559154043</v>
      </c>
      <c r="B938">
        <v>182855381</v>
      </c>
      <c r="C938" t="s">
        <v>524</v>
      </c>
      <c r="D938" t="s">
        <v>525</v>
      </c>
      <c r="E938">
        <v>45264581</v>
      </c>
      <c r="G938" s="1">
        <v>45999.141817129632</v>
      </c>
      <c r="I938" t="s">
        <v>43</v>
      </c>
      <c r="J938" t="s">
        <v>59</v>
      </c>
      <c r="K938" t="s">
        <v>47</v>
      </c>
      <c r="L938" t="s">
        <v>53</v>
      </c>
      <c r="M938">
        <v>64</v>
      </c>
      <c r="O938">
        <v>1</v>
      </c>
      <c r="P938" t="s">
        <v>61</v>
      </c>
      <c r="Q938">
        <v>283</v>
      </c>
      <c r="R938" t="s">
        <v>53</v>
      </c>
      <c r="S938">
        <f>IF(support_tickets[[#This Row],[status_cleaned]]="closed",1,0)</f>
        <v>0</v>
      </c>
      <c r="T938" t="str">
        <f>TEXT(support_tickets[[#This Row],[opened_at]],"mmm yyyy")</f>
        <v>Dec 2025</v>
      </c>
      <c r="U938">
        <f>YEAR(support_tickets[[#This Row],[opened_at]])*100+MONTH(support_tickets[[#This Row],[opened_at]])</f>
        <v>202512</v>
      </c>
      <c r="V938" s="29">
        <f>DATE(YEAR(support_tickets[[#This Row],[opened_at]]),MONTH(support_tickets[[#This Row],[opened_at]]),1)</f>
        <v>45992</v>
      </c>
    </row>
    <row r="939" spans="1:22">
      <c r="A939">
        <v>2726821602</v>
      </c>
      <c r="B939">
        <v>756007396</v>
      </c>
      <c r="C939" t="s">
        <v>560</v>
      </c>
      <c r="D939" t="s">
        <v>561</v>
      </c>
      <c r="E939">
        <v>49392920</v>
      </c>
      <c r="F939">
        <v>8972930896</v>
      </c>
      <c r="G939" s="1">
        <v>45878.790173611109</v>
      </c>
      <c r="I939" t="s">
        <v>43</v>
      </c>
      <c r="J939" t="s">
        <v>30</v>
      </c>
      <c r="K939" t="s">
        <v>47</v>
      </c>
      <c r="L939" t="s">
        <v>53</v>
      </c>
      <c r="M939">
        <v>3</v>
      </c>
      <c r="O939">
        <v>1</v>
      </c>
      <c r="P939" t="s">
        <v>31</v>
      </c>
      <c r="Q939">
        <v>310</v>
      </c>
      <c r="R939" t="s">
        <v>53</v>
      </c>
      <c r="S939">
        <f>IF(support_tickets[[#This Row],[status_cleaned]]="closed",1,0)</f>
        <v>0</v>
      </c>
      <c r="T939" t="str">
        <f>TEXT(support_tickets[[#This Row],[opened_at]],"mmm yyyy")</f>
        <v>Aug 2025</v>
      </c>
      <c r="U939">
        <f>YEAR(support_tickets[[#This Row],[opened_at]])*100+MONTH(support_tickets[[#This Row],[opened_at]])</f>
        <v>202508</v>
      </c>
      <c r="V939" s="29">
        <f>DATE(YEAR(support_tickets[[#This Row],[opened_at]]),MONTH(support_tickets[[#This Row],[opened_at]]),1)</f>
        <v>45870</v>
      </c>
    </row>
    <row r="940" spans="1:22">
      <c r="A940">
        <v>2762511121</v>
      </c>
      <c r="B940">
        <v>668503222</v>
      </c>
      <c r="C940" t="s">
        <v>566</v>
      </c>
      <c r="D940" t="s">
        <v>567</v>
      </c>
      <c r="E940">
        <v>10872248</v>
      </c>
      <c r="G940" s="1">
        <v>46107.226770833331</v>
      </c>
      <c r="I940" t="s">
        <v>46</v>
      </c>
      <c r="J940" t="s">
        <v>25</v>
      </c>
      <c r="K940" t="s">
        <v>47</v>
      </c>
      <c r="L940" t="s">
        <v>53</v>
      </c>
      <c r="M940">
        <v>31</v>
      </c>
      <c r="O940">
        <v>1</v>
      </c>
      <c r="P940" t="s">
        <v>27</v>
      </c>
      <c r="Q940">
        <v>317</v>
      </c>
      <c r="R940" t="s">
        <v>53</v>
      </c>
      <c r="S940">
        <f>IF(support_tickets[[#This Row],[status_cleaned]]="closed",1,0)</f>
        <v>0</v>
      </c>
      <c r="T940" t="str">
        <f>TEXT(support_tickets[[#This Row],[opened_at]],"mmm yyyy")</f>
        <v>Mar 2026</v>
      </c>
      <c r="U940">
        <f>YEAR(support_tickets[[#This Row],[opened_at]])*100+MONTH(support_tickets[[#This Row],[opened_at]])</f>
        <v>202603</v>
      </c>
      <c r="V940" s="29">
        <f>DATE(YEAR(support_tickets[[#This Row],[opened_at]]),MONTH(support_tickets[[#This Row],[opened_at]]),1)</f>
        <v>46082</v>
      </c>
    </row>
    <row r="941" spans="1:22">
      <c r="A941">
        <v>2832897650</v>
      </c>
      <c r="B941">
        <v>916757816</v>
      </c>
      <c r="C941" t="s">
        <v>582</v>
      </c>
      <c r="D941" t="s">
        <v>583</v>
      </c>
      <c r="E941">
        <v>53507489</v>
      </c>
      <c r="G941" s="1">
        <v>45695.115370370368</v>
      </c>
      <c r="I941" t="s">
        <v>43</v>
      </c>
      <c r="J941" t="s">
        <v>30</v>
      </c>
      <c r="K941" t="s">
        <v>47</v>
      </c>
      <c r="L941" t="s">
        <v>53</v>
      </c>
      <c r="M941">
        <v>24</v>
      </c>
      <c r="O941">
        <v>1</v>
      </c>
      <c r="P941" t="s">
        <v>31</v>
      </c>
      <c r="Q941">
        <v>328</v>
      </c>
      <c r="R941" t="s">
        <v>53</v>
      </c>
      <c r="S941">
        <f>IF(support_tickets[[#This Row],[status_cleaned]]="closed",1,0)</f>
        <v>0</v>
      </c>
      <c r="T941" t="str">
        <f>TEXT(support_tickets[[#This Row],[opened_at]],"mmm yyyy")</f>
        <v>Feb 2025</v>
      </c>
      <c r="U941">
        <f>YEAR(support_tickets[[#This Row],[opened_at]])*100+MONTH(support_tickets[[#This Row],[opened_at]])</f>
        <v>202502</v>
      </c>
      <c r="V941" s="29">
        <f>DATE(YEAR(support_tickets[[#This Row],[opened_at]]),MONTH(support_tickets[[#This Row],[opened_at]]),1)</f>
        <v>45689</v>
      </c>
    </row>
    <row r="942" spans="1:22">
      <c r="A942">
        <v>3108657073</v>
      </c>
      <c r="B942">
        <v>141127742</v>
      </c>
      <c r="C942" t="s">
        <v>656</v>
      </c>
      <c r="D942" t="s">
        <v>657</v>
      </c>
      <c r="E942">
        <v>28566572</v>
      </c>
      <c r="G942" s="1">
        <v>45294.835011574076</v>
      </c>
      <c r="I942" t="s">
        <v>52</v>
      </c>
      <c r="J942" t="s">
        <v>59</v>
      </c>
      <c r="K942" t="s">
        <v>47</v>
      </c>
      <c r="L942" t="s">
        <v>53</v>
      </c>
      <c r="M942">
        <v>38</v>
      </c>
      <c r="O942">
        <v>1</v>
      </c>
      <c r="P942" t="s">
        <v>61</v>
      </c>
      <c r="Q942">
        <v>381</v>
      </c>
      <c r="R942" t="s">
        <v>53</v>
      </c>
      <c r="S942">
        <f>IF(support_tickets[[#This Row],[status_cleaned]]="closed",1,0)</f>
        <v>0</v>
      </c>
      <c r="T942" t="str">
        <f>TEXT(support_tickets[[#This Row],[opened_at]],"mmm yyyy")</f>
        <v>Jan 2024</v>
      </c>
      <c r="U942">
        <f>YEAR(support_tickets[[#This Row],[opened_at]])*100+MONTH(support_tickets[[#This Row],[opened_at]])</f>
        <v>202401</v>
      </c>
      <c r="V942" s="29">
        <f>DATE(YEAR(support_tickets[[#This Row],[opened_at]]),MONTH(support_tickets[[#This Row],[opened_at]]),1)</f>
        <v>45292</v>
      </c>
    </row>
    <row r="943" spans="1:22">
      <c r="A943">
        <v>3238708828</v>
      </c>
      <c r="B943">
        <v>975535611</v>
      </c>
      <c r="C943" t="s">
        <v>678</v>
      </c>
      <c r="D943" t="s">
        <v>679</v>
      </c>
      <c r="E943">
        <v>45503389</v>
      </c>
      <c r="G943" s="1">
        <v>45828.523576388892</v>
      </c>
      <c r="I943" t="s">
        <v>18</v>
      </c>
      <c r="J943" t="s">
        <v>38</v>
      </c>
      <c r="K943" t="s">
        <v>47</v>
      </c>
      <c r="L943" t="s">
        <v>53</v>
      </c>
      <c r="M943">
        <v>60</v>
      </c>
      <c r="O943">
        <v>1</v>
      </c>
      <c r="P943" t="s">
        <v>40</v>
      </c>
      <c r="Q943">
        <v>401</v>
      </c>
      <c r="R943" t="s">
        <v>53</v>
      </c>
      <c r="S943">
        <f>IF(support_tickets[[#This Row],[status_cleaned]]="closed",1,0)</f>
        <v>0</v>
      </c>
      <c r="T943" t="str">
        <f>TEXT(support_tickets[[#This Row],[opened_at]],"mmm yyyy")</f>
        <v>Jun 2025</v>
      </c>
      <c r="U943">
        <f>YEAR(support_tickets[[#This Row],[opened_at]])*100+MONTH(support_tickets[[#This Row],[opened_at]])</f>
        <v>202506</v>
      </c>
      <c r="V943" s="29">
        <f>DATE(YEAR(support_tickets[[#This Row],[opened_at]]),MONTH(support_tickets[[#This Row],[opened_at]]),1)</f>
        <v>45809</v>
      </c>
    </row>
    <row r="944" spans="1:22">
      <c r="A944">
        <v>3314002068</v>
      </c>
      <c r="B944">
        <v>737506993</v>
      </c>
      <c r="C944" t="s">
        <v>702</v>
      </c>
      <c r="D944" t="s">
        <v>703</v>
      </c>
      <c r="E944">
        <v>13561597</v>
      </c>
      <c r="G944" s="1">
        <v>45615.309016203704</v>
      </c>
      <c r="I944" t="s">
        <v>46</v>
      </c>
      <c r="J944" t="s">
        <v>25</v>
      </c>
      <c r="K944" t="s">
        <v>47</v>
      </c>
      <c r="L944" t="s">
        <v>53</v>
      </c>
      <c r="M944">
        <v>57</v>
      </c>
      <c r="O944">
        <v>1</v>
      </c>
      <c r="P944" t="s">
        <v>27</v>
      </c>
      <c r="Q944">
        <v>416</v>
      </c>
      <c r="R944" t="s">
        <v>53</v>
      </c>
      <c r="S944">
        <f>IF(support_tickets[[#This Row],[status_cleaned]]="closed",1,0)</f>
        <v>0</v>
      </c>
      <c r="T944" t="str">
        <f>TEXT(support_tickets[[#This Row],[opened_at]],"mmm yyyy")</f>
        <v>Nov 2024</v>
      </c>
      <c r="U944">
        <f>YEAR(support_tickets[[#This Row],[opened_at]])*100+MONTH(support_tickets[[#This Row],[opened_at]])</f>
        <v>202411</v>
      </c>
      <c r="V944" s="29">
        <f>DATE(YEAR(support_tickets[[#This Row],[opened_at]]),MONTH(support_tickets[[#This Row],[opened_at]]),1)</f>
        <v>45597</v>
      </c>
    </row>
    <row r="945" spans="1:22">
      <c r="A945">
        <v>3326257337</v>
      </c>
      <c r="B945">
        <v>406084084</v>
      </c>
      <c r="C945" t="s">
        <v>23</v>
      </c>
      <c r="D945" t="s">
        <v>24</v>
      </c>
      <c r="E945">
        <v>36687537</v>
      </c>
      <c r="G945" s="1">
        <v>45818.887002314812</v>
      </c>
      <c r="I945" t="s">
        <v>52</v>
      </c>
      <c r="J945" t="s">
        <v>25</v>
      </c>
      <c r="K945" t="s">
        <v>47</v>
      </c>
      <c r="L945" t="s">
        <v>53</v>
      </c>
      <c r="M945">
        <v>49</v>
      </c>
      <c r="O945">
        <v>1</v>
      </c>
      <c r="P945" t="s">
        <v>27</v>
      </c>
      <c r="Q945">
        <v>421</v>
      </c>
      <c r="R945" t="s">
        <v>53</v>
      </c>
      <c r="S945">
        <f>IF(support_tickets[[#This Row],[status_cleaned]]="closed",1,0)</f>
        <v>0</v>
      </c>
      <c r="T945" t="str">
        <f>TEXT(support_tickets[[#This Row],[opened_at]],"mmm yyyy")</f>
        <v>Jun 2025</v>
      </c>
      <c r="U945">
        <f>YEAR(support_tickets[[#This Row],[opened_at]])*100+MONTH(support_tickets[[#This Row],[opened_at]])</f>
        <v>202506</v>
      </c>
      <c r="V945" s="29">
        <f>DATE(YEAR(support_tickets[[#This Row],[opened_at]]),MONTH(support_tickets[[#This Row],[opened_at]]),1)</f>
        <v>45809</v>
      </c>
    </row>
    <row r="946" spans="1:22">
      <c r="A946">
        <v>3650098209</v>
      </c>
      <c r="B946">
        <v>410315830</v>
      </c>
      <c r="C946" t="s">
        <v>784</v>
      </c>
      <c r="D946" t="s">
        <v>785</v>
      </c>
      <c r="E946">
        <v>28566572</v>
      </c>
      <c r="F946">
        <v>6730698191</v>
      </c>
      <c r="G946" s="1">
        <v>45708.487662037034</v>
      </c>
      <c r="I946" t="s">
        <v>18</v>
      </c>
      <c r="J946" t="s">
        <v>25</v>
      </c>
      <c r="K946" t="s">
        <v>47</v>
      </c>
      <c r="L946" t="s">
        <v>53</v>
      </c>
      <c r="M946">
        <v>65</v>
      </c>
      <c r="O946">
        <v>1</v>
      </c>
      <c r="P946" t="s">
        <v>27</v>
      </c>
      <c r="Q946">
        <v>474</v>
      </c>
      <c r="R946" t="s">
        <v>53</v>
      </c>
      <c r="S946">
        <f>IF(support_tickets[[#This Row],[status_cleaned]]="closed",1,0)</f>
        <v>0</v>
      </c>
      <c r="T946" t="str">
        <f>TEXT(support_tickets[[#This Row],[opened_at]],"mmm yyyy")</f>
        <v>Feb 2025</v>
      </c>
      <c r="U946">
        <f>YEAR(support_tickets[[#This Row],[opened_at]])*100+MONTH(support_tickets[[#This Row],[opened_at]])</f>
        <v>202502</v>
      </c>
      <c r="V946" s="29">
        <f>DATE(YEAR(support_tickets[[#This Row],[opened_at]]),MONTH(support_tickets[[#This Row],[opened_at]]),1)</f>
        <v>45689</v>
      </c>
    </row>
    <row r="947" spans="1:22">
      <c r="A947">
        <v>3683926974</v>
      </c>
      <c r="B947">
        <v>599714064</v>
      </c>
      <c r="C947" t="s">
        <v>791</v>
      </c>
      <c r="D947" t="s">
        <v>792</v>
      </c>
      <c r="E947">
        <v>85329037</v>
      </c>
      <c r="F947">
        <v>6805631767</v>
      </c>
      <c r="G947" s="1">
        <v>45466.37877314815</v>
      </c>
      <c r="I947" t="s">
        <v>46</v>
      </c>
      <c r="J947" t="s">
        <v>25</v>
      </c>
      <c r="K947" t="s">
        <v>47</v>
      </c>
      <c r="L947" t="s">
        <v>53</v>
      </c>
      <c r="M947">
        <v>23</v>
      </c>
      <c r="O947">
        <v>1</v>
      </c>
      <c r="P947" t="s">
        <v>27</v>
      </c>
      <c r="Q947">
        <v>480</v>
      </c>
      <c r="R947" t="s">
        <v>53</v>
      </c>
      <c r="S947">
        <f>IF(support_tickets[[#This Row],[status_cleaned]]="closed",1,0)</f>
        <v>0</v>
      </c>
      <c r="T947" t="str">
        <f>TEXT(support_tickets[[#This Row],[opened_at]],"mmm yyyy")</f>
        <v>Jun 2024</v>
      </c>
      <c r="U947">
        <f>YEAR(support_tickets[[#This Row],[opened_at]])*100+MONTH(support_tickets[[#This Row],[opened_at]])</f>
        <v>202406</v>
      </c>
      <c r="V947" s="29">
        <f>DATE(YEAR(support_tickets[[#This Row],[opened_at]]),MONTH(support_tickets[[#This Row],[opened_at]]),1)</f>
        <v>45444</v>
      </c>
    </row>
    <row r="948" spans="1:22">
      <c r="A948">
        <v>4109623562</v>
      </c>
      <c r="B948">
        <v>888340979</v>
      </c>
      <c r="C948" t="s">
        <v>866</v>
      </c>
      <c r="D948" t="s">
        <v>867</v>
      </c>
      <c r="E948">
        <v>86149359</v>
      </c>
      <c r="G948" s="1">
        <v>45405.063958333332</v>
      </c>
      <c r="I948" t="s">
        <v>46</v>
      </c>
      <c r="J948" t="s">
        <v>38</v>
      </c>
      <c r="K948" t="s">
        <v>47</v>
      </c>
      <c r="L948" t="s">
        <v>53</v>
      </c>
      <c r="M948">
        <v>8</v>
      </c>
      <c r="O948">
        <v>1</v>
      </c>
      <c r="P948" t="s">
        <v>40</v>
      </c>
      <c r="Q948">
        <v>538</v>
      </c>
      <c r="R948" t="s">
        <v>53</v>
      </c>
      <c r="S948">
        <f>IF(support_tickets[[#This Row],[status_cleaned]]="closed",1,0)</f>
        <v>0</v>
      </c>
      <c r="T948" t="str">
        <f>TEXT(support_tickets[[#This Row],[opened_at]],"mmm yyyy")</f>
        <v>Apr 2024</v>
      </c>
      <c r="U948">
        <f>YEAR(support_tickets[[#This Row],[opened_at]])*100+MONTH(support_tickets[[#This Row],[opened_at]])</f>
        <v>202404</v>
      </c>
      <c r="V948" s="29">
        <f>DATE(YEAR(support_tickets[[#This Row],[opened_at]]),MONTH(support_tickets[[#This Row],[opened_at]]),1)</f>
        <v>45383</v>
      </c>
    </row>
    <row r="949" spans="1:22">
      <c r="A949">
        <v>4197230378</v>
      </c>
      <c r="B949">
        <v>905196831</v>
      </c>
      <c r="C949" t="s">
        <v>234</v>
      </c>
      <c r="D949" t="s">
        <v>235</v>
      </c>
      <c r="E949">
        <v>96028436</v>
      </c>
      <c r="G949" s="1">
        <v>45679.280185185184</v>
      </c>
      <c r="I949" t="s">
        <v>43</v>
      </c>
      <c r="J949" t="s">
        <v>38</v>
      </c>
      <c r="K949" t="s">
        <v>47</v>
      </c>
      <c r="L949" t="s">
        <v>53</v>
      </c>
      <c r="M949">
        <v>66</v>
      </c>
      <c r="O949">
        <v>1</v>
      </c>
      <c r="P949" t="s">
        <v>40</v>
      </c>
      <c r="Q949">
        <v>549</v>
      </c>
      <c r="R949" t="s">
        <v>53</v>
      </c>
      <c r="S949">
        <f>IF(support_tickets[[#This Row],[status_cleaned]]="closed",1,0)</f>
        <v>0</v>
      </c>
      <c r="T949" t="str">
        <f>TEXT(support_tickets[[#This Row],[opened_at]],"mmm yyyy")</f>
        <v>Jan 2025</v>
      </c>
      <c r="U949">
        <f>YEAR(support_tickets[[#This Row],[opened_at]])*100+MONTH(support_tickets[[#This Row],[opened_at]])</f>
        <v>202501</v>
      </c>
      <c r="V949" s="29">
        <f>DATE(YEAR(support_tickets[[#This Row],[opened_at]]),MONTH(support_tickets[[#This Row],[opened_at]]),1)</f>
        <v>45658</v>
      </c>
    </row>
    <row r="950" spans="1:22">
      <c r="A950">
        <v>4210653582</v>
      </c>
      <c r="B950">
        <v>721132087</v>
      </c>
      <c r="C950" t="s">
        <v>878</v>
      </c>
      <c r="D950" t="s">
        <v>879</v>
      </c>
      <c r="E950">
        <v>23718431</v>
      </c>
      <c r="F950">
        <v>4917221541</v>
      </c>
      <c r="G950" s="1">
        <v>46063.470879629633</v>
      </c>
      <c r="I950" t="s">
        <v>46</v>
      </c>
      <c r="J950" t="s">
        <v>86</v>
      </c>
      <c r="K950" t="s">
        <v>47</v>
      </c>
      <c r="L950" t="s">
        <v>53</v>
      </c>
      <c r="M950">
        <v>59</v>
      </c>
      <c r="O950">
        <v>1</v>
      </c>
      <c r="P950" t="s">
        <v>87</v>
      </c>
      <c r="Q950">
        <v>551</v>
      </c>
      <c r="R950" t="s">
        <v>53</v>
      </c>
      <c r="S950">
        <f>IF(support_tickets[[#This Row],[status_cleaned]]="closed",1,0)</f>
        <v>0</v>
      </c>
      <c r="T950" t="str">
        <f>TEXT(support_tickets[[#This Row],[opened_at]],"mmm yyyy")</f>
        <v>Feb 2026</v>
      </c>
      <c r="U950">
        <f>YEAR(support_tickets[[#This Row],[opened_at]])*100+MONTH(support_tickets[[#This Row],[opened_at]])</f>
        <v>202602</v>
      </c>
      <c r="V950" s="29">
        <f>DATE(YEAR(support_tickets[[#This Row],[opened_at]]),MONTH(support_tickets[[#This Row],[opened_at]]),1)</f>
        <v>46054</v>
      </c>
    </row>
    <row r="951" spans="1:22">
      <c r="A951">
        <v>4216940195</v>
      </c>
      <c r="B951">
        <v>953514394</v>
      </c>
      <c r="C951" t="s">
        <v>880</v>
      </c>
      <c r="D951" t="s">
        <v>881</v>
      </c>
      <c r="E951">
        <v>96282117</v>
      </c>
      <c r="F951">
        <v>5663076330</v>
      </c>
      <c r="G951" s="1">
        <v>45561.497442129628</v>
      </c>
      <c r="I951" t="s">
        <v>37</v>
      </c>
      <c r="J951" t="s">
        <v>25</v>
      </c>
      <c r="K951" t="s">
        <v>47</v>
      </c>
      <c r="L951" t="s">
        <v>53</v>
      </c>
      <c r="M951">
        <v>27</v>
      </c>
      <c r="O951">
        <v>1</v>
      </c>
      <c r="P951" t="s">
        <v>27</v>
      </c>
      <c r="Q951">
        <v>553</v>
      </c>
      <c r="R951" t="s">
        <v>53</v>
      </c>
      <c r="S951">
        <f>IF(support_tickets[[#This Row],[status_cleaned]]="closed",1,0)</f>
        <v>0</v>
      </c>
      <c r="T951" t="str">
        <f>TEXT(support_tickets[[#This Row],[opened_at]],"mmm yyyy")</f>
        <v>Sep 2024</v>
      </c>
      <c r="U951">
        <f>YEAR(support_tickets[[#This Row],[opened_at]])*100+MONTH(support_tickets[[#This Row],[opened_at]])</f>
        <v>202409</v>
      </c>
      <c r="V951" s="29">
        <f>DATE(YEAR(support_tickets[[#This Row],[opened_at]]),MONTH(support_tickets[[#This Row],[opened_at]]),1)</f>
        <v>45536</v>
      </c>
    </row>
    <row r="952" spans="1:22">
      <c r="A952">
        <v>4314199633</v>
      </c>
      <c r="B952">
        <v>130465806</v>
      </c>
      <c r="C952" t="s">
        <v>809</v>
      </c>
      <c r="D952" t="s">
        <v>810</v>
      </c>
      <c r="E952">
        <v>26753883</v>
      </c>
      <c r="G952" s="1">
        <v>45930.441863425927</v>
      </c>
      <c r="I952" t="s">
        <v>37</v>
      </c>
      <c r="J952" t="s">
        <v>25</v>
      </c>
      <c r="K952" t="s">
        <v>47</v>
      </c>
      <c r="L952" t="s">
        <v>53</v>
      </c>
      <c r="M952">
        <v>34</v>
      </c>
      <c r="O952">
        <v>1</v>
      </c>
      <c r="P952" t="s">
        <v>27</v>
      </c>
      <c r="Q952">
        <v>573</v>
      </c>
      <c r="R952" t="s">
        <v>53</v>
      </c>
      <c r="S952">
        <f>IF(support_tickets[[#This Row],[status_cleaned]]="closed",1,0)</f>
        <v>0</v>
      </c>
      <c r="T952" t="str">
        <f>TEXT(support_tickets[[#This Row],[opened_at]],"mmm yyyy")</f>
        <v>Sep 2025</v>
      </c>
      <c r="U952">
        <f>YEAR(support_tickets[[#This Row],[opened_at]])*100+MONTH(support_tickets[[#This Row],[opened_at]])</f>
        <v>202509</v>
      </c>
      <c r="V952" s="29">
        <f>DATE(YEAR(support_tickets[[#This Row],[opened_at]]),MONTH(support_tickets[[#This Row],[opened_at]]),1)</f>
        <v>45901</v>
      </c>
    </row>
    <row r="953" spans="1:22">
      <c r="A953">
        <v>4863002149</v>
      </c>
      <c r="B953">
        <v>230833665</v>
      </c>
      <c r="C953" t="s">
        <v>1022</v>
      </c>
      <c r="D953" t="s">
        <v>1023</v>
      </c>
      <c r="E953">
        <v>66722344</v>
      </c>
      <c r="F953">
        <v>9948318521</v>
      </c>
      <c r="G953" s="1">
        <v>45486.196006944447</v>
      </c>
      <c r="I953" t="s">
        <v>43</v>
      </c>
      <c r="J953" t="s">
        <v>19</v>
      </c>
      <c r="K953" t="s">
        <v>47</v>
      </c>
      <c r="L953" t="s">
        <v>53</v>
      </c>
      <c r="M953">
        <v>4</v>
      </c>
      <c r="O953">
        <v>1</v>
      </c>
      <c r="P953" t="s">
        <v>22</v>
      </c>
      <c r="Q953">
        <v>675</v>
      </c>
      <c r="R953" t="s">
        <v>53</v>
      </c>
      <c r="S953">
        <f>IF(support_tickets[[#This Row],[status_cleaned]]="closed",1,0)</f>
        <v>0</v>
      </c>
      <c r="T953" t="str">
        <f>TEXT(support_tickets[[#This Row],[opened_at]],"mmm yyyy")</f>
        <v>Jul 2024</v>
      </c>
      <c r="U953">
        <f>YEAR(support_tickets[[#This Row],[opened_at]])*100+MONTH(support_tickets[[#This Row],[opened_at]])</f>
        <v>202407</v>
      </c>
      <c r="V953" s="29">
        <f>DATE(YEAR(support_tickets[[#This Row],[opened_at]]),MONTH(support_tickets[[#This Row],[opened_at]]),1)</f>
        <v>45474</v>
      </c>
    </row>
    <row r="954" spans="1:22">
      <c r="A954">
        <v>4893020391</v>
      </c>
      <c r="B954">
        <v>415081566</v>
      </c>
      <c r="C954" t="s">
        <v>286</v>
      </c>
      <c r="D954" t="s">
        <v>287</v>
      </c>
      <c r="E954">
        <v>13356886</v>
      </c>
      <c r="G954" s="1">
        <v>45964.529814814814</v>
      </c>
      <c r="I954" t="s">
        <v>18</v>
      </c>
      <c r="J954" t="s">
        <v>59</v>
      </c>
      <c r="K954" t="s">
        <v>47</v>
      </c>
      <c r="L954" t="s">
        <v>53</v>
      </c>
      <c r="M954">
        <v>59</v>
      </c>
      <c r="O954">
        <v>1</v>
      </c>
      <c r="P954" t="s">
        <v>61</v>
      </c>
      <c r="Q954">
        <v>679</v>
      </c>
      <c r="R954" t="s">
        <v>53</v>
      </c>
      <c r="S954">
        <f>IF(support_tickets[[#This Row],[status_cleaned]]="closed",1,0)</f>
        <v>0</v>
      </c>
      <c r="T954" t="str">
        <f>TEXT(support_tickets[[#This Row],[opened_at]],"mmm yyyy")</f>
        <v>Nov 2025</v>
      </c>
      <c r="U954">
        <f>YEAR(support_tickets[[#This Row],[opened_at]])*100+MONTH(support_tickets[[#This Row],[opened_at]])</f>
        <v>202511</v>
      </c>
      <c r="V954" s="29">
        <f>DATE(YEAR(support_tickets[[#This Row],[opened_at]]),MONTH(support_tickets[[#This Row],[opened_at]]),1)</f>
        <v>45962</v>
      </c>
    </row>
    <row r="955" spans="1:22">
      <c r="A955">
        <v>5182545496</v>
      </c>
      <c r="B955">
        <v>870584681</v>
      </c>
      <c r="C955" t="s">
        <v>354</v>
      </c>
      <c r="D955" t="s">
        <v>355</v>
      </c>
      <c r="E955">
        <v>12614124</v>
      </c>
      <c r="G955" s="1">
        <v>45968.302106481482</v>
      </c>
      <c r="I955" t="s">
        <v>3</v>
      </c>
      <c r="J955" t="s">
        <v>59</v>
      </c>
      <c r="K955" t="s">
        <v>47</v>
      </c>
      <c r="L955" t="s">
        <v>53</v>
      </c>
      <c r="M955">
        <v>72</v>
      </c>
      <c r="O955">
        <v>1</v>
      </c>
      <c r="P955" t="s">
        <v>61</v>
      </c>
      <c r="Q955">
        <v>729</v>
      </c>
      <c r="R955" t="s">
        <v>53</v>
      </c>
      <c r="S955">
        <f>IF(support_tickets[[#This Row],[status_cleaned]]="closed",1,0)</f>
        <v>0</v>
      </c>
      <c r="T955" t="str">
        <f>TEXT(support_tickets[[#This Row],[opened_at]],"mmm yyyy")</f>
        <v>Nov 2025</v>
      </c>
      <c r="U955">
        <f>YEAR(support_tickets[[#This Row],[opened_at]])*100+MONTH(support_tickets[[#This Row],[opened_at]])</f>
        <v>202511</v>
      </c>
      <c r="V955" s="29">
        <f>DATE(YEAR(support_tickets[[#This Row],[opened_at]]),MONTH(support_tickets[[#This Row],[opened_at]]),1)</f>
        <v>45962</v>
      </c>
    </row>
    <row r="956" spans="1:22">
      <c r="A956">
        <v>5422697684</v>
      </c>
      <c r="B956">
        <v>394689553</v>
      </c>
      <c r="C956" t="s">
        <v>350</v>
      </c>
      <c r="D956" t="s">
        <v>351</v>
      </c>
      <c r="E956">
        <v>46913810</v>
      </c>
      <c r="G956" s="1">
        <v>45646.31695601852</v>
      </c>
      <c r="I956" t="s">
        <v>37</v>
      </c>
      <c r="J956" t="s">
        <v>25</v>
      </c>
      <c r="K956" t="s">
        <v>47</v>
      </c>
      <c r="L956" t="s">
        <v>53</v>
      </c>
      <c r="M956">
        <v>17</v>
      </c>
      <c r="O956">
        <v>1</v>
      </c>
      <c r="P956" t="s">
        <v>27</v>
      </c>
      <c r="Q956">
        <v>784</v>
      </c>
      <c r="R956" t="s">
        <v>53</v>
      </c>
      <c r="S956">
        <f>IF(support_tickets[[#This Row],[status_cleaned]]="closed",1,0)</f>
        <v>0</v>
      </c>
      <c r="T956" t="str">
        <f>TEXT(support_tickets[[#This Row],[opened_at]],"mmm yyyy")</f>
        <v>Dec 2024</v>
      </c>
      <c r="U956">
        <f>YEAR(support_tickets[[#This Row],[opened_at]])*100+MONTH(support_tickets[[#This Row],[opened_at]])</f>
        <v>202412</v>
      </c>
      <c r="V956" s="29">
        <f>DATE(YEAR(support_tickets[[#This Row],[opened_at]]),MONTH(support_tickets[[#This Row],[opened_at]]),1)</f>
        <v>45627</v>
      </c>
    </row>
    <row r="957" spans="1:22">
      <c r="A957">
        <v>5434678290</v>
      </c>
      <c r="B957">
        <v>655924752</v>
      </c>
      <c r="C957" t="s">
        <v>346</v>
      </c>
      <c r="D957" t="s">
        <v>347</v>
      </c>
      <c r="E957">
        <v>77005685</v>
      </c>
      <c r="F957">
        <v>1374736832</v>
      </c>
      <c r="G957" s="1">
        <v>45576.962997685187</v>
      </c>
      <c r="I957" t="s">
        <v>43</v>
      </c>
      <c r="J957" t="s">
        <v>30</v>
      </c>
      <c r="K957" t="s">
        <v>47</v>
      </c>
      <c r="L957" t="s">
        <v>53</v>
      </c>
      <c r="M957">
        <v>28</v>
      </c>
      <c r="O957">
        <v>1</v>
      </c>
      <c r="P957" t="s">
        <v>31</v>
      </c>
      <c r="Q957">
        <v>788</v>
      </c>
      <c r="R957" t="s">
        <v>53</v>
      </c>
      <c r="S957">
        <f>IF(support_tickets[[#This Row],[status_cleaned]]="closed",1,0)</f>
        <v>0</v>
      </c>
      <c r="T957" t="str">
        <f>TEXT(support_tickets[[#This Row],[opened_at]],"mmm yyyy")</f>
        <v>Oct 2024</v>
      </c>
      <c r="U957">
        <f>YEAR(support_tickets[[#This Row],[opened_at]])*100+MONTH(support_tickets[[#This Row],[opened_at]])</f>
        <v>202410</v>
      </c>
      <c r="V957" s="29">
        <f>DATE(YEAR(support_tickets[[#This Row],[opened_at]]),MONTH(support_tickets[[#This Row],[opened_at]]),1)</f>
        <v>45566</v>
      </c>
    </row>
    <row r="958" spans="1:22">
      <c r="A958">
        <v>5473047116</v>
      </c>
      <c r="B958">
        <v>804086195</v>
      </c>
      <c r="C958" t="s">
        <v>160</v>
      </c>
      <c r="D958" t="s">
        <v>161</v>
      </c>
      <c r="E958">
        <v>51273847</v>
      </c>
      <c r="G958" s="1">
        <v>45550.845439814817</v>
      </c>
      <c r="I958" t="s">
        <v>18</v>
      </c>
      <c r="J958" t="s">
        <v>86</v>
      </c>
      <c r="K958" t="s">
        <v>47</v>
      </c>
      <c r="L958" t="s">
        <v>53</v>
      </c>
      <c r="M958">
        <v>10</v>
      </c>
      <c r="O958">
        <v>1</v>
      </c>
      <c r="P958" t="s">
        <v>87</v>
      </c>
      <c r="Q958">
        <v>795</v>
      </c>
      <c r="R958" t="s">
        <v>53</v>
      </c>
      <c r="S958">
        <f>IF(support_tickets[[#This Row],[status_cleaned]]="closed",1,0)</f>
        <v>0</v>
      </c>
      <c r="T958" t="str">
        <f>TEXT(support_tickets[[#This Row],[opened_at]],"mmm yyyy")</f>
        <v>Sep 2024</v>
      </c>
      <c r="U958">
        <f>YEAR(support_tickets[[#This Row],[opened_at]])*100+MONTH(support_tickets[[#This Row],[opened_at]])</f>
        <v>202409</v>
      </c>
      <c r="V958" s="29">
        <f>DATE(YEAR(support_tickets[[#This Row],[opened_at]]),MONTH(support_tickets[[#This Row],[opened_at]]),1)</f>
        <v>45536</v>
      </c>
    </row>
    <row r="959" spans="1:22">
      <c r="A959">
        <v>5495502901</v>
      </c>
      <c r="B959">
        <v>840629322</v>
      </c>
      <c r="C959" t="s">
        <v>1134</v>
      </c>
      <c r="D959" t="s">
        <v>1135</v>
      </c>
      <c r="E959">
        <v>55667651</v>
      </c>
      <c r="F959">
        <v>9811035250</v>
      </c>
      <c r="G959" s="1">
        <v>45860.17591435185</v>
      </c>
      <c r="I959" t="s">
        <v>18</v>
      </c>
      <c r="J959" t="s">
        <v>25</v>
      </c>
      <c r="K959" t="s">
        <v>47</v>
      </c>
      <c r="L959" t="s">
        <v>53</v>
      </c>
      <c r="M959">
        <v>17</v>
      </c>
      <c r="O959">
        <v>1</v>
      </c>
      <c r="P959" t="s">
        <v>27</v>
      </c>
      <c r="Q959">
        <v>802</v>
      </c>
      <c r="R959" t="s">
        <v>53</v>
      </c>
      <c r="S959">
        <f>IF(support_tickets[[#This Row],[status_cleaned]]="closed",1,0)</f>
        <v>0</v>
      </c>
      <c r="T959" t="str">
        <f>TEXT(support_tickets[[#This Row],[opened_at]],"mmm yyyy")</f>
        <v>Jul 2025</v>
      </c>
      <c r="U959">
        <f>YEAR(support_tickets[[#This Row],[opened_at]])*100+MONTH(support_tickets[[#This Row],[opened_at]])</f>
        <v>202507</v>
      </c>
      <c r="V959" s="29">
        <f>DATE(YEAR(support_tickets[[#This Row],[opened_at]]),MONTH(support_tickets[[#This Row],[opened_at]]),1)</f>
        <v>45839</v>
      </c>
    </row>
    <row r="960" spans="1:22">
      <c r="A960">
        <v>5509915131</v>
      </c>
      <c r="B960">
        <v>576954730</v>
      </c>
      <c r="C960" t="s">
        <v>1142</v>
      </c>
      <c r="D960" t="s">
        <v>1143</v>
      </c>
      <c r="E960">
        <v>24942603</v>
      </c>
      <c r="G960" s="1">
        <v>45981.74181712963</v>
      </c>
      <c r="I960" t="s">
        <v>56</v>
      </c>
      <c r="J960" t="s">
        <v>19</v>
      </c>
      <c r="K960" t="s">
        <v>47</v>
      </c>
      <c r="L960" t="s">
        <v>53</v>
      </c>
      <c r="M960">
        <v>12</v>
      </c>
      <c r="O960">
        <v>1</v>
      </c>
      <c r="P960" t="s">
        <v>22</v>
      </c>
      <c r="Q960">
        <v>806</v>
      </c>
      <c r="R960" t="s">
        <v>53</v>
      </c>
      <c r="S960">
        <f>IF(support_tickets[[#This Row],[status_cleaned]]="closed",1,0)</f>
        <v>0</v>
      </c>
      <c r="T960" t="str">
        <f>TEXT(support_tickets[[#This Row],[opened_at]],"mmm yyyy")</f>
        <v>Nov 2025</v>
      </c>
      <c r="U960">
        <f>YEAR(support_tickets[[#This Row],[opened_at]])*100+MONTH(support_tickets[[#This Row],[opened_at]])</f>
        <v>202511</v>
      </c>
      <c r="V960" s="29">
        <f>DATE(YEAR(support_tickets[[#This Row],[opened_at]]),MONTH(support_tickets[[#This Row],[opened_at]]),1)</f>
        <v>45962</v>
      </c>
    </row>
    <row r="961" spans="1:22">
      <c r="A961">
        <v>5530730504</v>
      </c>
      <c r="B961">
        <v>519246503</v>
      </c>
      <c r="C961" t="s">
        <v>1144</v>
      </c>
      <c r="D961" t="s">
        <v>1145</v>
      </c>
      <c r="E961">
        <v>13356886</v>
      </c>
      <c r="G961" s="1">
        <v>45885.009664351855</v>
      </c>
      <c r="I961" t="s">
        <v>52</v>
      </c>
      <c r="J961" t="s">
        <v>59</v>
      </c>
      <c r="K961" t="s">
        <v>47</v>
      </c>
      <c r="L961" t="s">
        <v>53</v>
      </c>
      <c r="M961">
        <v>50</v>
      </c>
      <c r="O961">
        <v>1</v>
      </c>
      <c r="P961" t="s">
        <v>61</v>
      </c>
      <c r="Q961">
        <v>807</v>
      </c>
      <c r="R961" t="s">
        <v>53</v>
      </c>
      <c r="S961">
        <f>IF(support_tickets[[#This Row],[status_cleaned]]="closed",1,0)</f>
        <v>0</v>
      </c>
      <c r="T961" t="str">
        <f>TEXT(support_tickets[[#This Row],[opened_at]],"mmm yyyy")</f>
        <v>Aug 2025</v>
      </c>
      <c r="U961">
        <f>YEAR(support_tickets[[#This Row],[opened_at]])*100+MONTH(support_tickets[[#This Row],[opened_at]])</f>
        <v>202508</v>
      </c>
      <c r="V961" s="29">
        <f>DATE(YEAR(support_tickets[[#This Row],[opened_at]]),MONTH(support_tickets[[#This Row],[opened_at]]),1)</f>
        <v>45870</v>
      </c>
    </row>
    <row r="962" spans="1:22">
      <c r="A962">
        <v>5547007596</v>
      </c>
      <c r="B962">
        <v>829137330</v>
      </c>
      <c r="C962" t="s">
        <v>376</v>
      </c>
      <c r="D962" t="s">
        <v>377</v>
      </c>
      <c r="E962">
        <v>58181396</v>
      </c>
      <c r="F962">
        <v>1916635497</v>
      </c>
      <c r="G962" s="1">
        <v>45993.038217592592</v>
      </c>
      <c r="I962" t="s">
        <v>37</v>
      </c>
      <c r="J962" t="s">
        <v>19</v>
      </c>
      <c r="K962" t="s">
        <v>47</v>
      </c>
      <c r="L962" t="s">
        <v>53</v>
      </c>
      <c r="M962">
        <v>61</v>
      </c>
      <c r="O962">
        <v>1</v>
      </c>
      <c r="P962" t="s">
        <v>22</v>
      </c>
      <c r="Q962">
        <v>812</v>
      </c>
      <c r="R962" t="s">
        <v>53</v>
      </c>
      <c r="S962">
        <f>IF(support_tickets[[#This Row],[status_cleaned]]="closed",1,0)</f>
        <v>0</v>
      </c>
      <c r="T962" t="str">
        <f>TEXT(support_tickets[[#This Row],[opened_at]],"mmm yyyy")</f>
        <v>Dec 2025</v>
      </c>
      <c r="U962">
        <f>YEAR(support_tickets[[#This Row],[opened_at]])*100+MONTH(support_tickets[[#This Row],[opened_at]])</f>
        <v>202512</v>
      </c>
      <c r="V962" s="29">
        <f>DATE(YEAR(support_tickets[[#This Row],[opened_at]]),MONTH(support_tickets[[#This Row],[opened_at]]),1)</f>
        <v>45992</v>
      </c>
    </row>
    <row r="963" spans="1:22">
      <c r="A963">
        <v>5734980659</v>
      </c>
      <c r="B963">
        <v>855663125</v>
      </c>
      <c r="C963" t="s">
        <v>1164</v>
      </c>
      <c r="D963" t="s">
        <v>1165</v>
      </c>
      <c r="E963">
        <v>82383095</v>
      </c>
      <c r="F963">
        <v>3119803089</v>
      </c>
      <c r="G963" s="1">
        <v>45687.046273148146</v>
      </c>
      <c r="I963" t="s">
        <v>37</v>
      </c>
      <c r="J963" t="s">
        <v>25</v>
      </c>
      <c r="K963" t="s">
        <v>47</v>
      </c>
      <c r="L963" t="s">
        <v>53</v>
      </c>
      <c r="M963">
        <v>51</v>
      </c>
      <c r="O963">
        <v>1</v>
      </c>
      <c r="P963" t="s">
        <v>27</v>
      </c>
      <c r="Q963">
        <v>841</v>
      </c>
      <c r="R963" t="s">
        <v>53</v>
      </c>
      <c r="S963">
        <f>IF(support_tickets[[#This Row],[status_cleaned]]="closed",1,0)</f>
        <v>0</v>
      </c>
      <c r="T963" t="str">
        <f>TEXT(support_tickets[[#This Row],[opened_at]],"mmm yyyy")</f>
        <v>Jan 2025</v>
      </c>
      <c r="U963">
        <f>YEAR(support_tickets[[#This Row],[opened_at]])*100+MONTH(support_tickets[[#This Row],[opened_at]])</f>
        <v>202501</v>
      </c>
      <c r="V963" s="29">
        <f>DATE(YEAR(support_tickets[[#This Row],[opened_at]]),MONTH(support_tickets[[#This Row],[opened_at]]),1)</f>
        <v>45658</v>
      </c>
    </row>
    <row r="964" spans="1:22">
      <c r="A964">
        <v>5775774971</v>
      </c>
      <c r="B964">
        <v>247141682</v>
      </c>
      <c r="C964" t="s">
        <v>1170</v>
      </c>
      <c r="D964" t="s">
        <v>1171</v>
      </c>
      <c r="E964">
        <v>68353204</v>
      </c>
      <c r="G964" s="1">
        <v>45923.188657407409</v>
      </c>
      <c r="I964" t="s">
        <v>56</v>
      </c>
      <c r="J964" t="s">
        <v>19</v>
      </c>
      <c r="K964" t="s">
        <v>47</v>
      </c>
      <c r="L964" t="s">
        <v>53</v>
      </c>
      <c r="M964">
        <v>61</v>
      </c>
      <c r="O964">
        <v>1</v>
      </c>
      <c r="P964" t="s">
        <v>22</v>
      </c>
      <c r="Q964">
        <v>851</v>
      </c>
      <c r="R964" t="s">
        <v>53</v>
      </c>
      <c r="S964">
        <f>IF(support_tickets[[#This Row],[status_cleaned]]="closed",1,0)</f>
        <v>0</v>
      </c>
      <c r="T964" t="str">
        <f>TEXT(support_tickets[[#This Row],[opened_at]],"mmm yyyy")</f>
        <v>Sep 2025</v>
      </c>
      <c r="U964">
        <f>YEAR(support_tickets[[#This Row],[opened_at]])*100+MONTH(support_tickets[[#This Row],[opened_at]])</f>
        <v>202509</v>
      </c>
      <c r="V964" s="29">
        <f>DATE(YEAR(support_tickets[[#This Row],[opened_at]]),MONTH(support_tickets[[#This Row],[opened_at]]),1)</f>
        <v>45901</v>
      </c>
    </row>
    <row r="965" spans="1:22">
      <c r="A965">
        <v>5872120191</v>
      </c>
      <c r="B965">
        <v>987973565</v>
      </c>
      <c r="C965" t="s">
        <v>1188</v>
      </c>
      <c r="D965" t="s">
        <v>1189</v>
      </c>
      <c r="E965">
        <v>67503414</v>
      </c>
      <c r="F965">
        <v>2482024096</v>
      </c>
      <c r="G965" s="1">
        <v>45922.442731481482</v>
      </c>
      <c r="I965" t="s">
        <v>18</v>
      </c>
      <c r="J965" t="s">
        <v>19</v>
      </c>
      <c r="K965" t="s">
        <v>47</v>
      </c>
      <c r="L965" t="s">
        <v>53</v>
      </c>
      <c r="M965">
        <v>48</v>
      </c>
      <c r="O965">
        <v>1</v>
      </c>
      <c r="P965" t="s">
        <v>22</v>
      </c>
      <c r="Q965">
        <v>865</v>
      </c>
      <c r="R965" t="s">
        <v>53</v>
      </c>
      <c r="S965">
        <f>IF(support_tickets[[#This Row],[status_cleaned]]="closed",1,0)</f>
        <v>0</v>
      </c>
      <c r="T965" t="str">
        <f>TEXT(support_tickets[[#This Row],[opened_at]],"mmm yyyy")</f>
        <v>Sep 2025</v>
      </c>
      <c r="U965">
        <f>YEAR(support_tickets[[#This Row],[opened_at]])*100+MONTH(support_tickets[[#This Row],[opened_at]])</f>
        <v>202509</v>
      </c>
      <c r="V965" s="29">
        <f>DATE(YEAR(support_tickets[[#This Row],[opened_at]]),MONTH(support_tickets[[#This Row],[opened_at]]),1)</f>
        <v>45901</v>
      </c>
    </row>
    <row r="966" spans="1:22">
      <c r="A966">
        <v>5894791950</v>
      </c>
      <c r="B966">
        <v>391651334</v>
      </c>
      <c r="C966" t="s">
        <v>1076</v>
      </c>
      <c r="D966" t="s">
        <v>1077</v>
      </c>
      <c r="E966">
        <v>43101783</v>
      </c>
      <c r="G966" s="1">
        <v>45666.185057870367</v>
      </c>
      <c r="I966" t="s">
        <v>56</v>
      </c>
      <c r="J966" t="s">
        <v>19</v>
      </c>
      <c r="K966" t="s">
        <v>47</v>
      </c>
      <c r="L966" t="s">
        <v>53</v>
      </c>
      <c r="M966">
        <v>30</v>
      </c>
      <c r="O966">
        <v>1</v>
      </c>
      <c r="P966" t="s">
        <v>22</v>
      </c>
      <c r="Q966">
        <v>873</v>
      </c>
      <c r="R966" t="s">
        <v>53</v>
      </c>
      <c r="S966">
        <f>IF(support_tickets[[#This Row],[status_cleaned]]="closed",1,0)</f>
        <v>0</v>
      </c>
      <c r="T966" t="str">
        <f>TEXT(support_tickets[[#This Row],[opened_at]],"mmm yyyy")</f>
        <v>Jan 2025</v>
      </c>
      <c r="U966">
        <f>YEAR(support_tickets[[#This Row],[opened_at]])*100+MONTH(support_tickets[[#This Row],[opened_at]])</f>
        <v>202501</v>
      </c>
      <c r="V966" s="29">
        <f>DATE(YEAR(support_tickets[[#This Row],[opened_at]]),MONTH(support_tickets[[#This Row],[opened_at]]),1)</f>
        <v>45658</v>
      </c>
    </row>
    <row r="967" spans="1:22">
      <c r="A967">
        <v>5999455318</v>
      </c>
      <c r="B967">
        <v>408840720</v>
      </c>
      <c r="C967" t="s">
        <v>250</v>
      </c>
      <c r="D967" t="s">
        <v>251</v>
      </c>
      <c r="E967">
        <v>19583482</v>
      </c>
      <c r="F967">
        <v>3265654028</v>
      </c>
      <c r="G967" s="1">
        <v>45333.503854166665</v>
      </c>
      <c r="I967" t="s">
        <v>37</v>
      </c>
      <c r="J967" t="s">
        <v>38</v>
      </c>
      <c r="K967" t="s">
        <v>47</v>
      </c>
      <c r="L967" t="s">
        <v>53</v>
      </c>
      <c r="M967">
        <v>31</v>
      </c>
      <c r="O967">
        <v>1</v>
      </c>
      <c r="P967" t="s">
        <v>40</v>
      </c>
      <c r="Q967">
        <v>891</v>
      </c>
      <c r="R967" t="s">
        <v>53</v>
      </c>
      <c r="S967">
        <f>IF(support_tickets[[#This Row],[status_cleaned]]="closed",1,0)</f>
        <v>0</v>
      </c>
      <c r="T967" t="str">
        <f>TEXT(support_tickets[[#This Row],[opened_at]],"mmm yyyy")</f>
        <v>Feb 2024</v>
      </c>
      <c r="U967">
        <f>YEAR(support_tickets[[#This Row],[opened_at]])*100+MONTH(support_tickets[[#This Row],[opened_at]])</f>
        <v>202402</v>
      </c>
      <c r="V967" s="29">
        <f>DATE(YEAR(support_tickets[[#This Row],[opened_at]]),MONTH(support_tickets[[#This Row],[opened_at]]),1)</f>
        <v>45323</v>
      </c>
    </row>
    <row r="968" spans="1:22">
      <c r="A968">
        <v>6305545090</v>
      </c>
      <c r="B968">
        <v>499446327</v>
      </c>
      <c r="C968" t="s">
        <v>1252</v>
      </c>
      <c r="D968" t="s">
        <v>1253</v>
      </c>
      <c r="E968">
        <v>63843426</v>
      </c>
      <c r="G968" s="1">
        <v>45444.356157407405</v>
      </c>
      <c r="I968" t="s">
        <v>37</v>
      </c>
      <c r="J968" t="s">
        <v>86</v>
      </c>
      <c r="K968" t="s">
        <v>47</v>
      </c>
      <c r="L968" t="s">
        <v>53</v>
      </c>
      <c r="M968">
        <v>82</v>
      </c>
      <c r="O968">
        <v>1</v>
      </c>
      <c r="P968" t="s">
        <v>87</v>
      </c>
      <c r="Q968">
        <v>944</v>
      </c>
      <c r="R968" t="s">
        <v>53</v>
      </c>
      <c r="S968">
        <f>IF(support_tickets[[#This Row],[status_cleaned]]="closed",1,0)</f>
        <v>0</v>
      </c>
      <c r="T968" t="str">
        <f>TEXT(support_tickets[[#This Row],[opened_at]],"mmm yyyy")</f>
        <v>Jun 2024</v>
      </c>
      <c r="U968">
        <f>YEAR(support_tickets[[#This Row],[opened_at]])*100+MONTH(support_tickets[[#This Row],[opened_at]])</f>
        <v>202406</v>
      </c>
      <c r="V968" s="29">
        <f>DATE(YEAR(support_tickets[[#This Row],[opened_at]]),MONTH(support_tickets[[#This Row],[opened_at]]),1)</f>
        <v>45444</v>
      </c>
    </row>
    <row r="969" spans="1:22">
      <c r="A969">
        <v>6578769857</v>
      </c>
      <c r="B969">
        <v>999371401</v>
      </c>
      <c r="C969" t="s">
        <v>434</v>
      </c>
      <c r="D969" t="s">
        <v>435</v>
      </c>
      <c r="E969">
        <v>43744231</v>
      </c>
      <c r="G969" s="1">
        <v>45352.939039351855</v>
      </c>
      <c r="I969" t="s">
        <v>56</v>
      </c>
      <c r="J969" t="s">
        <v>25</v>
      </c>
      <c r="K969" t="s">
        <v>47</v>
      </c>
      <c r="L969" t="s">
        <v>53</v>
      </c>
      <c r="M969">
        <v>43</v>
      </c>
      <c r="O969">
        <v>1</v>
      </c>
      <c r="P969" t="s">
        <v>27</v>
      </c>
      <c r="Q969">
        <v>982</v>
      </c>
      <c r="R969" t="s">
        <v>53</v>
      </c>
      <c r="S969">
        <f>IF(support_tickets[[#This Row],[status_cleaned]]="closed",1,0)</f>
        <v>0</v>
      </c>
      <c r="T969" t="str">
        <f>TEXT(support_tickets[[#This Row],[opened_at]],"mmm yyyy")</f>
        <v>Mar 2024</v>
      </c>
      <c r="U969">
        <f>YEAR(support_tickets[[#This Row],[opened_at]])*100+MONTH(support_tickets[[#This Row],[opened_at]])</f>
        <v>202403</v>
      </c>
      <c r="V969" s="29">
        <f>DATE(YEAR(support_tickets[[#This Row],[opened_at]]),MONTH(support_tickets[[#This Row],[opened_at]]),1)</f>
        <v>45352</v>
      </c>
    </row>
    <row r="970" spans="1:22">
      <c r="A970">
        <v>6608065785</v>
      </c>
      <c r="B970">
        <v>314179101</v>
      </c>
      <c r="C970" t="s">
        <v>998</v>
      </c>
      <c r="D970" t="s">
        <v>999</v>
      </c>
      <c r="E970">
        <v>55176955</v>
      </c>
      <c r="G970" s="1">
        <v>45804.861956018518</v>
      </c>
      <c r="I970" t="s">
        <v>52</v>
      </c>
      <c r="J970" t="s">
        <v>25</v>
      </c>
      <c r="K970" t="s">
        <v>47</v>
      </c>
      <c r="L970" t="s">
        <v>53</v>
      </c>
      <c r="M970">
        <v>60</v>
      </c>
      <c r="O970">
        <v>1</v>
      </c>
      <c r="P970" t="s">
        <v>27</v>
      </c>
      <c r="Q970">
        <v>986</v>
      </c>
      <c r="R970" t="s">
        <v>53</v>
      </c>
      <c r="S970">
        <f>IF(support_tickets[[#This Row],[status_cleaned]]="closed",1,0)</f>
        <v>0</v>
      </c>
      <c r="T970" t="str">
        <f>TEXT(support_tickets[[#This Row],[opened_at]],"mmm yyyy")</f>
        <v>May 2025</v>
      </c>
      <c r="U970">
        <f>YEAR(support_tickets[[#This Row],[opened_at]])*100+MONTH(support_tickets[[#This Row],[opened_at]])</f>
        <v>202505</v>
      </c>
      <c r="V970" s="29">
        <f>DATE(YEAR(support_tickets[[#This Row],[opened_at]]),MONTH(support_tickets[[#This Row],[opened_at]]),1)</f>
        <v>45778</v>
      </c>
    </row>
    <row r="971" spans="1:22">
      <c r="A971">
        <v>7331491752</v>
      </c>
      <c r="B971">
        <v>828326405</v>
      </c>
      <c r="C971" t="s">
        <v>1348</v>
      </c>
      <c r="D971" t="s">
        <v>1349</v>
      </c>
      <c r="E971">
        <v>96028436</v>
      </c>
      <c r="F971">
        <v>8788895724</v>
      </c>
      <c r="G971" s="1">
        <v>45361.143333333333</v>
      </c>
      <c r="I971" t="s">
        <v>46</v>
      </c>
      <c r="J971" t="s">
        <v>59</v>
      </c>
      <c r="K971" t="s">
        <v>47</v>
      </c>
      <c r="L971" t="s">
        <v>53</v>
      </c>
      <c r="M971">
        <v>5</v>
      </c>
      <c r="O971">
        <v>1</v>
      </c>
      <c r="P971" t="s">
        <v>61</v>
      </c>
      <c r="Q971">
        <v>1081</v>
      </c>
      <c r="R971" t="s">
        <v>53</v>
      </c>
      <c r="S971">
        <f>IF(support_tickets[[#This Row],[status_cleaned]]="closed",1,0)</f>
        <v>0</v>
      </c>
      <c r="T971" t="str">
        <f>TEXT(support_tickets[[#This Row],[opened_at]],"mmm yyyy")</f>
        <v>Mar 2024</v>
      </c>
      <c r="U971">
        <f>YEAR(support_tickets[[#This Row],[opened_at]])*100+MONTH(support_tickets[[#This Row],[opened_at]])</f>
        <v>202403</v>
      </c>
      <c r="V971" s="29">
        <f>DATE(YEAR(support_tickets[[#This Row],[opened_at]]),MONTH(support_tickets[[#This Row],[opened_at]]),1)</f>
        <v>45352</v>
      </c>
    </row>
    <row r="972" spans="1:22">
      <c r="A972">
        <v>7482771866</v>
      </c>
      <c r="B972">
        <v>861888313</v>
      </c>
      <c r="C972" t="s">
        <v>1118</v>
      </c>
      <c r="D972" t="s">
        <v>1119</v>
      </c>
      <c r="E972">
        <v>81691040</v>
      </c>
      <c r="F972">
        <v>5854636277</v>
      </c>
      <c r="G972" s="1">
        <v>45472.976886574077</v>
      </c>
      <c r="I972" t="s">
        <v>43</v>
      </c>
      <c r="J972" t="s">
        <v>38</v>
      </c>
      <c r="K972" t="s">
        <v>47</v>
      </c>
      <c r="L972" t="s">
        <v>53</v>
      </c>
      <c r="M972">
        <v>18</v>
      </c>
      <c r="O972">
        <v>1</v>
      </c>
      <c r="P972" t="s">
        <v>40</v>
      </c>
      <c r="Q972">
        <v>1103</v>
      </c>
      <c r="R972" t="s">
        <v>53</v>
      </c>
      <c r="S972">
        <f>IF(support_tickets[[#This Row],[status_cleaned]]="closed",1,0)</f>
        <v>0</v>
      </c>
      <c r="T972" t="str">
        <f>TEXT(support_tickets[[#This Row],[opened_at]],"mmm yyyy")</f>
        <v>Jun 2024</v>
      </c>
      <c r="U972">
        <f>YEAR(support_tickets[[#This Row],[opened_at]])*100+MONTH(support_tickets[[#This Row],[opened_at]])</f>
        <v>202406</v>
      </c>
      <c r="V972" s="29">
        <f>DATE(YEAR(support_tickets[[#This Row],[opened_at]]),MONTH(support_tickets[[#This Row],[opened_at]]),1)</f>
        <v>45444</v>
      </c>
    </row>
    <row r="973" spans="1:22">
      <c r="A973">
        <v>7515565008</v>
      </c>
      <c r="B973">
        <v>486066116</v>
      </c>
      <c r="C973" t="s">
        <v>1376</v>
      </c>
      <c r="D973" t="s">
        <v>1377</v>
      </c>
      <c r="E973">
        <v>81971316</v>
      </c>
      <c r="G973" s="1">
        <v>45900.193020833336</v>
      </c>
      <c r="I973" t="s">
        <v>46</v>
      </c>
      <c r="J973" t="s">
        <v>59</v>
      </c>
      <c r="K973" t="s">
        <v>47</v>
      </c>
      <c r="L973" t="s">
        <v>53</v>
      </c>
      <c r="M973">
        <v>67</v>
      </c>
      <c r="O973">
        <v>1</v>
      </c>
      <c r="P973" t="s">
        <v>61</v>
      </c>
      <c r="Q973">
        <v>1109</v>
      </c>
      <c r="R973" t="s">
        <v>53</v>
      </c>
      <c r="S973">
        <f>IF(support_tickets[[#This Row],[status_cleaned]]="closed",1,0)</f>
        <v>0</v>
      </c>
      <c r="T973" t="str">
        <f>TEXT(support_tickets[[#This Row],[opened_at]],"mmm yyyy")</f>
        <v>Aug 2025</v>
      </c>
      <c r="U973">
        <f>YEAR(support_tickets[[#This Row],[opened_at]])*100+MONTH(support_tickets[[#This Row],[opened_at]])</f>
        <v>202508</v>
      </c>
      <c r="V973" s="29">
        <f>DATE(YEAR(support_tickets[[#This Row],[opened_at]]),MONTH(support_tickets[[#This Row],[opened_at]]),1)</f>
        <v>45870</v>
      </c>
    </row>
    <row r="974" spans="1:22">
      <c r="A974">
        <v>7692375192</v>
      </c>
      <c r="B974">
        <v>968704078</v>
      </c>
      <c r="C974" t="s">
        <v>244</v>
      </c>
      <c r="D974" t="s">
        <v>245</v>
      </c>
      <c r="E974">
        <v>42138745</v>
      </c>
      <c r="F974">
        <v>5386405648</v>
      </c>
      <c r="G974" s="1">
        <v>45581.814733796295</v>
      </c>
      <c r="I974" t="s">
        <v>43</v>
      </c>
      <c r="J974" t="s">
        <v>86</v>
      </c>
      <c r="K974" t="s">
        <v>47</v>
      </c>
      <c r="L974" t="s">
        <v>53</v>
      </c>
      <c r="M974">
        <v>40</v>
      </c>
      <c r="O974">
        <v>1</v>
      </c>
      <c r="P974" t="s">
        <v>87</v>
      </c>
      <c r="Q974">
        <v>1145</v>
      </c>
      <c r="R974" t="s">
        <v>53</v>
      </c>
      <c r="S974">
        <f>IF(support_tickets[[#This Row],[status_cleaned]]="closed",1,0)</f>
        <v>0</v>
      </c>
      <c r="T974" t="str">
        <f>TEXT(support_tickets[[#This Row],[opened_at]],"mmm yyyy")</f>
        <v>Oct 2024</v>
      </c>
      <c r="U974">
        <f>YEAR(support_tickets[[#This Row],[opened_at]])*100+MONTH(support_tickets[[#This Row],[opened_at]])</f>
        <v>202410</v>
      </c>
      <c r="V974" s="29">
        <f>DATE(YEAR(support_tickets[[#This Row],[opened_at]]),MONTH(support_tickets[[#This Row],[opened_at]]),1)</f>
        <v>45566</v>
      </c>
    </row>
    <row r="975" spans="1:22">
      <c r="A975">
        <v>7864120631</v>
      </c>
      <c r="B975">
        <v>714478186</v>
      </c>
      <c r="C975" t="s">
        <v>1408</v>
      </c>
      <c r="D975" t="s">
        <v>1409</v>
      </c>
      <c r="E975">
        <v>30514014</v>
      </c>
      <c r="F975">
        <v>3470966406</v>
      </c>
      <c r="G975" s="1">
        <v>45646.446284722224</v>
      </c>
      <c r="I975" t="s">
        <v>46</v>
      </c>
      <c r="J975" t="s">
        <v>38</v>
      </c>
      <c r="K975" t="s">
        <v>47</v>
      </c>
      <c r="L975" t="s">
        <v>53</v>
      </c>
      <c r="M975">
        <v>77</v>
      </c>
      <c r="O975">
        <v>1</v>
      </c>
      <c r="P975" t="s">
        <v>40</v>
      </c>
      <c r="Q975">
        <v>1168</v>
      </c>
      <c r="R975" t="s">
        <v>53</v>
      </c>
      <c r="S975">
        <f>IF(support_tickets[[#This Row],[status_cleaned]]="closed",1,0)</f>
        <v>0</v>
      </c>
      <c r="T975" t="str">
        <f>TEXT(support_tickets[[#This Row],[opened_at]],"mmm yyyy")</f>
        <v>Dec 2024</v>
      </c>
      <c r="U975">
        <f>YEAR(support_tickets[[#This Row],[opened_at]])*100+MONTH(support_tickets[[#This Row],[opened_at]])</f>
        <v>202412</v>
      </c>
      <c r="V975" s="29">
        <f>DATE(YEAR(support_tickets[[#This Row],[opened_at]]),MONTH(support_tickets[[#This Row],[opened_at]]),1)</f>
        <v>45627</v>
      </c>
    </row>
    <row r="976" spans="1:22">
      <c r="A976">
        <v>7893058289</v>
      </c>
      <c r="B976">
        <v>407209235</v>
      </c>
      <c r="C976" t="s">
        <v>1412</v>
      </c>
      <c r="D976" t="s">
        <v>1413</v>
      </c>
      <c r="E976">
        <v>28740864</v>
      </c>
      <c r="G976" s="1">
        <v>45630.475254629629</v>
      </c>
      <c r="I976" t="s">
        <v>43</v>
      </c>
      <c r="J976" t="s">
        <v>30</v>
      </c>
      <c r="K976" t="s">
        <v>47</v>
      </c>
      <c r="L976" t="s">
        <v>53</v>
      </c>
      <c r="M976">
        <v>65</v>
      </c>
      <c r="O976">
        <v>1</v>
      </c>
      <c r="P976" t="s">
        <v>31</v>
      </c>
      <c r="Q976">
        <v>1172</v>
      </c>
      <c r="R976" t="s">
        <v>53</v>
      </c>
      <c r="S976">
        <f>IF(support_tickets[[#This Row],[status_cleaned]]="closed",1,0)</f>
        <v>0</v>
      </c>
      <c r="T976" t="str">
        <f>TEXT(support_tickets[[#This Row],[opened_at]],"mmm yyyy")</f>
        <v>Dec 2024</v>
      </c>
      <c r="U976">
        <f>YEAR(support_tickets[[#This Row],[opened_at]])*100+MONTH(support_tickets[[#This Row],[opened_at]])</f>
        <v>202412</v>
      </c>
      <c r="V976" s="29">
        <f>DATE(YEAR(support_tickets[[#This Row],[opened_at]]),MONTH(support_tickets[[#This Row],[opened_at]]),1)</f>
        <v>45627</v>
      </c>
    </row>
    <row r="977" spans="1:22">
      <c r="A977">
        <v>8223580959</v>
      </c>
      <c r="B977">
        <v>415429295</v>
      </c>
      <c r="C977" t="s">
        <v>722</v>
      </c>
      <c r="D977" t="s">
        <v>723</v>
      </c>
      <c r="E977">
        <v>19583482</v>
      </c>
      <c r="F977">
        <v>6780272082</v>
      </c>
      <c r="G977" s="1">
        <v>45515.595034722224</v>
      </c>
      <c r="I977" t="s">
        <v>56</v>
      </c>
      <c r="J977" t="s">
        <v>38</v>
      </c>
      <c r="K977" t="s">
        <v>47</v>
      </c>
      <c r="L977" t="s">
        <v>53</v>
      </c>
      <c r="M977">
        <v>110</v>
      </c>
      <c r="O977">
        <v>1</v>
      </c>
      <c r="P977" t="s">
        <v>40</v>
      </c>
      <c r="Q977">
        <v>1217</v>
      </c>
      <c r="R977" t="s">
        <v>53</v>
      </c>
      <c r="S977">
        <f>IF(support_tickets[[#This Row],[status_cleaned]]="closed",1,0)</f>
        <v>0</v>
      </c>
      <c r="T977" t="str">
        <f>TEXT(support_tickets[[#This Row],[opened_at]],"mmm yyyy")</f>
        <v>Aug 2024</v>
      </c>
      <c r="U977">
        <f>YEAR(support_tickets[[#This Row],[opened_at]])*100+MONTH(support_tickets[[#This Row],[opened_at]])</f>
        <v>202408</v>
      </c>
      <c r="V977" s="29">
        <f>DATE(YEAR(support_tickets[[#This Row],[opened_at]]),MONTH(support_tickets[[#This Row],[opened_at]]),1)</f>
        <v>45505</v>
      </c>
    </row>
    <row r="978" spans="1:22">
      <c r="A978">
        <v>8275338348</v>
      </c>
      <c r="B978">
        <v>387195524</v>
      </c>
      <c r="C978" t="s">
        <v>730</v>
      </c>
      <c r="D978" t="s">
        <v>731</v>
      </c>
      <c r="E978">
        <v>70291817</v>
      </c>
      <c r="G978" s="1">
        <v>45701.004490740743</v>
      </c>
      <c r="I978" t="s">
        <v>3</v>
      </c>
      <c r="J978" t="s">
        <v>38</v>
      </c>
      <c r="K978" t="s">
        <v>47</v>
      </c>
      <c r="L978" t="s">
        <v>53</v>
      </c>
      <c r="M978">
        <v>20</v>
      </c>
      <c r="O978">
        <v>1</v>
      </c>
      <c r="P978" t="s">
        <v>40</v>
      </c>
      <c r="Q978">
        <v>1226</v>
      </c>
      <c r="R978" t="s">
        <v>53</v>
      </c>
      <c r="S978">
        <f>IF(support_tickets[[#This Row],[status_cleaned]]="closed",1,0)</f>
        <v>0</v>
      </c>
      <c r="T978" t="str">
        <f>TEXT(support_tickets[[#This Row],[opened_at]],"mmm yyyy")</f>
        <v>Feb 2025</v>
      </c>
      <c r="U978">
        <f>YEAR(support_tickets[[#This Row],[opened_at]])*100+MONTH(support_tickets[[#This Row],[opened_at]])</f>
        <v>202502</v>
      </c>
      <c r="V978" s="29">
        <f>DATE(YEAR(support_tickets[[#This Row],[opened_at]]),MONTH(support_tickets[[#This Row],[opened_at]]),1)</f>
        <v>45689</v>
      </c>
    </row>
    <row r="979" spans="1:22">
      <c r="A979">
        <v>8769905816</v>
      </c>
      <c r="B979">
        <v>133436988</v>
      </c>
      <c r="C979" t="s">
        <v>874</v>
      </c>
      <c r="D979" t="s">
        <v>875</v>
      </c>
      <c r="E979">
        <v>42329237</v>
      </c>
      <c r="G979" s="1">
        <v>45409.643368055556</v>
      </c>
      <c r="I979" t="s">
        <v>43</v>
      </c>
      <c r="J979" t="s">
        <v>86</v>
      </c>
      <c r="K979" t="s">
        <v>47</v>
      </c>
      <c r="L979" t="s">
        <v>53</v>
      </c>
      <c r="M979">
        <v>12</v>
      </c>
      <c r="O979">
        <v>1</v>
      </c>
      <c r="P979" t="s">
        <v>87</v>
      </c>
      <c r="Q979">
        <v>1308</v>
      </c>
      <c r="R979" t="s">
        <v>53</v>
      </c>
      <c r="S979">
        <f>IF(support_tickets[[#This Row],[status_cleaned]]="closed",1,0)</f>
        <v>0</v>
      </c>
      <c r="T979" t="str">
        <f>TEXT(support_tickets[[#This Row],[opened_at]],"mmm yyyy")</f>
        <v>Apr 2024</v>
      </c>
      <c r="U979">
        <f>YEAR(support_tickets[[#This Row],[opened_at]])*100+MONTH(support_tickets[[#This Row],[opened_at]])</f>
        <v>202404</v>
      </c>
      <c r="V979" s="29">
        <f>DATE(YEAR(support_tickets[[#This Row],[opened_at]]),MONTH(support_tickets[[#This Row],[opened_at]]),1)</f>
        <v>45383</v>
      </c>
    </row>
    <row r="980" spans="1:22">
      <c r="A980">
        <v>8897283350</v>
      </c>
      <c r="B980">
        <v>949738493</v>
      </c>
      <c r="C980" t="s">
        <v>1493</v>
      </c>
      <c r="D980" t="s">
        <v>1494</v>
      </c>
      <c r="E980">
        <v>19335534</v>
      </c>
      <c r="G980" s="1">
        <v>45891.524282407408</v>
      </c>
      <c r="I980" t="s">
        <v>46</v>
      </c>
      <c r="J980" t="s">
        <v>19</v>
      </c>
      <c r="K980" t="s">
        <v>47</v>
      </c>
      <c r="L980" t="s">
        <v>53</v>
      </c>
      <c r="M980">
        <v>78</v>
      </c>
      <c r="O980">
        <v>1</v>
      </c>
      <c r="P980" t="s">
        <v>22</v>
      </c>
      <c r="Q980">
        <v>1329</v>
      </c>
      <c r="R980" t="s">
        <v>53</v>
      </c>
      <c r="S980">
        <f>IF(support_tickets[[#This Row],[status_cleaned]]="closed",1,0)</f>
        <v>0</v>
      </c>
      <c r="T980" t="str">
        <f>TEXT(support_tickets[[#This Row],[opened_at]],"mmm yyyy")</f>
        <v>Aug 2025</v>
      </c>
      <c r="U980">
        <f>YEAR(support_tickets[[#This Row],[opened_at]])*100+MONTH(support_tickets[[#This Row],[opened_at]])</f>
        <v>202508</v>
      </c>
      <c r="V980" s="29">
        <f>DATE(YEAR(support_tickets[[#This Row],[opened_at]]),MONTH(support_tickets[[#This Row],[opened_at]]),1)</f>
        <v>45870</v>
      </c>
    </row>
    <row r="981" spans="1:22">
      <c r="A981">
        <v>8978424374</v>
      </c>
      <c r="B981">
        <v>613962746</v>
      </c>
      <c r="C981" t="s">
        <v>1156</v>
      </c>
      <c r="D981" t="s">
        <v>1157</v>
      </c>
      <c r="E981">
        <v>16323852</v>
      </c>
      <c r="F981">
        <v>2306916015</v>
      </c>
      <c r="G981" s="1">
        <v>45881.020115740743</v>
      </c>
      <c r="I981" t="s">
        <v>18</v>
      </c>
      <c r="J981" t="s">
        <v>59</v>
      </c>
      <c r="K981" t="s">
        <v>47</v>
      </c>
      <c r="L981" t="s">
        <v>53</v>
      </c>
      <c r="M981">
        <v>49</v>
      </c>
      <c r="O981">
        <v>1</v>
      </c>
      <c r="P981" t="s">
        <v>61</v>
      </c>
      <c r="Q981">
        <v>1340</v>
      </c>
      <c r="R981" t="s">
        <v>53</v>
      </c>
      <c r="S981">
        <f>IF(support_tickets[[#This Row],[status_cleaned]]="closed",1,0)</f>
        <v>0</v>
      </c>
      <c r="T981" t="str">
        <f>TEXT(support_tickets[[#This Row],[opened_at]],"mmm yyyy")</f>
        <v>Aug 2025</v>
      </c>
      <c r="U981">
        <f>YEAR(support_tickets[[#This Row],[opened_at]])*100+MONTH(support_tickets[[#This Row],[opened_at]])</f>
        <v>202508</v>
      </c>
      <c r="V981" s="29">
        <f>DATE(YEAR(support_tickets[[#This Row],[opened_at]]),MONTH(support_tickets[[#This Row],[opened_at]]),1)</f>
        <v>45870</v>
      </c>
    </row>
    <row r="982" spans="1:22">
      <c r="A982">
        <v>9049397811</v>
      </c>
      <c r="B982">
        <v>299929730</v>
      </c>
      <c r="C982" t="s">
        <v>256</v>
      </c>
      <c r="D982" t="s">
        <v>257</v>
      </c>
      <c r="E982">
        <v>29175900</v>
      </c>
      <c r="F982">
        <v>2137095986</v>
      </c>
      <c r="G982" s="1">
        <v>46009.950833333336</v>
      </c>
      <c r="I982" t="s">
        <v>46</v>
      </c>
      <c r="J982" t="s">
        <v>38</v>
      </c>
      <c r="K982" t="s">
        <v>47</v>
      </c>
      <c r="L982" t="s">
        <v>53</v>
      </c>
      <c r="M982">
        <v>19</v>
      </c>
      <c r="O982">
        <v>1</v>
      </c>
      <c r="P982" t="s">
        <v>40</v>
      </c>
      <c r="Q982">
        <v>1354</v>
      </c>
      <c r="R982" t="s">
        <v>53</v>
      </c>
      <c r="S982">
        <f>IF(support_tickets[[#This Row],[status_cleaned]]="closed",1,0)</f>
        <v>0</v>
      </c>
      <c r="T982" t="str">
        <f>TEXT(support_tickets[[#This Row],[opened_at]],"mmm yyyy")</f>
        <v>Dec 2025</v>
      </c>
      <c r="U982">
        <f>YEAR(support_tickets[[#This Row],[opened_at]])*100+MONTH(support_tickets[[#This Row],[opened_at]])</f>
        <v>202512</v>
      </c>
      <c r="V982" s="29">
        <f>DATE(YEAR(support_tickets[[#This Row],[opened_at]]),MONTH(support_tickets[[#This Row],[opened_at]]),1)</f>
        <v>45992</v>
      </c>
    </row>
    <row r="983" spans="1:22">
      <c r="A983">
        <v>9236929261</v>
      </c>
      <c r="B983">
        <v>855663125</v>
      </c>
      <c r="C983" t="s">
        <v>1164</v>
      </c>
      <c r="D983" t="s">
        <v>1165</v>
      </c>
      <c r="E983">
        <v>18526544</v>
      </c>
      <c r="G983" s="1">
        <v>45385.728645833333</v>
      </c>
      <c r="I983" t="s">
        <v>37</v>
      </c>
      <c r="J983" t="s">
        <v>30</v>
      </c>
      <c r="K983" t="s">
        <v>47</v>
      </c>
      <c r="L983" t="s">
        <v>53</v>
      </c>
      <c r="M983">
        <v>44</v>
      </c>
      <c r="O983">
        <v>1</v>
      </c>
      <c r="P983" t="s">
        <v>31</v>
      </c>
      <c r="Q983">
        <v>1391</v>
      </c>
      <c r="R983" t="s">
        <v>53</v>
      </c>
      <c r="S983">
        <f>IF(support_tickets[[#This Row],[status_cleaned]]="closed",1,0)</f>
        <v>0</v>
      </c>
      <c r="T983" t="str">
        <f>TEXT(support_tickets[[#This Row],[opened_at]],"mmm yyyy")</f>
        <v>Apr 2024</v>
      </c>
      <c r="U983">
        <f>YEAR(support_tickets[[#This Row],[opened_at]])*100+MONTH(support_tickets[[#This Row],[opened_at]])</f>
        <v>202404</v>
      </c>
      <c r="V983" s="29">
        <f>DATE(YEAR(support_tickets[[#This Row],[opened_at]]),MONTH(support_tickets[[#This Row],[opened_at]]),1)</f>
        <v>45383</v>
      </c>
    </row>
    <row r="984" spans="1:22">
      <c r="A984">
        <v>9460641311</v>
      </c>
      <c r="B984">
        <v>276799196</v>
      </c>
      <c r="C984" t="s">
        <v>1549</v>
      </c>
      <c r="D984" t="s">
        <v>1550</v>
      </c>
      <c r="E984">
        <v>31472420</v>
      </c>
      <c r="G984" s="1">
        <v>45465.009826388887</v>
      </c>
      <c r="I984" t="s">
        <v>37</v>
      </c>
      <c r="J984" t="s">
        <v>59</v>
      </c>
      <c r="K984" t="s">
        <v>47</v>
      </c>
      <c r="L984" t="s">
        <v>53</v>
      </c>
      <c r="M984">
        <v>67</v>
      </c>
      <c r="O984">
        <v>1</v>
      </c>
      <c r="P984" t="s">
        <v>61</v>
      </c>
      <c r="Q984">
        <v>1428</v>
      </c>
      <c r="R984" t="s">
        <v>53</v>
      </c>
      <c r="S984">
        <f>IF(support_tickets[[#This Row],[status_cleaned]]="closed",1,0)</f>
        <v>0</v>
      </c>
      <c r="T984" t="str">
        <f>TEXT(support_tickets[[#This Row],[opened_at]],"mmm yyyy")</f>
        <v>Jun 2024</v>
      </c>
      <c r="U984">
        <f>YEAR(support_tickets[[#This Row],[opened_at]])*100+MONTH(support_tickets[[#This Row],[opened_at]])</f>
        <v>202406</v>
      </c>
      <c r="V984" s="29">
        <f>DATE(YEAR(support_tickets[[#This Row],[opened_at]]),MONTH(support_tickets[[#This Row],[opened_at]]),1)</f>
        <v>45444</v>
      </c>
    </row>
    <row r="985" spans="1:22">
      <c r="A985">
        <v>9483904304</v>
      </c>
      <c r="B985">
        <v>576642996</v>
      </c>
      <c r="C985" t="s">
        <v>1224</v>
      </c>
      <c r="D985" t="s">
        <v>1225</v>
      </c>
      <c r="E985">
        <v>55667651</v>
      </c>
      <c r="G985" s="1">
        <v>45924.239756944444</v>
      </c>
      <c r="I985" t="s">
        <v>43</v>
      </c>
      <c r="J985" t="s">
        <v>30</v>
      </c>
      <c r="K985" t="s">
        <v>47</v>
      </c>
      <c r="L985" t="s">
        <v>53</v>
      </c>
      <c r="M985">
        <v>56</v>
      </c>
      <c r="O985">
        <v>1</v>
      </c>
      <c r="P985" t="s">
        <v>31</v>
      </c>
      <c r="Q985">
        <v>1430</v>
      </c>
      <c r="R985" t="s">
        <v>53</v>
      </c>
      <c r="S985">
        <f>IF(support_tickets[[#This Row],[status_cleaned]]="closed",1,0)</f>
        <v>0</v>
      </c>
      <c r="T985" t="str">
        <f>TEXT(support_tickets[[#This Row],[opened_at]],"mmm yyyy")</f>
        <v>Sep 2025</v>
      </c>
      <c r="U985">
        <f>YEAR(support_tickets[[#This Row],[opened_at]])*100+MONTH(support_tickets[[#This Row],[opened_at]])</f>
        <v>202509</v>
      </c>
      <c r="V985" s="29">
        <f>DATE(YEAR(support_tickets[[#This Row],[opened_at]]),MONTH(support_tickets[[#This Row],[opened_at]]),1)</f>
        <v>45901</v>
      </c>
    </row>
    <row r="986" spans="1:22">
      <c r="A986">
        <v>9592274341</v>
      </c>
      <c r="B986">
        <v>582032731</v>
      </c>
      <c r="C986" t="s">
        <v>638</v>
      </c>
      <c r="D986" t="s">
        <v>639</v>
      </c>
      <c r="E986">
        <v>60929647</v>
      </c>
      <c r="G986" s="1">
        <v>45605.671817129631</v>
      </c>
      <c r="I986" t="s">
        <v>3</v>
      </c>
      <c r="J986" t="s">
        <v>86</v>
      </c>
      <c r="K986" t="s">
        <v>47</v>
      </c>
      <c r="L986" t="s">
        <v>53</v>
      </c>
      <c r="M986">
        <v>100</v>
      </c>
      <c r="O986">
        <v>1</v>
      </c>
      <c r="P986" t="s">
        <v>87</v>
      </c>
      <c r="Q986">
        <v>1448</v>
      </c>
      <c r="R986" t="s">
        <v>53</v>
      </c>
      <c r="S986">
        <f>IF(support_tickets[[#This Row],[status_cleaned]]="closed",1,0)</f>
        <v>0</v>
      </c>
      <c r="T986" t="str">
        <f>TEXT(support_tickets[[#This Row],[opened_at]],"mmm yyyy")</f>
        <v>Nov 2024</v>
      </c>
      <c r="U986">
        <f>YEAR(support_tickets[[#This Row],[opened_at]])*100+MONTH(support_tickets[[#This Row],[opened_at]])</f>
        <v>202411</v>
      </c>
      <c r="V986" s="29">
        <f>DATE(YEAR(support_tickets[[#This Row],[opened_at]]),MONTH(support_tickets[[#This Row],[opened_at]]),1)</f>
        <v>45597</v>
      </c>
    </row>
    <row r="987" spans="1:22">
      <c r="A987">
        <v>9603733919</v>
      </c>
      <c r="B987">
        <v>462516271</v>
      </c>
      <c r="C987" t="s">
        <v>110</v>
      </c>
      <c r="D987" t="s">
        <v>111</v>
      </c>
      <c r="E987">
        <v>32969840</v>
      </c>
      <c r="G987" s="1">
        <v>45310.174259259256</v>
      </c>
      <c r="I987" t="s">
        <v>43</v>
      </c>
      <c r="J987" t="s">
        <v>25</v>
      </c>
      <c r="K987" t="s">
        <v>47</v>
      </c>
      <c r="L987" t="s">
        <v>53</v>
      </c>
      <c r="M987">
        <v>41</v>
      </c>
      <c r="O987">
        <v>1</v>
      </c>
      <c r="P987" t="s">
        <v>27</v>
      </c>
      <c r="Q987">
        <v>1450</v>
      </c>
      <c r="R987" t="s">
        <v>53</v>
      </c>
      <c r="S987">
        <f>IF(support_tickets[[#This Row],[status_cleaned]]="closed",1,0)</f>
        <v>0</v>
      </c>
      <c r="T987" t="str">
        <f>TEXT(support_tickets[[#This Row],[opened_at]],"mmm yyyy")</f>
        <v>Jan 2024</v>
      </c>
      <c r="U987">
        <f>YEAR(support_tickets[[#This Row],[opened_at]])*100+MONTH(support_tickets[[#This Row],[opened_at]])</f>
        <v>202401</v>
      </c>
      <c r="V987" s="29">
        <f>DATE(YEAR(support_tickets[[#This Row],[opened_at]]),MONTH(support_tickets[[#This Row],[opened_at]]),1)</f>
        <v>45292</v>
      </c>
    </row>
    <row r="988" spans="1:22">
      <c r="A988">
        <v>9869132245</v>
      </c>
      <c r="B988">
        <v>141127742</v>
      </c>
      <c r="C988" t="s">
        <v>656</v>
      </c>
      <c r="D988" t="s">
        <v>657</v>
      </c>
      <c r="E988">
        <v>45551614</v>
      </c>
      <c r="G988" s="1">
        <v>45425.714502314811</v>
      </c>
      <c r="I988" t="s">
        <v>43</v>
      </c>
      <c r="J988" t="s">
        <v>19</v>
      </c>
      <c r="K988" t="s">
        <v>47</v>
      </c>
      <c r="L988" t="s">
        <v>53</v>
      </c>
      <c r="M988">
        <v>28</v>
      </c>
      <c r="O988">
        <v>1</v>
      </c>
      <c r="P988" t="s">
        <v>22</v>
      </c>
      <c r="Q988">
        <v>1489</v>
      </c>
      <c r="R988" t="s">
        <v>53</v>
      </c>
      <c r="S988">
        <f>IF(support_tickets[[#This Row],[status_cleaned]]="closed",1,0)</f>
        <v>0</v>
      </c>
      <c r="T988" t="str">
        <f>TEXT(support_tickets[[#This Row],[opened_at]],"mmm yyyy")</f>
        <v>May 2024</v>
      </c>
      <c r="U988">
        <f>YEAR(support_tickets[[#This Row],[opened_at]])*100+MONTH(support_tickets[[#This Row],[opened_at]])</f>
        <v>202405</v>
      </c>
      <c r="V988" s="29">
        <f>DATE(YEAR(support_tickets[[#This Row],[opened_at]]),MONTH(support_tickets[[#This Row],[opened_at]]),1)</f>
        <v>45413</v>
      </c>
    </row>
    <row r="989" spans="1:22">
      <c r="A989">
        <v>1070375283</v>
      </c>
      <c r="B989">
        <v>920772671</v>
      </c>
      <c r="C989" t="s">
        <v>64</v>
      </c>
      <c r="D989" t="s">
        <v>65</v>
      </c>
      <c r="E989">
        <v>45575298</v>
      </c>
      <c r="F989">
        <v>3891804979</v>
      </c>
      <c r="G989" s="1">
        <v>45869.821759259263</v>
      </c>
      <c r="I989" t="s">
        <v>46</v>
      </c>
      <c r="J989" t="s">
        <v>25</v>
      </c>
      <c r="K989" t="s">
        <v>47</v>
      </c>
      <c r="L989" t="s">
        <v>66</v>
      </c>
      <c r="M989">
        <v>70</v>
      </c>
      <c r="O989">
        <v>0</v>
      </c>
      <c r="P989" t="s">
        <v>27</v>
      </c>
      <c r="Q989">
        <v>13</v>
      </c>
      <c r="R989" t="s">
        <v>1607</v>
      </c>
      <c r="S989">
        <f>IF(support_tickets[[#This Row],[status_cleaned]]="closed",1,0)</f>
        <v>0</v>
      </c>
      <c r="T989" t="str">
        <f>TEXT(support_tickets[[#This Row],[opened_at]],"mmm yyyy")</f>
        <v>Jul 2025</v>
      </c>
      <c r="U989">
        <f>YEAR(support_tickets[[#This Row],[opened_at]])*100+MONTH(support_tickets[[#This Row],[opened_at]])</f>
        <v>202507</v>
      </c>
      <c r="V989" s="29">
        <f>DATE(YEAR(support_tickets[[#This Row],[opened_at]]),MONTH(support_tickets[[#This Row],[opened_at]]),1)</f>
        <v>45839</v>
      </c>
    </row>
    <row r="990" spans="1:22">
      <c r="A990">
        <v>1124740399</v>
      </c>
      <c r="B990">
        <v>349344539</v>
      </c>
      <c r="C990" t="s">
        <v>84</v>
      </c>
      <c r="D990" t="s">
        <v>85</v>
      </c>
      <c r="E990">
        <v>82394227</v>
      </c>
      <c r="G990" s="1">
        <v>45790.928796296299</v>
      </c>
      <c r="I990" t="s">
        <v>52</v>
      </c>
      <c r="J990" t="s">
        <v>86</v>
      </c>
      <c r="K990" t="s">
        <v>47</v>
      </c>
      <c r="L990" t="s">
        <v>66</v>
      </c>
      <c r="M990">
        <v>70</v>
      </c>
      <c r="O990">
        <v>0</v>
      </c>
      <c r="P990" t="s">
        <v>87</v>
      </c>
      <c r="Q990">
        <v>22</v>
      </c>
      <c r="R990" t="s">
        <v>1607</v>
      </c>
      <c r="S990">
        <f>IF(support_tickets[[#This Row],[status_cleaned]]="closed",1,0)</f>
        <v>0</v>
      </c>
      <c r="T990" t="str">
        <f>TEXT(support_tickets[[#This Row],[opened_at]],"mmm yyyy")</f>
        <v>May 2025</v>
      </c>
      <c r="U990">
        <f>YEAR(support_tickets[[#This Row],[opened_at]])*100+MONTH(support_tickets[[#This Row],[opened_at]])</f>
        <v>202505</v>
      </c>
      <c r="V990" s="29">
        <f>DATE(YEAR(support_tickets[[#This Row],[opened_at]]),MONTH(support_tickets[[#This Row],[opened_at]]),1)</f>
        <v>45778</v>
      </c>
    </row>
    <row r="991" spans="1:22">
      <c r="A991">
        <v>1240733092</v>
      </c>
      <c r="B991">
        <v>406819991</v>
      </c>
      <c r="C991" t="s">
        <v>132</v>
      </c>
      <c r="D991" t="s">
        <v>133</v>
      </c>
      <c r="E991">
        <v>20709497</v>
      </c>
      <c r="G991" s="1">
        <v>45938.54011574074</v>
      </c>
      <c r="I991" t="s">
        <v>37</v>
      </c>
      <c r="J991" t="s">
        <v>38</v>
      </c>
      <c r="K991" t="s">
        <v>47</v>
      </c>
      <c r="L991" t="s">
        <v>66</v>
      </c>
      <c r="M991">
        <v>38</v>
      </c>
      <c r="O991">
        <v>0</v>
      </c>
      <c r="P991" t="s">
        <v>40</v>
      </c>
      <c r="Q991">
        <v>45</v>
      </c>
      <c r="R991" t="s">
        <v>1607</v>
      </c>
      <c r="S991">
        <f>IF(support_tickets[[#This Row],[status_cleaned]]="closed",1,0)</f>
        <v>0</v>
      </c>
      <c r="T991" t="str">
        <f>TEXT(support_tickets[[#This Row],[opened_at]],"mmm yyyy")</f>
        <v>Oct 2025</v>
      </c>
      <c r="U991">
        <f>YEAR(support_tickets[[#This Row],[opened_at]])*100+MONTH(support_tickets[[#This Row],[opened_at]])</f>
        <v>202510</v>
      </c>
      <c r="V991" s="29">
        <f>DATE(YEAR(support_tickets[[#This Row],[opened_at]]),MONTH(support_tickets[[#This Row],[opened_at]]),1)</f>
        <v>45931</v>
      </c>
    </row>
    <row r="992" spans="1:22">
      <c r="A992">
        <v>1338726436</v>
      </c>
      <c r="B992">
        <v>880862406</v>
      </c>
      <c r="C992" t="s">
        <v>162</v>
      </c>
      <c r="D992" t="s">
        <v>163</v>
      </c>
      <c r="E992">
        <v>46231783</v>
      </c>
      <c r="G992" s="1">
        <v>45727.205648148149</v>
      </c>
      <c r="H992" s="1">
        <v>45727.701481481483</v>
      </c>
      <c r="I992" t="s">
        <v>3</v>
      </c>
      <c r="J992" t="s">
        <v>86</v>
      </c>
      <c r="K992" t="s">
        <v>47</v>
      </c>
      <c r="L992" t="s">
        <v>66</v>
      </c>
      <c r="M992">
        <v>52</v>
      </c>
      <c r="N992">
        <v>714</v>
      </c>
      <c r="O992">
        <v>0</v>
      </c>
      <c r="P992" t="s">
        <v>87</v>
      </c>
      <c r="Q992">
        <v>62</v>
      </c>
      <c r="R992" t="s">
        <v>1607</v>
      </c>
      <c r="S992">
        <f>IF(support_tickets[[#This Row],[status_cleaned]]="closed",1,0)</f>
        <v>0</v>
      </c>
      <c r="T992" t="str">
        <f>TEXT(support_tickets[[#This Row],[opened_at]],"mmm yyyy")</f>
        <v>Mar 2025</v>
      </c>
      <c r="U992">
        <f>YEAR(support_tickets[[#This Row],[opened_at]])*100+MONTH(support_tickets[[#This Row],[opened_at]])</f>
        <v>202503</v>
      </c>
      <c r="V992" s="29">
        <f>DATE(YEAR(support_tickets[[#This Row],[opened_at]]),MONTH(support_tickets[[#This Row],[opened_at]]),1)</f>
        <v>45717</v>
      </c>
    </row>
    <row r="993" spans="1:22">
      <c r="A993">
        <v>1443616223</v>
      </c>
      <c r="B993">
        <v>778556450</v>
      </c>
      <c r="C993" t="s">
        <v>124</v>
      </c>
      <c r="D993" t="s">
        <v>125</v>
      </c>
      <c r="E993">
        <v>84252722</v>
      </c>
      <c r="F993">
        <v>4220863567</v>
      </c>
      <c r="G993" s="1">
        <v>45582.306828703702</v>
      </c>
      <c r="I993" t="s">
        <v>18</v>
      </c>
      <c r="J993" t="s">
        <v>30</v>
      </c>
      <c r="K993" t="s">
        <v>47</v>
      </c>
      <c r="L993" t="s">
        <v>66</v>
      </c>
      <c r="M993">
        <v>56</v>
      </c>
      <c r="O993">
        <v>0</v>
      </c>
      <c r="P993" t="s">
        <v>31</v>
      </c>
      <c r="Q993">
        <v>77</v>
      </c>
      <c r="R993" t="s">
        <v>1607</v>
      </c>
      <c r="S993">
        <f>IF(support_tickets[[#This Row],[status_cleaned]]="closed",1,0)</f>
        <v>0</v>
      </c>
      <c r="T993" t="str">
        <f>TEXT(support_tickets[[#This Row],[opened_at]],"mmm yyyy")</f>
        <v>Oct 2024</v>
      </c>
      <c r="U993">
        <f>YEAR(support_tickets[[#This Row],[opened_at]])*100+MONTH(support_tickets[[#This Row],[opened_at]])</f>
        <v>202410</v>
      </c>
      <c r="V993" s="29">
        <f>DATE(YEAR(support_tickets[[#This Row],[opened_at]]),MONTH(support_tickets[[#This Row],[opened_at]]),1)</f>
        <v>45566</v>
      </c>
    </row>
    <row r="994" spans="1:22">
      <c r="A994">
        <v>1468826081</v>
      </c>
      <c r="B994">
        <v>662890182</v>
      </c>
      <c r="C994" t="s">
        <v>196</v>
      </c>
      <c r="D994" t="s">
        <v>197</v>
      </c>
      <c r="E994">
        <v>93016315</v>
      </c>
      <c r="F994">
        <v>7021836592</v>
      </c>
      <c r="G994" s="1">
        <v>45821.911087962966</v>
      </c>
      <c r="I994" t="s">
        <v>56</v>
      </c>
      <c r="J994" t="s">
        <v>38</v>
      </c>
      <c r="K994" t="s">
        <v>47</v>
      </c>
      <c r="L994" t="s">
        <v>66</v>
      </c>
      <c r="M994">
        <v>1</v>
      </c>
      <c r="O994">
        <v>0</v>
      </c>
      <c r="P994" t="s">
        <v>40</v>
      </c>
      <c r="Q994">
        <v>81</v>
      </c>
      <c r="R994" t="s">
        <v>1607</v>
      </c>
      <c r="S994">
        <f>IF(support_tickets[[#This Row],[status_cleaned]]="closed",1,0)</f>
        <v>0</v>
      </c>
      <c r="T994" t="str">
        <f>TEXT(support_tickets[[#This Row],[opened_at]],"mmm yyyy")</f>
        <v>Jun 2025</v>
      </c>
      <c r="U994">
        <f>YEAR(support_tickets[[#This Row],[opened_at]])*100+MONTH(support_tickets[[#This Row],[opened_at]])</f>
        <v>202506</v>
      </c>
      <c r="V994" s="29">
        <f>DATE(YEAR(support_tickets[[#This Row],[opened_at]]),MONTH(support_tickets[[#This Row],[opened_at]]),1)</f>
        <v>45809</v>
      </c>
    </row>
    <row r="995" spans="1:22">
      <c r="A995">
        <v>1520818836</v>
      </c>
      <c r="B995">
        <v>805560474</v>
      </c>
      <c r="C995" t="s">
        <v>208</v>
      </c>
      <c r="D995" t="s">
        <v>209</v>
      </c>
      <c r="E995">
        <v>22981052</v>
      </c>
      <c r="G995" s="1">
        <v>45424.381712962961</v>
      </c>
      <c r="H995" s="1">
        <v>45425.194212962961</v>
      </c>
      <c r="I995" t="s">
        <v>46</v>
      </c>
      <c r="J995" t="s">
        <v>25</v>
      </c>
      <c r="K995" t="s">
        <v>47</v>
      </c>
      <c r="L995" t="s">
        <v>66</v>
      </c>
      <c r="M995">
        <v>6</v>
      </c>
      <c r="N995">
        <v>1170</v>
      </c>
      <c r="O995">
        <v>0</v>
      </c>
      <c r="P995" t="s">
        <v>27</v>
      </c>
      <c r="Q995">
        <v>88</v>
      </c>
      <c r="R995" t="s">
        <v>1607</v>
      </c>
      <c r="S995">
        <f>IF(support_tickets[[#This Row],[status_cleaned]]="closed",1,0)</f>
        <v>0</v>
      </c>
      <c r="T995" t="str">
        <f>TEXT(support_tickets[[#This Row],[opened_at]],"mmm yyyy")</f>
        <v>May 2024</v>
      </c>
      <c r="U995">
        <f>YEAR(support_tickets[[#This Row],[opened_at]])*100+MONTH(support_tickets[[#This Row],[opened_at]])</f>
        <v>202405</v>
      </c>
      <c r="V995" s="29">
        <f>DATE(YEAR(support_tickets[[#This Row],[opened_at]]),MONTH(support_tickets[[#This Row],[opened_at]]),1)</f>
        <v>45413</v>
      </c>
    </row>
    <row r="996" spans="1:22">
      <c r="A996">
        <v>1729436734</v>
      </c>
      <c r="B996">
        <v>625968839</v>
      </c>
      <c r="C996" t="s">
        <v>130</v>
      </c>
      <c r="D996" t="s">
        <v>131</v>
      </c>
      <c r="E996">
        <v>31227574</v>
      </c>
      <c r="G996" s="1">
        <v>45893.707407407404</v>
      </c>
      <c r="I996" t="s">
        <v>46</v>
      </c>
      <c r="J996" t="s">
        <v>30</v>
      </c>
      <c r="K996" t="s">
        <v>47</v>
      </c>
      <c r="L996" t="s">
        <v>66</v>
      </c>
      <c r="M996">
        <v>36</v>
      </c>
      <c r="O996">
        <v>0</v>
      </c>
      <c r="P996" t="s">
        <v>31</v>
      </c>
      <c r="Q996">
        <v>131</v>
      </c>
      <c r="R996" t="s">
        <v>1607</v>
      </c>
      <c r="S996">
        <f>IF(support_tickets[[#This Row],[status_cleaned]]="closed",1,0)</f>
        <v>0</v>
      </c>
      <c r="T996" t="str">
        <f>TEXT(support_tickets[[#This Row],[opened_at]],"mmm yyyy")</f>
        <v>Aug 2025</v>
      </c>
      <c r="U996">
        <f>YEAR(support_tickets[[#This Row],[opened_at]])*100+MONTH(support_tickets[[#This Row],[opened_at]])</f>
        <v>202508</v>
      </c>
      <c r="V996" s="29">
        <f>DATE(YEAR(support_tickets[[#This Row],[opened_at]]),MONTH(support_tickets[[#This Row],[opened_at]]),1)</f>
        <v>45870</v>
      </c>
    </row>
    <row r="997" spans="1:22">
      <c r="A997">
        <v>1937876143</v>
      </c>
      <c r="B997">
        <v>829137330</v>
      </c>
      <c r="C997" t="s">
        <v>376</v>
      </c>
      <c r="D997" t="s">
        <v>377</v>
      </c>
      <c r="E997">
        <v>82394227</v>
      </c>
      <c r="G997" s="1">
        <v>45716.00885416667</v>
      </c>
      <c r="I997" t="s">
        <v>46</v>
      </c>
      <c r="J997" t="s">
        <v>30</v>
      </c>
      <c r="K997" t="s">
        <v>47</v>
      </c>
      <c r="L997" t="s">
        <v>66</v>
      </c>
      <c r="M997">
        <v>47</v>
      </c>
      <c r="O997">
        <v>0</v>
      </c>
      <c r="P997" t="s">
        <v>31</v>
      </c>
      <c r="Q997">
        <v>188</v>
      </c>
      <c r="R997" t="s">
        <v>1607</v>
      </c>
      <c r="S997">
        <f>IF(support_tickets[[#This Row],[status_cleaned]]="closed",1,0)</f>
        <v>0</v>
      </c>
      <c r="T997" t="str">
        <f>TEXT(support_tickets[[#This Row],[opened_at]],"mmm yyyy")</f>
        <v>Feb 2025</v>
      </c>
      <c r="U997">
        <f>YEAR(support_tickets[[#This Row],[opened_at]])*100+MONTH(support_tickets[[#This Row],[opened_at]])</f>
        <v>202502</v>
      </c>
      <c r="V997" s="29">
        <f>DATE(YEAR(support_tickets[[#This Row],[opened_at]]),MONTH(support_tickets[[#This Row],[opened_at]]),1)</f>
        <v>45689</v>
      </c>
    </row>
    <row r="998" spans="1:22">
      <c r="A998">
        <v>1967100189</v>
      </c>
      <c r="B998">
        <v>788255012</v>
      </c>
      <c r="C998" t="s">
        <v>386</v>
      </c>
      <c r="D998" t="s">
        <v>387</v>
      </c>
      <c r="E998">
        <v>45503389</v>
      </c>
      <c r="F998">
        <v>4400697308</v>
      </c>
      <c r="G998" s="1">
        <v>46055.679340277777</v>
      </c>
      <c r="I998" t="s">
        <v>18</v>
      </c>
      <c r="J998" t="s">
        <v>38</v>
      </c>
      <c r="K998" t="s">
        <v>47</v>
      </c>
      <c r="L998" t="s">
        <v>66</v>
      </c>
      <c r="M998">
        <v>81</v>
      </c>
      <c r="O998">
        <v>0</v>
      </c>
      <c r="P998" t="s">
        <v>40</v>
      </c>
      <c r="Q998">
        <v>193</v>
      </c>
      <c r="R998" t="s">
        <v>1607</v>
      </c>
      <c r="S998">
        <f>IF(support_tickets[[#This Row],[status_cleaned]]="closed",1,0)</f>
        <v>0</v>
      </c>
      <c r="T998" t="str">
        <f>TEXT(support_tickets[[#This Row],[opened_at]],"mmm yyyy")</f>
        <v>Feb 2026</v>
      </c>
      <c r="U998">
        <f>YEAR(support_tickets[[#This Row],[opened_at]])*100+MONTH(support_tickets[[#This Row],[opened_at]])</f>
        <v>202602</v>
      </c>
      <c r="V998" s="29">
        <f>DATE(YEAR(support_tickets[[#This Row],[opened_at]]),MONTH(support_tickets[[#This Row],[opened_at]]),1)</f>
        <v>46054</v>
      </c>
    </row>
    <row r="999" spans="1:22">
      <c r="A999">
        <v>2227662866</v>
      </c>
      <c r="B999">
        <v>244096091</v>
      </c>
      <c r="C999" t="s">
        <v>440</v>
      </c>
      <c r="D999" t="s">
        <v>441</v>
      </c>
      <c r="E999">
        <v>39958838</v>
      </c>
      <c r="F999">
        <v>6971064982</v>
      </c>
      <c r="G999" s="1">
        <v>45884.949340277781</v>
      </c>
      <c r="H999" s="1">
        <v>45885.313923611109</v>
      </c>
      <c r="I999" t="s">
        <v>3</v>
      </c>
      <c r="J999" t="s">
        <v>19</v>
      </c>
      <c r="K999" t="s">
        <v>47</v>
      </c>
      <c r="L999" t="s">
        <v>66</v>
      </c>
      <c r="M999">
        <v>14</v>
      </c>
      <c r="N999">
        <v>525</v>
      </c>
      <c r="O999">
        <v>0</v>
      </c>
      <c r="P999" t="s">
        <v>22</v>
      </c>
      <c r="Q999">
        <v>226</v>
      </c>
      <c r="R999" t="s">
        <v>1607</v>
      </c>
      <c r="S999">
        <f>IF(support_tickets[[#This Row],[status_cleaned]]="closed",1,0)</f>
        <v>0</v>
      </c>
      <c r="T999" t="str">
        <f>TEXT(support_tickets[[#This Row],[opened_at]],"mmm yyyy")</f>
        <v>Aug 2025</v>
      </c>
      <c r="U999">
        <f>YEAR(support_tickets[[#This Row],[opened_at]])*100+MONTH(support_tickets[[#This Row],[opened_at]])</f>
        <v>202508</v>
      </c>
      <c r="V999" s="29">
        <f>DATE(YEAR(support_tickets[[#This Row],[opened_at]]),MONTH(support_tickets[[#This Row],[opened_at]]),1)</f>
        <v>45870</v>
      </c>
    </row>
    <row r="1000" spans="1:22">
      <c r="A1000">
        <v>2257025623</v>
      </c>
      <c r="B1000">
        <v>590947659</v>
      </c>
      <c r="C1000" t="s">
        <v>448</v>
      </c>
      <c r="D1000" t="s">
        <v>449</v>
      </c>
      <c r="E1000">
        <v>84252722</v>
      </c>
      <c r="F1000">
        <v>2698502431</v>
      </c>
      <c r="G1000" s="1">
        <v>45613.347638888888</v>
      </c>
      <c r="I1000" t="s">
        <v>46</v>
      </c>
      <c r="J1000" t="s">
        <v>30</v>
      </c>
      <c r="K1000" t="s">
        <v>47</v>
      </c>
      <c r="L1000" t="s">
        <v>66</v>
      </c>
      <c r="M1000">
        <v>92</v>
      </c>
      <c r="O1000">
        <v>0</v>
      </c>
      <c r="P1000" t="s">
        <v>31</v>
      </c>
      <c r="Q1000">
        <v>232</v>
      </c>
      <c r="R1000" t="s">
        <v>1607</v>
      </c>
      <c r="S1000">
        <f>IF(support_tickets[[#This Row],[status_cleaned]]="closed",1,0)</f>
        <v>0</v>
      </c>
      <c r="T1000" t="str">
        <f>TEXT(support_tickets[[#This Row],[opened_at]],"mmm yyyy")</f>
        <v>Nov 2024</v>
      </c>
      <c r="U1000">
        <f>YEAR(support_tickets[[#This Row],[opened_at]])*100+MONTH(support_tickets[[#This Row],[opened_at]])</f>
        <v>202411</v>
      </c>
      <c r="V1000" s="29">
        <f>DATE(YEAR(support_tickets[[#This Row],[opened_at]]),MONTH(support_tickets[[#This Row],[opened_at]]),1)</f>
        <v>45597</v>
      </c>
    </row>
    <row r="1001" spans="1:22">
      <c r="A1001">
        <v>2452804067</v>
      </c>
      <c r="B1001">
        <v>157184151</v>
      </c>
      <c r="C1001" t="s">
        <v>466</v>
      </c>
      <c r="D1001" t="s">
        <v>467</v>
      </c>
      <c r="E1001">
        <v>70855700</v>
      </c>
      <c r="F1001">
        <v>3051815663</v>
      </c>
      <c r="G1001" s="1">
        <v>45509.525023148148</v>
      </c>
      <c r="H1001" s="1">
        <v>45510.150717592594</v>
      </c>
      <c r="I1001" t="s">
        <v>37</v>
      </c>
      <c r="J1001" t="s">
        <v>38</v>
      </c>
      <c r="K1001" t="s">
        <v>47</v>
      </c>
      <c r="L1001" t="s">
        <v>66</v>
      </c>
      <c r="M1001">
        <v>62</v>
      </c>
      <c r="N1001">
        <v>901</v>
      </c>
      <c r="O1001">
        <v>0</v>
      </c>
      <c r="P1001" t="s">
        <v>40</v>
      </c>
      <c r="Q1001">
        <v>264</v>
      </c>
      <c r="R1001" t="s">
        <v>1607</v>
      </c>
      <c r="S1001">
        <f>IF(support_tickets[[#This Row],[status_cleaned]]="closed",1,0)</f>
        <v>0</v>
      </c>
      <c r="T1001" t="str">
        <f>TEXT(support_tickets[[#This Row],[opened_at]],"mmm yyyy")</f>
        <v>Aug 2024</v>
      </c>
      <c r="U1001">
        <f>YEAR(support_tickets[[#This Row],[opened_at]])*100+MONTH(support_tickets[[#This Row],[opened_at]])</f>
        <v>202408</v>
      </c>
      <c r="V1001" s="29">
        <f>DATE(YEAR(support_tickets[[#This Row],[opened_at]]),MONTH(support_tickets[[#This Row],[opened_at]]),1)</f>
        <v>45505</v>
      </c>
    </row>
    <row r="1002" spans="1:22">
      <c r="A1002">
        <v>2646485998</v>
      </c>
      <c r="B1002">
        <v>424211872</v>
      </c>
      <c r="C1002" t="s">
        <v>532</v>
      </c>
      <c r="D1002" t="s">
        <v>533</v>
      </c>
      <c r="E1002">
        <v>95822412</v>
      </c>
      <c r="G1002" s="1">
        <v>45841.831238425926</v>
      </c>
      <c r="H1002" s="1">
        <v>45842.453460648147</v>
      </c>
      <c r="I1002" t="s">
        <v>37</v>
      </c>
      <c r="J1002" t="s">
        <v>38</v>
      </c>
      <c r="K1002" t="s">
        <v>47</v>
      </c>
      <c r="L1002" t="s">
        <v>66</v>
      </c>
      <c r="M1002">
        <v>24</v>
      </c>
      <c r="N1002">
        <v>896</v>
      </c>
      <c r="O1002">
        <v>0</v>
      </c>
      <c r="P1002" t="s">
        <v>40</v>
      </c>
      <c r="Q1002">
        <v>291</v>
      </c>
      <c r="R1002" t="s">
        <v>1607</v>
      </c>
      <c r="S1002">
        <f>IF(support_tickets[[#This Row],[status_cleaned]]="closed",1,0)</f>
        <v>0</v>
      </c>
      <c r="T1002" t="str">
        <f>TEXT(support_tickets[[#This Row],[opened_at]],"mmm yyyy")</f>
        <v>Jul 2025</v>
      </c>
      <c r="U1002">
        <f>YEAR(support_tickets[[#This Row],[opened_at]])*100+MONTH(support_tickets[[#This Row],[opened_at]])</f>
        <v>202507</v>
      </c>
      <c r="V1002" s="29">
        <f>DATE(YEAR(support_tickets[[#This Row],[opened_at]]),MONTH(support_tickets[[#This Row],[opened_at]]),1)</f>
        <v>45839</v>
      </c>
    </row>
    <row r="1003" spans="1:22">
      <c r="A1003">
        <v>2770422751</v>
      </c>
      <c r="B1003">
        <v>298407302</v>
      </c>
      <c r="C1003" t="s">
        <v>568</v>
      </c>
      <c r="D1003" t="s">
        <v>569</v>
      </c>
      <c r="E1003">
        <v>45503389</v>
      </c>
      <c r="F1003">
        <v>8572011492</v>
      </c>
      <c r="G1003" s="1">
        <v>45693.434513888889</v>
      </c>
      <c r="I1003" t="s">
        <v>46</v>
      </c>
      <c r="J1003" t="s">
        <v>38</v>
      </c>
      <c r="K1003" t="s">
        <v>47</v>
      </c>
      <c r="L1003" t="s">
        <v>66</v>
      </c>
      <c r="M1003">
        <v>3</v>
      </c>
      <c r="O1003">
        <v>0</v>
      </c>
      <c r="P1003" t="s">
        <v>40</v>
      </c>
      <c r="Q1003">
        <v>318</v>
      </c>
      <c r="R1003" t="s">
        <v>1607</v>
      </c>
      <c r="S1003">
        <f>IF(support_tickets[[#This Row],[status_cleaned]]="closed",1,0)</f>
        <v>0</v>
      </c>
      <c r="T1003" t="str">
        <f>TEXT(support_tickets[[#This Row],[opened_at]],"mmm yyyy")</f>
        <v>Feb 2025</v>
      </c>
      <c r="U1003">
        <f>YEAR(support_tickets[[#This Row],[opened_at]])*100+MONTH(support_tickets[[#This Row],[opened_at]])</f>
        <v>202502</v>
      </c>
      <c r="V1003" s="29">
        <f>DATE(YEAR(support_tickets[[#This Row],[opened_at]]),MONTH(support_tickets[[#This Row],[opened_at]]),1)</f>
        <v>45689</v>
      </c>
    </row>
    <row r="1004" spans="1:22">
      <c r="A1004">
        <v>3209211183</v>
      </c>
      <c r="B1004">
        <v>963251765</v>
      </c>
      <c r="C1004" t="s">
        <v>676</v>
      </c>
      <c r="D1004" t="s">
        <v>677</v>
      </c>
      <c r="E1004">
        <v>39436733</v>
      </c>
      <c r="G1004" s="1">
        <v>45349.26390046296</v>
      </c>
      <c r="I1004" t="s">
        <v>46</v>
      </c>
      <c r="J1004" t="s">
        <v>59</v>
      </c>
      <c r="K1004" t="s">
        <v>47</v>
      </c>
      <c r="L1004" t="s">
        <v>66</v>
      </c>
      <c r="M1004">
        <v>39</v>
      </c>
      <c r="O1004">
        <v>0</v>
      </c>
      <c r="P1004" t="s">
        <v>61</v>
      </c>
      <c r="Q1004">
        <v>398</v>
      </c>
      <c r="R1004" t="s">
        <v>1607</v>
      </c>
      <c r="S1004">
        <f>IF(support_tickets[[#This Row],[status_cleaned]]="closed",1,0)</f>
        <v>0</v>
      </c>
      <c r="T1004" t="str">
        <f>TEXT(support_tickets[[#This Row],[opened_at]],"mmm yyyy")</f>
        <v>Feb 2024</v>
      </c>
      <c r="U1004">
        <f>YEAR(support_tickets[[#This Row],[opened_at]])*100+MONTH(support_tickets[[#This Row],[opened_at]])</f>
        <v>202402</v>
      </c>
      <c r="V1004" s="29">
        <f>DATE(YEAR(support_tickets[[#This Row],[opened_at]]),MONTH(support_tickets[[#This Row],[opened_at]]),1)</f>
        <v>45323</v>
      </c>
    </row>
    <row r="1005" spans="1:22">
      <c r="A1005">
        <v>3232950452</v>
      </c>
      <c r="B1005">
        <v>334517688</v>
      </c>
      <c r="C1005" t="s">
        <v>248</v>
      </c>
      <c r="D1005" t="s">
        <v>249</v>
      </c>
      <c r="E1005">
        <v>70897765</v>
      </c>
      <c r="F1005">
        <v>2074320602</v>
      </c>
      <c r="G1005" s="1">
        <v>45334.607488425929</v>
      </c>
      <c r="I1005" t="s">
        <v>3</v>
      </c>
      <c r="J1005" t="s">
        <v>86</v>
      </c>
      <c r="K1005" t="s">
        <v>47</v>
      </c>
      <c r="L1005" t="s">
        <v>66</v>
      </c>
      <c r="M1005">
        <v>61</v>
      </c>
      <c r="O1005">
        <v>0</v>
      </c>
      <c r="P1005" t="s">
        <v>87</v>
      </c>
      <c r="Q1005">
        <v>399</v>
      </c>
      <c r="R1005" t="s">
        <v>1607</v>
      </c>
      <c r="S1005">
        <f>IF(support_tickets[[#This Row],[status_cleaned]]="closed",1,0)</f>
        <v>0</v>
      </c>
      <c r="T1005" t="str">
        <f>TEXT(support_tickets[[#This Row],[opened_at]],"mmm yyyy")</f>
        <v>Feb 2024</v>
      </c>
      <c r="U1005">
        <f>YEAR(support_tickets[[#This Row],[opened_at]])*100+MONTH(support_tickets[[#This Row],[opened_at]])</f>
        <v>202402</v>
      </c>
      <c r="V1005" s="29">
        <f>DATE(YEAR(support_tickets[[#This Row],[opened_at]]),MONTH(support_tickets[[#This Row],[opened_at]]),1)</f>
        <v>45323</v>
      </c>
    </row>
    <row r="1006" spans="1:22">
      <c r="A1006">
        <v>3417300559</v>
      </c>
      <c r="B1006">
        <v>180574838</v>
      </c>
      <c r="C1006" t="s">
        <v>736</v>
      </c>
      <c r="D1006" t="s">
        <v>737</v>
      </c>
      <c r="E1006">
        <v>13561597</v>
      </c>
      <c r="F1006">
        <v>1140336385</v>
      </c>
      <c r="G1006" s="1">
        <v>45424.682870370372</v>
      </c>
      <c r="I1006" t="s">
        <v>56</v>
      </c>
      <c r="J1006" t="s">
        <v>25</v>
      </c>
      <c r="K1006" t="s">
        <v>47</v>
      </c>
      <c r="L1006" t="s">
        <v>66</v>
      </c>
      <c r="M1006">
        <v>69</v>
      </c>
      <c r="O1006">
        <v>0</v>
      </c>
      <c r="P1006" t="s">
        <v>27</v>
      </c>
      <c r="Q1006">
        <v>436</v>
      </c>
      <c r="R1006" t="s">
        <v>1607</v>
      </c>
      <c r="S1006">
        <f>IF(support_tickets[[#This Row],[status_cleaned]]="closed",1,0)</f>
        <v>0</v>
      </c>
      <c r="T1006" t="str">
        <f>TEXT(support_tickets[[#This Row],[opened_at]],"mmm yyyy")</f>
        <v>May 2024</v>
      </c>
      <c r="U1006">
        <f>YEAR(support_tickets[[#This Row],[opened_at]])*100+MONTH(support_tickets[[#This Row],[opened_at]])</f>
        <v>202405</v>
      </c>
      <c r="V1006" s="29">
        <f>DATE(YEAR(support_tickets[[#This Row],[opened_at]]),MONTH(support_tickets[[#This Row],[opened_at]]),1)</f>
        <v>45413</v>
      </c>
    </row>
    <row r="1007" spans="1:22">
      <c r="A1007">
        <v>3696275651</v>
      </c>
      <c r="B1007">
        <v>752376434</v>
      </c>
      <c r="C1007" t="s">
        <v>795</v>
      </c>
      <c r="D1007" t="s">
        <v>796</v>
      </c>
      <c r="E1007">
        <v>95899313</v>
      </c>
      <c r="F1007">
        <v>9985032096</v>
      </c>
      <c r="G1007" s="1">
        <v>45542.264560185184</v>
      </c>
      <c r="I1007" t="s">
        <v>3</v>
      </c>
      <c r="J1007" t="s">
        <v>59</v>
      </c>
      <c r="K1007" t="s">
        <v>47</v>
      </c>
      <c r="L1007" t="s">
        <v>66</v>
      </c>
      <c r="M1007">
        <v>24</v>
      </c>
      <c r="O1007">
        <v>0</v>
      </c>
      <c r="P1007" t="s">
        <v>61</v>
      </c>
      <c r="Q1007">
        <v>482</v>
      </c>
      <c r="R1007" t="s">
        <v>1607</v>
      </c>
      <c r="S1007">
        <f>IF(support_tickets[[#This Row],[status_cleaned]]="closed",1,0)</f>
        <v>0</v>
      </c>
      <c r="T1007" t="str">
        <f>TEXT(support_tickets[[#This Row],[opened_at]],"mmm yyyy")</f>
        <v>Sep 2024</v>
      </c>
      <c r="U1007">
        <f>YEAR(support_tickets[[#This Row],[opened_at]])*100+MONTH(support_tickets[[#This Row],[opened_at]])</f>
        <v>202409</v>
      </c>
      <c r="V1007" s="29">
        <f>DATE(YEAR(support_tickets[[#This Row],[opened_at]]),MONTH(support_tickets[[#This Row],[opened_at]]),1)</f>
        <v>45536</v>
      </c>
    </row>
    <row r="1008" spans="1:22">
      <c r="A1008">
        <v>3746596425</v>
      </c>
      <c r="B1008">
        <v>690404558</v>
      </c>
      <c r="C1008" t="s">
        <v>801</v>
      </c>
      <c r="D1008" t="s">
        <v>802</v>
      </c>
      <c r="E1008">
        <v>24716857</v>
      </c>
      <c r="F1008">
        <v>6473572695</v>
      </c>
      <c r="G1008" s="1">
        <v>45813.334247685183</v>
      </c>
      <c r="I1008" t="s">
        <v>46</v>
      </c>
      <c r="J1008" t="s">
        <v>59</v>
      </c>
      <c r="K1008" t="s">
        <v>47</v>
      </c>
      <c r="L1008" t="s">
        <v>66</v>
      </c>
      <c r="M1008">
        <v>59</v>
      </c>
      <c r="O1008">
        <v>0</v>
      </c>
      <c r="P1008" t="s">
        <v>61</v>
      </c>
      <c r="Q1008">
        <v>490</v>
      </c>
      <c r="R1008" t="s">
        <v>1607</v>
      </c>
      <c r="S1008">
        <f>IF(support_tickets[[#This Row],[status_cleaned]]="closed",1,0)</f>
        <v>0</v>
      </c>
      <c r="T1008" t="str">
        <f>TEXT(support_tickets[[#This Row],[opened_at]],"mmm yyyy")</f>
        <v>Jun 2025</v>
      </c>
      <c r="U1008">
        <f>YEAR(support_tickets[[#This Row],[opened_at]])*100+MONTH(support_tickets[[#This Row],[opened_at]])</f>
        <v>202506</v>
      </c>
      <c r="V1008" s="29">
        <f>DATE(YEAR(support_tickets[[#This Row],[opened_at]]),MONTH(support_tickets[[#This Row],[opened_at]]),1)</f>
        <v>45809</v>
      </c>
    </row>
    <row r="1009" spans="1:22">
      <c r="A1009">
        <v>4009545166</v>
      </c>
      <c r="B1009">
        <v>217999418</v>
      </c>
      <c r="C1009" t="s">
        <v>328</v>
      </c>
      <c r="D1009" t="s">
        <v>329</v>
      </c>
      <c r="E1009">
        <v>18526544</v>
      </c>
      <c r="F1009">
        <v>4359506482</v>
      </c>
      <c r="G1009" s="1">
        <v>46059.720706018517</v>
      </c>
      <c r="I1009" t="s">
        <v>52</v>
      </c>
      <c r="J1009" t="s">
        <v>38</v>
      </c>
      <c r="K1009" t="s">
        <v>47</v>
      </c>
      <c r="L1009" t="s">
        <v>66</v>
      </c>
      <c r="M1009">
        <v>37</v>
      </c>
      <c r="O1009">
        <v>0</v>
      </c>
      <c r="P1009" t="s">
        <v>40</v>
      </c>
      <c r="Q1009">
        <v>524</v>
      </c>
      <c r="R1009" t="s">
        <v>1607</v>
      </c>
      <c r="S1009">
        <f>IF(support_tickets[[#This Row],[status_cleaned]]="closed",1,0)</f>
        <v>0</v>
      </c>
      <c r="T1009" t="str">
        <f>TEXT(support_tickets[[#This Row],[opened_at]],"mmm yyyy")</f>
        <v>Feb 2026</v>
      </c>
      <c r="U1009">
        <f>YEAR(support_tickets[[#This Row],[opened_at]])*100+MONTH(support_tickets[[#This Row],[opened_at]])</f>
        <v>202602</v>
      </c>
      <c r="V1009" s="29">
        <f>DATE(YEAR(support_tickets[[#This Row],[opened_at]]),MONTH(support_tickets[[#This Row],[opened_at]]),1)</f>
        <v>46054</v>
      </c>
    </row>
    <row r="1010" spans="1:22">
      <c r="A1010">
        <v>4187740647</v>
      </c>
      <c r="B1010">
        <v>208599066</v>
      </c>
      <c r="C1010" t="s">
        <v>122</v>
      </c>
      <c r="D1010" t="s">
        <v>123</v>
      </c>
      <c r="E1010">
        <v>50056581</v>
      </c>
      <c r="F1010">
        <v>3857274115</v>
      </c>
      <c r="G1010" s="1">
        <v>45668.288124999999</v>
      </c>
      <c r="I1010" t="s">
        <v>46</v>
      </c>
      <c r="J1010" t="s">
        <v>86</v>
      </c>
      <c r="K1010" t="s">
        <v>47</v>
      </c>
      <c r="L1010" t="s">
        <v>66</v>
      </c>
      <c r="M1010">
        <v>26</v>
      </c>
      <c r="O1010">
        <v>0</v>
      </c>
      <c r="P1010" t="s">
        <v>87</v>
      </c>
      <c r="Q1010">
        <v>548</v>
      </c>
      <c r="R1010" t="s">
        <v>1607</v>
      </c>
      <c r="S1010">
        <f>IF(support_tickets[[#This Row],[status_cleaned]]="closed",1,0)</f>
        <v>0</v>
      </c>
      <c r="T1010" t="str">
        <f>TEXT(support_tickets[[#This Row],[opened_at]],"mmm yyyy")</f>
        <v>Jan 2025</v>
      </c>
      <c r="U1010">
        <f>YEAR(support_tickets[[#This Row],[opened_at]])*100+MONTH(support_tickets[[#This Row],[opened_at]])</f>
        <v>202501</v>
      </c>
      <c r="V1010" s="29">
        <f>DATE(YEAR(support_tickets[[#This Row],[opened_at]]),MONTH(support_tickets[[#This Row],[opened_at]]),1)</f>
        <v>45658</v>
      </c>
    </row>
    <row r="1011" spans="1:22">
      <c r="A1011">
        <v>4331884611</v>
      </c>
      <c r="B1011">
        <v>604803700</v>
      </c>
      <c r="C1011" t="s">
        <v>502</v>
      </c>
      <c r="D1011" t="s">
        <v>503</v>
      </c>
      <c r="E1011">
        <v>22201654</v>
      </c>
      <c r="G1011" s="1">
        <v>46036.199953703705</v>
      </c>
      <c r="I1011" t="s">
        <v>56</v>
      </c>
      <c r="J1011" t="s">
        <v>25</v>
      </c>
      <c r="K1011" t="s">
        <v>47</v>
      </c>
      <c r="L1011" t="s">
        <v>66</v>
      </c>
      <c r="M1011">
        <v>65</v>
      </c>
      <c r="O1011">
        <v>0</v>
      </c>
      <c r="P1011" t="s">
        <v>27</v>
      </c>
      <c r="Q1011">
        <v>576</v>
      </c>
      <c r="R1011" t="s">
        <v>1607</v>
      </c>
      <c r="S1011">
        <f>IF(support_tickets[[#This Row],[status_cleaned]]="closed",1,0)</f>
        <v>0</v>
      </c>
      <c r="T1011" t="str">
        <f>TEXT(support_tickets[[#This Row],[opened_at]],"mmm yyyy")</f>
        <v>Jan 2026</v>
      </c>
      <c r="U1011">
        <f>YEAR(support_tickets[[#This Row],[opened_at]])*100+MONTH(support_tickets[[#This Row],[opened_at]])</f>
        <v>202601</v>
      </c>
      <c r="V1011" s="29">
        <f>DATE(YEAR(support_tickets[[#This Row],[opened_at]]),MONTH(support_tickets[[#This Row],[opened_at]]),1)</f>
        <v>46023</v>
      </c>
    </row>
    <row r="1012" spans="1:22">
      <c r="A1012">
        <v>4462995869</v>
      </c>
      <c r="B1012">
        <v>493342201</v>
      </c>
      <c r="C1012" t="s">
        <v>926</v>
      </c>
      <c r="D1012" t="s">
        <v>927</v>
      </c>
      <c r="E1012">
        <v>91030736</v>
      </c>
      <c r="G1012" s="1">
        <v>46031.188402777778</v>
      </c>
      <c r="H1012" s="1">
        <v>46031.562708333331</v>
      </c>
      <c r="I1012" t="s">
        <v>56</v>
      </c>
      <c r="J1012" t="s">
        <v>59</v>
      </c>
      <c r="K1012" t="s">
        <v>47</v>
      </c>
      <c r="L1012" t="s">
        <v>66</v>
      </c>
      <c r="M1012">
        <v>29</v>
      </c>
      <c r="N1012">
        <v>539</v>
      </c>
      <c r="O1012">
        <v>0</v>
      </c>
      <c r="P1012" t="s">
        <v>61</v>
      </c>
      <c r="Q1012">
        <v>603</v>
      </c>
      <c r="R1012" t="s">
        <v>1607</v>
      </c>
      <c r="S1012">
        <f>IF(support_tickets[[#This Row],[status_cleaned]]="closed",1,0)</f>
        <v>0</v>
      </c>
      <c r="T1012" t="str">
        <f>TEXT(support_tickets[[#This Row],[opened_at]],"mmm yyyy")</f>
        <v>Jan 2026</v>
      </c>
      <c r="U1012">
        <f>YEAR(support_tickets[[#This Row],[opened_at]])*100+MONTH(support_tickets[[#This Row],[opened_at]])</f>
        <v>202601</v>
      </c>
      <c r="V1012" s="29">
        <f>DATE(YEAR(support_tickets[[#This Row],[opened_at]]),MONTH(support_tickets[[#This Row],[opened_at]]),1)</f>
        <v>46023</v>
      </c>
    </row>
    <row r="1013" spans="1:22">
      <c r="A1013">
        <v>4521880435</v>
      </c>
      <c r="B1013">
        <v>148814238</v>
      </c>
      <c r="C1013" t="s">
        <v>952</v>
      </c>
      <c r="D1013" t="s">
        <v>953</v>
      </c>
      <c r="E1013">
        <v>71586053</v>
      </c>
      <c r="G1013" s="1">
        <v>45375.331319444442</v>
      </c>
      <c r="I1013" t="s">
        <v>37</v>
      </c>
      <c r="J1013" t="s">
        <v>86</v>
      </c>
      <c r="K1013" t="s">
        <v>47</v>
      </c>
      <c r="L1013" t="s">
        <v>66</v>
      </c>
      <c r="M1013">
        <v>32</v>
      </c>
      <c r="O1013">
        <v>0</v>
      </c>
      <c r="P1013" t="s">
        <v>87</v>
      </c>
      <c r="Q1013">
        <v>614</v>
      </c>
      <c r="R1013" t="s">
        <v>1607</v>
      </c>
      <c r="S1013">
        <f>IF(support_tickets[[#This Row],[status_cleaned]]="closed",1,0)</f>
        <v>0</v>
      </c>
      <c r="T1013" t="str">
        <f>TEXT(support_tickets[[#This Row],[opened_at]],"mmm yyyy")</f>
        <v>Mar 2024</v>
      </c>
      <c r="U1013">
        <f>YEAR(support_tickets[[#This Row],[opened_at]])*100+MONTH(support_tickets[[#This Row],[opened_at]])</f>
        <v>202403</v>
      </c>
      <c r="V1013" s="29">
        <f>DATE(YEAR(support_tickets[[#This Row],[opened_at]]),MONTH(support_tickets[[#This Row],[opened_at]]),1)</f>
        <v>45352</v>
      </c>
    </row>
    <row r="1014" spans="1:22">
      <c r="A1014">
        <v>4621186982</v>
      </c>
      <c r="B1014">
        <v>240409084</v>
      </c>
      <c r="C1014" t="s">
        <v>970</v>
      </c>
      <c r="D1014" t="s">
        <v>971</v>
      </c>
      <c r="E1014">
        <v>11540956</v>
      </c>
      <c r="F1014">
        <v>2075819942</v>
      </c>
      <c r="G1014" s="1">
        <v>45832.67769675926</v>
      </c>
      <c r="I1014" t="s">
        <v>3</v>
      </c>
      <c r="J1014" t="s">
        <v>19</v>
      </c>
      <c r="K1014" t="s">
        <v>47</v>
      </c>
      <c r="L1014" t="s">
        <v>66</v>
      </c>
      <c r="M1014">
        <v>48</v>
      </c>
      <c r="O1014">
        <v>0</v>
      </c>
      <c r="P1014" t="s">
        <v>22</v>
      </c>
      <c r="Q1014">
        <v>632</v>
      </c>
      <c r="R1014" t="s">
        <v>1607</v>
      </c>
      <c r="S1014">
        <f>IF(support_tickets[[#This Row],[status_cleaned]]="closed",1,0)</f>
        <v>0</v>
      </c>
      <c r="T1014" t="str">
        <f>TEXT(support_tickets[[#This Row],[opened_at]],"mmm yyyy")</f>
        <v>Jun 2025</v>
      </c>
      <c r="U1014">
        <f>YEAR(support_tickets[[#This Row],[opened_at]])*100+MONTH(support_tickets[[#This Row],[opened_at]])</f>
        <v>202506</v>
      </c>
      <c r="V1014" s="29">
        <f>DATE(YEAR(support_tickets[[#This Row],[opened_at]]),MONTH(support_tickets[[#This Row],[opened_at]]),1)</f>
        <v>45809</v>
      </c>
    </row>
    <row r="1015" spans="1:22">
      <c r="A1015">
        <v>4984628629</v>
      </c>
      <c r="B1015">
        <v>249117905</v>
      </c>
      <c r="C1015" t="s">
        <v>1042</v>
      </c>
      <c r="D1015" t="s">
        <v>1043</v>
      </c>
      <c r="E1015">
        <v>60806024</v>
      </c>
      <c r="G1015" s="1">
        <v>45659.982442129629</v>
      </c>
      <c r="H1015" s="1">
        <v>45660.703275462962</v>
      </c>
      <c r="I1015" t="s">
        <v>18</v>
      </c>
      <c r="J1015" t="s">
        <v>19</v>
      </c>
      <c r="K1015" t="s">
        <v>47</v>
      </c>
      <c r="L1015" t="s">
        <v>66</v>
      </c>
      <c r="M1015">
        <v>25</v>
      </c>
      <c r="N1015">
        <v>1038</v>
      </c>
      <c r="O1015">
        <v>0</v>
      </c>
      <c r="P1015" t="s">
        <v>22</v>
      </c>
      <c r="Q1015">
        <v>695</v>
      </c>
      <c r="R1015" t="s">
        <v>1607</v>
      </c>
      <c r="S1015">
        <f>IF(support_tickets[[#This Row],[status_cleaned]]="closed",1,0)</f>
        <v>0</v>
      </c>
      <c r="T1015" t="str">
        <f>TEXT(support_tickets[[#This Row],[opened_at]],"mmm yyyy")</f>
        <v>Jan 2025</v>
      </c>
      <c r="U1015">
        <f>YEAR(support_tickets[[#This Row],[opened_at]])*100+MONTH(support_tickets[[#This Row],[opened_at]])</f>
        <v>202501</v>
      </c>
      <c r="V1015" s="29">
        <f>DATE(YEAR(support_tickets[[#This Row],[opened_at]]),MONTH(support_tickets[[#This Row],[opened_at]]),1)</f>
        <v>45658</v>
      </c>
    </row>
    <row r="1016" spans="1:22">
      <c r="A1016">
        <v>5339143600</v>
      </c>
      <c r="B1016">
        <v>627422192</v>
      </c>
      <c r="C1016" t="s">
        <v>1106</v>
      </c>
      <c r="D1016" t="s">
        <v>1107</v>
      </c>
      <c r="E1016">
        <v>11540956</v>
      </c>
      <c r="F1016">
        <v>4086168237</v>
      </c>
      <c r="G1016" s="1">
        <v>45848.716944444444</v>
      </c>
      <c r="I1016" t="s">
        <v>3</v>
      </c>
      <c r="J1016" t="s">
        <v>38</v>
      </c>
      <c r="K1016" t="s">
        <v>47</v>
      </c>
      <c r="L1016" t="s">
        <v>66</v>
      </c>
      <c r="M1016">
        <v>41</v>
      </c>
      <c r="O1016">
        <v>0</v>
      </c>
      <c r="P1016" t="s">
        <v>40</v>
      </c>
      <c r="Q1016">
        <v>768</v>
      </c>
      <c r="R1016" t="s">
        <v>1607</v>
      </c>
      <c r="S1016">
        <f>IF(support_tickets[[#This Row],[status_cleaned]]="closed",1,0)</f>
        <v>0</v>
      </c>
      <c r="T1016" t="str">
        <f>TEXT(support_tickets[[#This Row],[opened_at]],"mmm yyyy")</f>
        <v>Jul 2025</v>
      </c>
      <c r="U1016">
        <f>YEAR(support_tickets[[#This Row],[opened_at]])*100+MONTH(support_tickets[[#This Row],[opened_at]])</f>
        <v>202507</v>
      </c>
      <c r="V1016" s="29">
        <f>DATE(YEAR(support_tickets[[#This Row],[opened_at]]),MONTH(support_tickets[[#This Row],[opened_at]]),1)</f>
        <v>45839</v>
      </c>
    </row>
    <row r="1017" spans="1:22">
      <c r="A1017">
        <v>5340949927</v>
      </c>
      <c r="B1017">
        <v>271476207</v>
      </c>
      <c r="C1017" t="s">
        <v>1108</v>
      </c>
      <c r="D1017" t="s">
        <v>1109</v>
      </c>
      <c r="E1017">
        <v>10076758</v>
      </c>
      <c r="F1017">
        <v>8841061174</v>
      </c>
      <c r="G1017" s="1">
        <v>45743.422465277778</v>
      </c>
      <c r="H1017" s="1">
        <v>45743.92732638889</v>
      </c>
      <c r="I1017" t="s">
        <v>18</v>
      </c>
      <c r="J1017" t="s">
        <v>59</v>
      </c>
      <c r="K1017" t="s">
        <v>47</v>
      </c>
      <c r="L1017" t="s">
        <v>66</v>
      </c>
      <c r="M1017">
        <v>63</v>
      </c>
      <c r="N1017">
        <v>727</v>
      </c>
      <c r="O1017">
        <v>0</v>
      </c>
      <c r="P1017" t="s">
        <v>61</v>
      </c>
      <c r="Q1017">
        <v>769</v>
      </c>
      <c r="R1017" t="s">
        <v>1607</v>
      </c>
      <c r="S1017">
        <f>IF(support_tickets[[#This Row],[status_cleaned]]="closed",1,0)</f>
        <v>0</v>
      </c>
      <c r="T1017" t="str">
        <f>TEXT(support_tickets[[#This Row],[opened_at]],"mmm yyyy")</f>
        <v>Mar 2025</v>
      </c>
      <c r="U1017">
        <f>YEAR(support_tickets[[#This Row],[opened_at]])*100+MONTH(support_tickets[[#This Row],[opened_at]])</f>
        <v>202503</v>
      </c>
      <c r="V1017" s="29">
        <f>DATE(YEAR(support_tickets[[#This Row],[opened_at]]),MONTH(support_tickets[[#This Row],[opened_at]]),1)</f>
        <v>45717</v>
      </c>
    </row>
    <row r="1018" spans="1:22">
      <c r="A1018">
        <v>5806544941</v>
      </c>
      <c r="B1018">
        <v>494435754</v>
      </c>
      <c r="C1018" t="s">
        <v>1128</v>
      </c>
      <c r="D1018" t="s">
        <v>1129</v>
      </c>
      <c r="E1018">
        <v>96028436</v>
      </c>
      <c r="F1018">
        <v>5739956073</v>
      </c>
      <c r="G1018" s="1">
        <v>46055.733090277776</v>
      </c>
      <c r="I1018" t="s">
        <v>56</v>
      </c>
      <c r="J1018" t="s">
        <v>59</v>
      </c>
      <c r="K1018" t="s">
        <v>47</v>
      </c>
      <c r="L1018" t="s">
        <v>66</v>
      </c>
      <c r="M1018">
        <v>49</v>
      </c>
      <c r="O1018">
        <v>0</v>
      </c>
      <c r="P1018" t="s">
        <v>61</v>
      </c>
      <c r="Q1018">
        <v>858</v>
      </c>
      <c r="R1018" t="s">
        <v>1607</v>
      </c>
      <c r="S1018">
        <f>IF(support_tickets[[#This Row],[status_cleaned]]="closed",1,0)</f>
        <v>0</v>
      </c>
      <c r="T1018" t="str">
        <f>TEXT(support_tickets[[#This Row],[opened_at]],"mmm yyyy")</f>
        <v>Feb 2026</v>
      </c>
      <c r="U1018">
        <f>YEAR(support_tickets[[#This Row],[opened_at]])*100+MONTH(support_tickets[[#This Row],[opened_at]])</f>
        <v>202602</v>
      </c>
      <c r="V1018" s="29">
        <f>DATE(YEAR(support_tickets[[#This Row],[opened_at]]),MONTH(support_tickets[[#This Row],[opened_at]]),1)</f>
        <v>46054</v>
      </c>
    </row>
    <row r="1019" spans="1:22">
      <c r="A1019">
        <v>5841375446</v>
      </c>
      <c r="B1019">
        <v>653953485</v>
      </c>
      <c r="C1019" t="s">
        <v>1182</v>
      </c>
      <c r="D1019" t="s">
        <v>1183</v>
      </c>
      <c r="E1019">
        <v>29175900</v>
      </c>
      <c r="F1019">
        <v>9629398996</v>
      </c>
      <c r="G1019" s="1">
        <v>45831.111030092594</v>
      </c>
      <c r="I1019" t="s">
        <v>3</v>
      </c>
      <c r="J1019" t="s">
        <v>86</v>
      </c>
      <c r="K1019" t="s">
        <v>47</v>
      </c>
      <c r="L1019" t="s">
        <v>66</v>
      </c>
      <c r="M1019">
        <v>62</v>
      </c>
      <c r="O1019">
        <v>0</v>
      </c>
      <c r="P1019" t="s">
        <v>87</v>
      </c>
      <c r="Q1019">
        <v>860</v>
      </c>
      <c r="R1019" t="s">
        <v>1607</v>
      </c>
      <c r="S1019">
        <f>IF(support_tickets[[#This Row],[status_cleaned]]="closed",1,0)</f>
        <v>0</v>
      </c>
      <c r="T1019" t="str">
        <f>TEXT(support_tickets[[#This Row],[opened_at]],"mmm yyyy")</f>
        <v>Jun 2025</v>
      </c>
      <c r="U1019">
        <f>YEAR(support_tickets[[#This Row],[opened_at]])*100+MONTH(support_tickets[[#This Row],[opened_at]])</f>
        <v>202506</v>
      </c>
      <c r="V1019" s="29">
        <f>DATE(YEAR(support_tickets[[#This Row],[opened_at]]),MONTH(support_tickets[[#This Row],[opened_at]]),1)</f>
        <v>45809</v>
      </c>
    </row>
    <row r="1020" spans="1:22">
      <c r="A1020">
        <v>5956042044</v>
      </c>
      <c r="B1020">
        <v>634764290</v>
      </c>
      <c r="C1020" t="s">
        <v>692</v>
      </c>
      <c r="D1020" t="s">
        <v>693</v>
      </c>
      <c r="E1020">
        <v>42329237</v>
      </c>
      <c r="F1020">
        <v>8788600364</v>
      </c>
      <c r="G1020" s="1">
        <v>45842.313981481479</v>
      </c>
      <c r="H1020" s="1">
        <v>45842.868842592594</v>
      </c>
      <c r="I1020" t="s">
        <v>37</v>
      </c>
      <c r="J1020" t="s">
        <v>30</v>
      </c>
      <c r="K1020" t="s">
        <v>47</v>
      </c>
      <c r="L1020" t="s">
        <v>66</v>
      </c>
      <c r="M1020">
        <v>6</v>
      </c>
      <c r="N1020">
        <v>799</v>
      </c>
      <c r="O1020">
        <v>0</v>
      </c>
      <c r="P1020" t="s">
        <v>31</v>
      </c>
      <c r="Q1020">
        <v>880</v>
      </c>
      <c r="R1020" t="s">
        <v>1607</v>
      </c>
      <c r="S1020">
        <f>IF(support_tickets[[#This Row],[status_cleaned]]="closed",1,0)</f>
        <v>0</v>
      </c>
      <c r="T1020" t="str">
        <f>TEXT(support_tickets[[#This Row],[opened_at]],"mmm yyyy")</f>
        <v>Jul 2025</v>
      </c>
      <c r="U1020">
        <f>YEAR(support_tickets[[#This Row],[opened_at]])*100+MONTH(support_tickets[[#This Row],[opened_at]])</f>
        <v>202507</v>
      </c>
      <c r="V1020" s="29">
        <f>DATE(YEAR(support_tickets[[#This Row],[opened_at]]),MONTH(support_tickets[[#This Row],[opened_at]]),1)</f>
        <v>45839</v>
      </c>
    </row>
    <row r="1021" spans="1:22">
      <c r="A1021">
        <v>6139475525</v>
      </c>
      <c r="B1021">
        <v>992649957</v>
      </c>
      <c r="C1021" t="s">
        <v>742</v>
      </c>
      <c r="D1021" t="s">
        <v>743</v>
      </c>
      <c r="E1021">
        <v>66792612</v>
      </c>
      <c r="G1021" s="1">
        <v>45821.314120370371</v>
      </c>
      <c r="I1021" t="s">
        <v>18</v>
      </c>
      <c r="J1021" t="s">
        <v>19</v>
      </c>
      <c r="K1021" t="s">
        <v>47</v>
      </c>
      <c r="L1021" t="s">
        <v>66</v>
      </c>
      <c r="M1021">
        <v>23</v>
      </c>
      <c r="O1021">
        <v>0</v>
      </c>
      <c r="P1021" t="s">
        <v>22</v>
      </c>
      <c r="Q1021">
        <v>916</v>
      </c>
      <c r="R1021" t="s">
        <v>1607</v>
      </c>
      <c r="S1021">
        <f>IF(support_tickets[[#This Row],[status_cleaned]]="closed",1,0)</f>
        <v>0</v>
      </c>
      <c r="T1021" t="str">
        <f>TEXT(support_tickets[[#This Row],[opened_at]],"mmm yyyy")</f>
        <v>Jun 2025</v>
      </c>
      <c r="U1021">
        <f>YEAR(support_tickets[[#This Row],[opened_at]])*100+MONTH(support_tickets[[#This Row],[opened_at]])</f>
        <v>202506</v>
      </c>
      <c r="V1021" s="29">
        <f>DATE(YEAR(support_tickets[[#This Row],[opened_at]]),MONTH(support_tickets[[#This Row],[opened_at]]),1)</f>
        <v>45809</v>
      </c>
    </row>
    <row r="1022" spans="1:22">
      <c r="A1022">
        <v>6535998610</v>
      </c>
      <c r="B1022">
        <v>592755658</v>
      </c>
      <c r="C1022" t="s">
        <v>536</v>
      </c>
      <c r="D1022" t="s">
        <v>537</v>
      </c>
      <c r="E1022">
        <v>90801586</v>
      </c>
      <c r="F1022">
        <v>5308215823</v>
      </c>
      <c r="G1022" s="1">
        <v>45638.147812499999</v>
      </c>
      <c r="I1022" t="s">
        <v>46</v>
      </c>
      <c r="J1022" t="s">
        <v>25</v>
      </c>
      <c r="K1022" t="s">
        <v>47</v>
      </c>
      <c r="L1022" t="s">
        <v>66</v>
      </c>
      <c r="M1022">
        <v>60</v>
      </c>
      <c r="O1022">
        <v>0</v>
      </c>
      <c r="P1022" t="s">
        <v>27</v>
      </c>
      <c r="Q1022">
        <v>977</v>
      </c>
      <c r="R1022" t="s">
        <v>1607</v>
      </c>
      <c r="S1022">
        <f>IF(support_tickets[[#This Row],[status_cleaned]]="closed",1,0)</f>
        <v>0</v>
      </c>
      <c r="T1022" t="str">
        <f>TEXT(support_tickets[[#This Row],[opened_at]],"mmm yyyy")</f>
        <v>Dec 2024</v>
      </c>
      <c r="U1022">
        <f>YEAR(support_tickets[[#This Row],[opened_at]])*100+MONTH(support_tickets[[#This Row],[opened_at]])</f>
        <v>202412</v>
      </c>
      <c r="V1022" s="29">
        <f>DATE(YEAR(support_tickets[[#This Row],[opened_at]]),MONTH(support_tickets[[#This Row],[opened_at]]),1)</f>
        <v>45627</v>
      </c>
    </row>
    <row r="1023" spans="1:22">
      <c r="A1023">
        <v>7071468320</v>
      </c>
      <c r="B1023">
        <v>371993587</v>
      </c>
      <c r="C1023" t="s">
        <v>544</v>
      </c>
      <c r="D1023" t="s">
        <v>545</v>
      </c>
      <c r="E1023">
        <v>22575562</v>
      </c>
      <c r="G1023" s="1">
        <v>45383.438900462963</v>
      </c>
      <c r="I1023" t="s">
        <v>18</v>
      </c>
      <c r="J1023" t="s">
        <v>30</v>
      </c>
      <c r="K1023" t="s">
        <v>47</v>
      </c>
      <c r="L1023" t="s">
        <v>66</v>
      </c>
      <c r="M1023">
        <v>68</v>
      </c>
      <c r="O1023">
        <v>0</v>
      </c>
      <c r="P1023" t="s">
        <v>31</v>
      </c>
      <c r="Q1023">
        <v>1044</v>
      </c>
      <c r="R1023" t="s">
        <v>1607</v>
      </c>
      <c r="S1023">
        <f>IF(support_tickets[[#This Row],[status_cleaned]]="closed",1,0)</f>
        <v>0</v>
      </c>
      <c r="T1023" t="str">
        <f>TEXT(support_tickets[[#This Row],[opened_at]],"mmm yyyy")</f>
        <v>Apr 2024</v>
      </c>
      <c r="U1023">
        <f>YEAR(support_tickets[[#This Row],[opened_at]])*100+MONTH(support_tickets[[#This Row],[opened_at]])</f>
        <v>202404</v>
      </c>
      <c r="V1023" s="29">
        <f>DATE(YEAR(support_tickets[[#This Row],[opened_at]]),MONTH(support_tickets[[#This Row],[opened_at]]),1)</f>
        <v>45383</v>
      </c>
    </row>
    <row r="1024" spans="1:22">
      <c r="A1024">
        <v>7473919076</v>
      </c>
      <c r="B1024">
        <v>996703082</v>
      </c>
      <c r="C1024" t="s">
        <v>1370</v>
      </c>
      <c r="D1024" t="s">
        <v>1371</v>
      </c>
      <c r="E1024">
        <v>24942603</v>
      </c>
      <c r="F1024">
        <v>7755292104</v>
      </c>
      <c r="G1024" s="1">
        <v>45951.446273148147</v>
      </c>
      <c r="I1024" t="s">
        <v>18</v>
      </c>
      <c r="J1024" t="s">
        <v>25</v>
      </c>
      <c r="K1024" t="s">
        <v>47</v>
      </c>
      <c r="L1024" t="s">
        <v>66</v>
      </c>
      <c r="M1024">
        <v>64</v>
      </c>
      <c r="O1024">
        <v>0</v>
      </c>
      <c r="P1024" t="s">
        <v>27</v>
      </c>
      <c r="Q1024">
        <v>1100</v>
      </c>
      <c r="R1024" t="s">
        <v>1607</v>
      </c>
      <c r="S1024">
        <f>IF(support_tickets[[#This Row],[status_cleaned]]="closed",1,0)</f>
        <v>0</v>
      </c>
      <c r="T1024" t="str">
        <f>TEXT(support_tickets[[#This Row],[opened_at]],"mmm yyyy")</f>
        <v>Oct 2025</v>
      </c>
      <c r="U1024">
        <f>YEAR(support_tickets[[#This Row],[opened_at]])*100+MONTH(support_tickets[[#This Row],[opened_at]])</f>
        <v>202510</v>
      </c>
      <c r="V1024" s="29">
        <f>DATE(YEAR(support_tickets[[#This Row],[opened_at]]),MONTH(support_tickets[[#This Row],[opened_at]]),1)</f>
        <v>45931</v>
      </c>
    </row>
    <row r="1025" spans="1:22">
      <c r="A1025">
        <v>8004278884</v>
      </c>
      <c r="B1025">
        <v>615877957</v>
      </c>
      <c r="C1025" t="s">
        <v>1420</v>
      </c>
      <c r="D1025" t="s">
        <v>1421</v>
      </c>
      <c r="E1025">
        <v>25014631</v>
      </c>
      <c r="G1025" s="1">
        <v>45810.631863425922</v>
      </c>
      <c r="I1025" t="s">
        <v>3</v>
      </c>
      <c r="J1025" t="s">
        <v>25</v>
      </c>
      <c r="K1025" t="s">
        <v>47</v>
      </c>
      <c r="L1025" t="s">
        <v>66</v>
      </c>
      <c r="M1025">
        <v>17</v>
      </c>
      <c r="O1025">
        <v>0</v>
      </c>
      <c r="P1025" t="s">
        <v>27</v>
      </c>
      <c r="Q1025">
        <v>1183</v>
      </c>
      <c r="R1025" t="s">
        <v>1607</v>
      </c>
      <c r="S1025">
        <f>IF(support_tickets[[#This Row],[status_cleaned]]="closed",1,0)</f>
        <v>0</v>
      </c>
      <c r="T1025" t="str">
        <f>TEXT(support_tickets[[#This Row],[opened_at]],"mmm yyyy")</f>
        <v>Jun 2025</v>
      </c>
      <c r="U1025">
        <f>YEAR(support_tickets[[#This Row],[opened_at]])*100+MONTH(support_tickets[[#This Row],[opened_at]])</f>
        <v>202506</v>
      </c>
      <c r="V1025" s="29">
        <f>DATE(YEAR(support_tickets[[#This Row],[opened_at]]),MONTH(support_tickets[[#This Row],[opened_at]]),1)</f>
        <v>45809</v>
      </c>
    </row>
    <row r="1026" spans="1:22">
      <c r="A1026">
        <v>8467188088</v>
      </c>
      <c r="B1026">
        <v>662890182</v>
      </c>
      <c r="C1026" t="s">
        <v>196</v>
      </c>
      <c r="D1026" t="s">
        <v>197</v>
      </c>
      <c r="E1026">
        <v>88461803</v>
      </c>
      <c r="F1026">
        <v>7021836592</v>
      </c>
      <c r="G1026" s="1">
        <v>45332.874351851853</v>
      </c>
      <c r="I1026" t="s">
        <v>43</v>
      </c>
      <c r="J1026" t="s">
        <v>30</v>
      </c>
      <c r="K1026" t="s">
        <v>47</v>
      </c>
      <c r="L1026" t="s">
        <v>66</v>
      </c>
      <c r="M1026">
        <v>48</v>
      </c>
      <c r="O1026">
        <v>0</v>
      </c>
      <c r="P1026" t="s">
        <v>31</v>
      </c>
      <c r="Q1026">
        <v>1250</v>
      </c>
      <c r="R1026" t="s">
        <v>1607</v>
      </c>
      <c r="S1026">
        <f>IF(support_tickets[[#This Row],[status_cleaned]]="closed",1,0)</f>
        <v>0</v>
      </c>
      <c r="T1026" t="str">
        <f>TEXT(support_tickets[[#This Row],[opened_at]],"mmm yyyy")</f>
        <v>Feb 2024</v>
      </c>
      <c r="U1026">
        <f>YEAR(support_tickets[[#This Row],[opened_at]])*100+MONTH(support_tickets[[#This Row],[opened_at]])</f>
        <v>202402</v>
      </c>
      <c r="V1026" s="29">
        <f>DATE(YEAR(support_tickets[[#This Row],[opened_at]]),MONTH(support_tickets[[#This Row],[opened_at]]),1)</f>
        <v>45323</v>
      </c>
    </row>
    <row r="1027" spans="1:22">
      <c r="A1027">
        <v>8508391753</v>
      </c>
      <c r="B1027">
        <v>117647321</v>
      </c>
      <c r="C1027" t="s">
        <v>1461</v>
      </c>
      <c r="D1027" t="s">
        <v>1462</v>
      </c>
      <c r="E1027">
        <v>17774584</v>
      </c>
      <c r="F1027">
        <v>3408619421</v>
      </c>
      <c r="G1027" s="1">
        <v>45931.001712962963</v>
      </c>
      <c r="I1027" t="s">
        <v>3</v>
      </c>
      <c r="J1027" t="s">
        <v>19</v>
      </c>
      <c r="K1027" t="s">
        <v>47</v>
      </c>
      <c r="L1027" t="s">
        <v>66</v>
      </c>
      <c r="M1027">
        <v>23</v>
      </c>
      <c r="O1027">
        <v>0</v>
      </c>
      <c r="P1027" t="s">
        <v>22</v>
      </c>
      <c r="Q1027">
        <v>1256</v>
      </c>
      <c r="R1027" t="s">
        <v>1607</v>
      </c>
      <c r="S1027">
        <f>IF(support_tickets[[#This Row],[status_cleaned]]="closed",1,0)</f>
        <v>0</v>
      </c>
      <c r="T1027" t="str">
        <f>TEXT(support_tickets[[#This Row],[opened_at]],"mmm yyyy")</f>
        <v>Oct 2025</v>
      </c>
      <c r="U1027">
        <f>YEAR(support_tickets[[#This Row],[opened_at]])*100+MONTH(support_tickets[[#This Row],[opened_at]])</f>
        <v>202510</v>
      </c>
      <c r="V1027" s="29">
        <f>DATE(YEAR(support_tickets[[#This Row],[opened_at]]),MONTH(support_tickets[[#This Row],[opened_at]]),1)</f>
        <v>45931</v>
      </c>
    </row>
    <row r="1028" spans="1:22">
      <c r="A1028">
        <v>8509158906</v>
      </c>
      <c r="B1028">
        <v>843937341</v>
      </c>
      <c r="C1028" t="s">
        <v>698</v>
      </c>
      <c r="D1028" t="s">
        <v>699</v>
      </c>
      <c r="E1028">
        <v>77187530</v>
      </c>
      <c r="G1028" s="1">
        <v>45348.407326388886</v>
      </c>
      <c r="I1028" t="s">
        <v>18</v>
      </c>
      <c r="J1028" t="s">
        <v>25</v>
      </c>
      <c r="K1028" t="s">
        <v>47</v>
      </c>
      <c r="L1028" t="s">
        <v>66</v>
      </c>
      <c r="M1028">
        <v>24</v>
      </c>
      <c r="O1028">
        <v>0</v>
      </c>
      <c r="P1028" t="s">
        <v>27</v>
      </c>
      <c r="Q1028">
        <v>1257</v>
      </c>
      <c r="R1028" t="s">
        <v>1607</v>
      </c>
      <c r="S1028">
        <f>IF(support_tickets[[#This Row],[status_cleaned]]="closed",1,0)</f>
        <v>0</v>
      </c>
      <c r="T1028" t="str">
        <f>TEXT(support_tickets[[#This Row],[opened_at]],"mmm yyyy")</f>
        <v>Feb 2024</v>
      </c>
      <c r="U1028">
        <f>YEAR(support_tickets[[#This Row],[opened_at]])*100+MONTH(support_tickets[[#This Row],[opened_at]])</f>
        <v>202402</v>
      </c>
      <c r="V1028" s="29">
        <f>DATE(YEAR(support_tickets[[#This Row],[opened_at]]),MONTH(support_tickets[[#This Row],[opened_at]]),1)</f>
        <v>45323</v>
      </c>
    </row>
    <row r="1029" spans="1:22">
      <c r="A1029">
        <v>9052874560</v>
      </c>
      <c r="B1029">
        <v>962915335</v>
      </c>
      <c r="C1029" t="s">
        <v>620</v>
      </c>
      <c r="D1029" t="s">
        <v>621</v>
      </c>
      <c r="E1029">
        <v>58966946</v>
      </c>
      <c r="G1029" s="1">
        <v>45564.380682870367</v>
      </c>
      <c r="I1029" t="s">
        <v>43</v>
      </c>
      <c r="J1029" t="s">
        <v>19</v>
      </c>
      <c r="K1029" t="s">
        <v>47</v>
      </c>
      <c r="L1029" t="s">
        <v>66</v>
      </c>
      <c r="M1029">
        <v>57</v>
      </c>
      <c r="O1029">
        <v>0</v>
      </c>
      <c r="P1029" t="s">
        <v>22</v>
      </c>
      <c r="Q1029">
        <v>1356</v>
      </c>
      <c r="R1029" t="s">
        <v>1607</v>
      </c>
      <c r="S1029">
        <f>IF(support_tickets[[#This Row],[status_cleaned]]="closed",1,0)</f>
        <v>0</v>
      </c>
      <c r="T1029" t="str">
        <f>TEXT(support_tickets[[#This Row],[opened_at]],"mmm yyyy")</f>
        <v>Sep 2024</v>
      </c>
      <c r="U1029">
        <f>YEAR(support_tickets[[#This Row],[opened_at]])*100+MONTH(support_tickets[[#This Row],[opened_at]])</f>
        <v>202409</v>
      </c>
      <c r="V1029" s="29">
        <f>DATE(YEAR(support_tickets[[#This Row],[opened_at]]),MONTH(support_tickets[[#This Row],[opened_at]]),1)</f>
        <v>45536</v>
      </c>
    </row>
    <row r="1030" spans="1:22">
      <c r="A1030">
        <v>9399351344</v>
      </c>
      <c r="B1030">
        <v>313736772</v>
      </c>
      <c r="C1030" t="s">
        <v>1541</v>
      </c>
      <c r="D1030" t="s">
        <v>1542</v>
      </c>
      <c r="E1030">
        <v>22981052</v>
      </c>
      <c r="G1030" s="1">
        <v>45313.271851851852</v>
      </c>
      <c r="H1030" s="1">
        <v>45313.611435185187</v>
      </c>
      <c r="I1030" t="s">
        <v>18</v>
      </c>
      <c r="J1030" t="s">
        <v>59</v>
      </c>
      <c r="K1030" t="s">
        <v>47</v>
      </c>
      <c r="L1030" t="s">
        <v>66</v>
      </c>
      <c r="M1030">
        <v>57</v>
      </c>
      <c r="N1030">
        <v>489</v>
      </c>
      <c r="O1030">
        <v>0</v>
      </c>
      <c r="P1030" t="s">
        <v>61</v>
      </c>
      <c r="Q1030">
        <v>1418</v>
      </c>
      <c r="R1030" t="s">
        <v>1607</v>
      </c>
      <c r="S1030">
        <f>IF(support_tickets[[#This Row],[status_cleaned]]="closed",1,0)</f>
        <v>0</v>
      </c>
      <c r="T1030" t="str">
        <f>TEXT(support_tickets[[#This Row],[opened_at]],"mmm yyyy")</f>
        <v>Jan 2024</v>
      </c>
      <c r="U1030">
        <f>YEAR(support_tickets[[#This Row],[opened_at]])*100+MONTH(support_tickets[[#This Row],[opened_at]])</f>
        <v>202401</v>
      </c>
      <c r="V1030" s="29">
        <f>DATE(YEAR(support_tickets[[#This Row],[opened_at]]),MONTH(support_tickets[[#This Row],[opened_at]]),1)</f>
        <v>45292</v>
      </c>
    </row>
    <row r="1031" spans="1:22">
      <c r="A1031">
        <v>9422071492</v>
      </c>
      <c r="B1031">
        <v>893158610</v>
      </c>
      <c r="C1031" t="s">
        <v>1250</v>
      </c>
      <c r="D1031" t="s">
        <v>1251</v>
      </c>
      <c r="E1031">
        <v>61019678</v>
      </c>
      <c r="G1031" s="1">
        <v>45849.099282407406</v>
      </c>
      <c r="I1031" t="s">
        <v>43</v>
      </c>
      <c r="J1031" t="s">
        <v>30</v>
      </c>
      <c r="K1031" t="s">
        <v>47</v>
      </c>
      <c r="L1031" t="s">
        <v>66</v>
      </c>
      <c r="M1031">
        <v>63</v>
      </c>
      <c r="O1031">
        <v>0</v>
      </c>
      <c r="P1031" t="s">
        <v>31</v>
      </c>
      <c r="Q1031">
        <v>1423</v>
      </c>
      <c r="R1031" t="s">
        <v>1607</v>
      </c>
      <c r="S1031">
        <f>IF(support_tickets[[#This Row],[status_cleaned]]="closed",1,0)</f>
        <v>0</v>
      </c>
      <c r="T1031" t="str">
        <f>TEXT(support_tickets[[#This Row],[opened_at]],"mmm yyyy")</f>
        <v>Jul 2025</v>
      </c>
      <c r="U1031">
        <f>YEAR(support_tickets[[#This Row],[opened_at]])*100+MONTH(support_tickets[[#This Row],[opened_at]])</f>
        <v>202507</v>
      </c>
      <c r="V1031" s="29">
        <f>DATE(YEAR(support_tickets[[#This Row],[opened_at]]),MONTH(support_tickets[[#This Row],[opened_at]]),1)</f>
        <v>45839</v>
      </c>
    </row>
    <row r="1032" spans="1:22">
      <c r="A1032">
        <v>9456485428</v>
      </c>
      <c r="B1032">
        <v>424371087</v>
      </c>
      <c r="C1032" t="s">
        <v>1547</v>
      </c>
      <c r="D1032" t="s">
        <v>1548</v>
      </c>
      <c r="E1032">
        <v>42329237</v>
      </c>
      <c r="F1032">
        <v>3883404698</v>
      </c>
      <c r="G1032" s="1">
        <v>46022.488344907404</v>
      </c>
      <c r="I1032" t="s">
        <v>52</v>
      </c>
      <c r="J1032" t="s">
        <v>86</v>
      </c>
      <c r="K1032" t="s">
        <v>47</v>
      </c>
      <c r="L1032" t="s">
        <v>66</v>
      </c>
      <c r="M1032">
        <v>35</v>
      </c>
      <c r="O1032">
        <v>0</v>
      </c>
      <c r="P1032" t="s">
        <v>87</v>
      </c>
      <c r="Q1032">
        <v>1427</v>
      </c>
      <c r="R1032" t="s">
        <v>1607</v>
      </c>
      <c r="S1032">
        <f>IF(support_tickets[[#This Row],[status_cleaned]]="closed",1,0)</f>
        <v>0</v>
      </c>
      <c r="T1032" t="str">
        <f>TEXT(support_tickets[[#This Row],[opened_at]],"mmm yyyy")</f>
        <v>Dec 2025</v>
      </c>
      <c r="U1032">
        <f>YEAR(support_tickets[[#This Row],[opened_at]])*100+MONTH(support_tickets[[#This Row],[opened_at]])</f>
        <v>202512</v>
      </c>
      <c r="V1032" s="29">
        <f>DATE(YEAR(support_tickets[[#This Row],[opened_at]]),MONTH(support_tickets[[#This Row],[opened_at]]),1)</f>
        <v>45992</v>
      </c>
    </row>
    <row r="1033" spans="1:22">
      <c r="A1033">
        <v>9732070589</v>
      </c>
      <c r="B1033">
        <v>354193540</v>
      </c>
      <c r="C1033" t="s">
        <v>1567</v>
      </c>
      <c r="D1033" t="s">
        <v>1568</v>
      </c>
      <c r="E1033">
        <v>28566572</v>
      </c>
      <c r="G1033" s="1">
        <v>45936.835636574076</v>
      </c>
      <c r="I1033" t="s">
        <v>18</v>
      </c>
      <c r="J1033" t="s">
        <v>86</v>
      </c>
      <c r="K1033" t="s">
        <v>47</v>
      </c>
      <c r="L1033" t="s">
        <v>66</v>
      </c>
      <c r="M1033">
        <v>19</v>
      </c>
      <c r="O1033">
        <v>0</v>
      </c>
      <c r="P1033" t="s">
        <v>87</v>
      </c>
      <c r="Q1033">
        <v>1471</v>
      </c>
      <c r="R1033" t="s">
        <v>1607</v>
      </c>
      <c r="S1033">
        <f>IF(support_tickets[[#This Row],[status_cleaned]]="closed",1,0)</f>
        <v>0</v>
      </c>
      <c r="T1033" t="str">
        <f>TEXT(support_tickets[[#This Row],[opened_at]],"mmm yyyy")</f>
        <v>Oct 2025</v>
      </c>
      <c r="U1033">
        <f>YEAR(support_tickets[[#This Row],[opened_at]])*100+MONTH(support_tickets[[#This Row],[opened_at]])</f>
        <v>202510</v>
      </c>
      <c r="V1033" s="29">
        <f>DATE(YEAR(support_tickets[[#This Row],[opened_at]]),MONTH(support_tickets[[#This Row],[opened_at]]),1)</f>
        <v>45931</v>
      </c>
    </row>
    <row r="1034" spans="1:22">
      <c r="A1034">
        <v>1051704079</v>
      </c>
      <c r="B1034">
        <v>166874023</v>
      </c>
      <c r="C1034" t="s">
        <v>54</v>
      </c>
      <c r="D1034" t="s">
        <v>55</v>
      </c>
      <c r="E1034">
        <v>23718431</v>
      </c>
      <c r="G1034" s="1">
        <v>46028.35796296296</v>
      </c>
      <c r="H1034" s="1">
        <v>46028.613518518519</v>
      </c>
      <c r="I1034" t="s">
        <v>56</v>
      </c>
      <c r="J1034" t="s">
        <v>38</v>
      </c>
      <c r="K1034" t="s">
        <v>47</v>
      </c>
      <c r="L1034" t="s">
        <v>21</v>
      </c>
      <c r="M1034">
        <v>70</v>
      </c>
      <c r="N1034">
        <v>368</v>
      </c>
      <c r="O1034">
        <v>0</v>
      </c>
      <c r="P1034" t="s">
        <v>40</v>
      </c>
      <c r="Q1034">
        <v>10</v>
      </c>
      <c r="R1034" t="s">
        <v>39</v>
      </c>
      <c r="S1034">
        <f>IF(support_tickets[[#This Row],[status_cleaned]]="closed",1,0)</f>
        <v>1</v>
      </c>
      <c r="T1034" t="str">
        <f>TEXT(support_tickets[[#This Row],[opened_at]],"mmm yyyy")</f>
        <v>Jan 2026</v>
      </c>
      <c r="U1034">
        <f>YEAR(support_tickets[[#This Row],[opened_at]])*100+MONTH(support_tickets[[#This Row],[opened_at]])</f>
        <v>202601</v>
      </c>
      <c r="V1034" s="29">
        <f>DATE(YEAR(support_tickets[[#This Row],[opened_at]]),MONTH(support_tickets[[#This Row],[opened_at]]),1)</f>
        <v>46023</v>
      </c>
    </row>
    <row r="1035" spans="1:22">
      <c r="A1035">
        <v>1071910991</v>
      </c>
      <c r="B1035">
        <v>691461470</v>
      </c>
      <c r="C1035" t="s">
        <v>67</v>
      </c>
      <c r="D1035" t="s">
        <v>68</v>
      </c>
      <c r="E1035">
        <v>55667651</v>
      </c>
      <c r="F1035">
        <v>1541696649</v>
      </c>
      <c r="G1035" s="1">
        <v>45676.301215277781</v>
      </c>
      <c r="H1035" s="1">
        <v>45676.592187499999</v>
      </c>
      <c r="I1035" t="s">
        <v>18</v>
      </c>
      <c r="J1035" t="s">
        <v>59</v>
      </c>
      <c r="K1035" t="s">
        <v>47</v>
      </c>
      <c r="L1035" t="s">
        <v>21</v>
      </c>
      <c r="M1035">
        <v>82</v>
      </c>
      <c r="N1035">
        <v>419</v>
      </c>
      <c r="O1035">
        <v>0</v>
      </c>
      <c r="P1035" t="s">
        <v>61</v>
      </c>
      <c r="Q1035">
        <v>14</v>
      </c>
      <c r="R1035" t="s">
        <v>39</v>
      </c>
      <c r="S1035">
        <f>IF(support_tickets[[#This Row],[status_cleaned]]="closed",1,0)</f>
        <v>1</v>
      </c>
      <c r="T1035" t="str">
        <f>TEXT(support_tickets[[#This Row],[opened_at]],"mmm yyyy")</f>
        <v>Jan 2025</v>
      </c>
      <c r="U1035">
        <f>YEAR(support_tickets[[#This Row],[opened_at]])*100+MONTH(support_tickets[[#This Row],[opened_at]])</f>
        <v>202501</v>
      </c>
      <c r="V1035" s="29">
        <f>DATE(YEAR(support_tickets[[#This Row],[opened_at]]),MONTH(support_tickets[[#This Row],[opened_at]]),1)</f>
        <v>45658</v>
      </c>
    </row>
    <row r="1036" spans="1:22">
      <c r="A1036">
        <v>1128956696</v>
      </c>
      <c r="B1036">
        <v>410812797</v>
      </c>
      <c r="C1036" t="s">
        <v>90</v>
      </c>
      <c r="D1036" t="s">
        <v>91</v>
      </c>
      <c r="E1036">
        <v>22575562</v>
      </c>
      <c r="G1036" s="1">
        <v>45429.700092592589</v>
      </c>
      <c r="H1036" s="1">
        <v>45429.835509259261</v>
      </c>
      <c r="I1036" t="s">
        <v>46</v>
      </c>
      <c r="J1036" t="s">
        <v>25</v>
      </c>
      <c r="K1036" t="s">
        <v>47</v>
      </c>
      <c r="L1036" t="s">
        <v>21</v>
      </c>
      <c r="M1036">
        <v>10</v>
      </c>
      <c r="N1036">
        <v>195</v>
      </c>
      <c r="O1036">
        <v>0</v>
      </c>
      <c r="P1036" t="s">
        <v>27</v>
      </c>
      <c r="Q1036">
        <v>24</v>
      </c>
      <c r="R1036" t="s">
        <v>39</v>
      </c>
      <c r="S1036">
        <f>IF(support_tickets[[#This Row],[status_cleaned]]="closed",1,0)</f>
        <v>1</v>
      </c>
      <c r="T1036" t="str">
        <f>TEXT(support_tickets[[#This Row],[opened_at]],"mmm yyyy")</f>
        <v>May 2024</v>
      </c>
      <c r="U1036">
        <f>YEAR(support_tickets[[#This Row],[opened_at]])*100+MONTH(support_tickets[[#This Row],[opened_at]])</f>
        <v>202405</v>
      </c>
      <c r="V1036" s="29">
        <f>DATE(YEAR(support_tickets[[#This Row],[opened_at]]),MONTH(support_tickets[[#This Row],[opened_at]]),1)</f>
        <v>45413</v>
      </c>
    </row>
    <row r="1037" spans="1:22">
      <c r="A1037">
        <v>1160947098</v>
      </c>
      <c r="B1037">
        <v>569172971</v>
      </c>
      <c r="C1037" t="s">
        <v>104</v>
      </c>
      <c r="D1037" t="s">
        <v>105</v>
      </c>
      <c r="E1037">
        <v>93926371</v>
      </c>
      <c r="G1037" s="1">
        <v>45706.949097222219</v>
      </c>
      <c r="H1037" s="1">
        <v>45707.363680555558</v>
      </c>
      <c r="I1037" t="s">
        <v>18</v>
      </c>
      <c r="J1037" t="s">
        <v>59</v>
      </c>
      <c r="K1037" t="s">
        <v>47</v>
      </c>
      <c r="L1037" t="s">
        <v>21</v>
      </c>
      <c r="M1037">
        <v>66</v>
      </c>
      <c r="N1037">
        <v>597</v>
      </c>
      <c r="O1037">
        <v>0</v>
      </c>
      <c r="P1037" t="s">
        <v>61</v>
      </c>
      <c r="Q1037">
        <v>31</v>
      </c>
      <c r="R1037" t="s">
        <v>39</v>
      </c>
      <c r="S1037">
        <f>IF(support_tickets[[#This Row],[status_cleaned]]="closed",1,0)</f>
        <v>1</v>
      </c>
      <c r="T1037" t="str">
        <f>TEXT(support_tickets[[#This Row],[opened_at]],"mmm yyyy")</f>
        <v>Feb 2025</v>
      </c>
      <c r="U1037">
        <f>YEAR(support_tickets[[#This Row],[opened_at]])*100+MONTH(support_tickets[[#This Row],[opened_at]])</f>
        <v>202502</v>
      </c>
      <c r="V1037" s="29">
        <f>DATE(YEAR(support_tickets[[#This Row],[opened_at]]),MONTH(support_tickets[[#This Row],[opened_at]]),1)</f>
        <v>45689</v>
      </c>
    </row>
    <row r="1038" spans="1:22">
      <c r="A1038">
        <v>1180232446</v>
      </c>
      <c r="B1038">
        <v>462516271</v>
      </c>
      <c r="C1038" t="s">
        <v>110</v>
      </c>
      <c r="D1038" t="s">
        <v>111</v>
      </c>
      <c r="E1038">
        <v>17774584</v>
      </c>
      <c r="G1038" s="1">
        <v>45872.420613425929</v>
      </c>
      <c r="H1038" s="1">
        <v>45872.716446759259</v>
      </c>
      <c r="I1038" t="s">
        <v>52</v>
      </c>
      <c r="J1038" t="s">
        <v>19</v>
      </c>
      <c r="K1038" t="s">
        <v>47</v>
      </c>
      <c r="L1038" t="s">
        <v>21</v>
      </c>
      <c r="M1038">
        <v>38</v>
      </c>
      <c r="N1038">
        <v>426</v>
      </c>
      <c r="O1038">
        <v>0</v>
      </c>
      <c r="P1038" t="s">
        <v>22</v>
      </c>
      <c r="Q1038">
        <v>34</v>
      </c>
      <c r="R1038" t="s">
        <v>39</v>
      </c>
      <c r="S1038">
        <f>IF(support_tickets[[#This Row],[status_cleaned]]="closed",1,0)</f>
        <v>1</v>
      </c>
      <c r="T1038" t="str">
        <f>TEXT(support_tickets[[#This Row],[opened_at]],"mmm yyyy")</f>
        <v>Aug 2025</v>
      </c>
      <c r="U1038">
        <f>YEAR(support_tickets[[#This Row],[opened_at]])*100+MONTH(support_tickets[[#This Row],[opened_at]])</f>
        <v>202508</v>
      </c>
      <c r="V1038" s="29">
        <f>DATE(YEAR(support_tickets[[#This Row],[opened_at]]),MONTH(support_tickets[[#This Row],[opened_at]]),1)</f>
        <v>45870</v>
      </c>
    </row>
    <row r="1039" spans="1:22">
      <c r="A1039">
        <v>1200432012</v>
      </c>
      <c r="B1039">
        <v>761078179</v>
      </c>
      <c r="C1039" t="s">
        <v>114</v>
      </c>
      <c r="D1039" t="s">
        <v>115</v>
      </c>
      <c r="E1039">
        <v>28740864</v>
      </c>
      <c r="G1039" s="1">
        <v>45370.904178240744</v>
      </c>
      <c r="H1039" s="1">
        <v>45370.942372685182</v>
      </c>
      <c r="I1039" t="s">
        <v>43</v>
      </c>
      <c r="J1039" t="s">
        <v>25</v>
      </c>
      <c r="K1039" t="s">
        <v>47</v>
      </c>
      <c r="L1039" t="s">
        <v>21</v>
      </c>
      <c r="M1039">
        <v>50</v>
      </c>
      <c r="N1039">
        <v>55</v>
      </c>
      <c r="O1039">
        <v>0</v>
      </c>
      <c r="P1039" t="s">
        <v>27</v>
      </c>
      <c r="Q1039">
        <v>36</v>
      </c>
      <c r="R1039" t="s">
        <v>39</v>
      </c>
      <c r="S1039">
        <f>IF(support_tickets[[#This Row],[status_cleaned]]="closed",1,0)</f>
        <v>1</v>
      </c>
      <c r="T1039" t="str">
        <f>TEXT(support_tickets[[#This Row],[opened_at]],"mmm yyyy")</f>
        <v>Mar 2024</v>
      </c>
      <c r="U1039">
        <f>YEAR(support_tickets[[#This Row],[opened_at]])*100+MONTH(support_tickets[[#This Row],[opened_at]])</f>
        <v>202403</v>
      </c>
      <c r="V1039" s="29">
        <f>DATE(YEAR(support_tickets[[#This Row],[opened_at]]),MONTH(support_tickets[[#This Row],[opened_at]]),1)</f>
        <v>45352</v>
      </c>
    </row>
    <row r="1040" spans="1:22">
      <c r="A1040">
        <v>1202491725</v>
      </c>
      <c r="B1040">
        <v>314423806</v>
      </c>
      <c r="C1040" t="s">
        <v>116</v>
      </c>
      <c r="D1040" t="s">
        <v>117</v>
      </c>
      <c r="E1040">
        <v>59684848</v>
      </c>
      <c r="F1040">
        <v>5677108385</v>
      </c>
      <c r="G1040" s="1">
        <v>45495.961863425924</v>
      </c>
      <c r="H1040" s="1">
        <v>45496.282696759263</v>
      </c>
      <c r="I1040" t="s">
        <v>18</v>
      </c>
      <c r="J1040" t="s">
        <v>59</v>
      </c>
      <c r="K1040" t="s">
        <v>47</v>
      </c>
      <c r="L1040" t="s">
        <v>21</v>
      </c>
      <c r="M1040">
        <v>60</v>
      </c>
      <c r="N1040">
        <v>462</v>
      </c>
      <c r="O1040">
        <v>0</v>
      </c>
      <c r="P1040" t="s">
        <v>61</v>
      </c>
      <c r="Q1040">
        <v>37</v>
      </c>
      <c r="R1040" t="s">
        <v>39</v>
      </c>
      <c r="S1040">
        <f>IF(support_tickets[[#This Row],[status_cleaned]]="closed",1,0)</f>
        <v>1</v>
      </c>
      <c r="T1040" t="str">
        <f>TEXT(support_tickets[[#This Row],[opened_at]],"mmm yyyy")</f>
        <v>Jul 2024</v>
      </c>
      <c r="U1040">
        <f>YEAR(support_tickets[[#This Row],[opened_at]])*100+MONTH(support_tickets[[#This Row],[opened_at]])</f>
        <v>202407</v>
      </c>
      <c r="V1040" s="29">
        <f>DATE(YEAR(support_tickets[[#This Row],[opened_at]]),MONTH(support_tickets[[#This Row],[opened_at]]),1)</f>
        <v>45474</v>
      </c>
    </row>
    <row r="1041" spans="1:22">
      <c r="A1041">
        <v>1256884011</v>
      </c>
      <c r="B1041">
        <v>826517607</v>
      </c>
      <c r="C1041" t="s">
        <v>142</v>
      </c>
      <c r="D1041" t="s">
        <v>143</v>
      </c>
      <c r="E1041">
        <v>55657579</v>
      </c>
      <c r="G1041" s="1">
        <v>45639.290069444447</v>
      </c>
      <c r="H1041" s="1">
        <v>45640.034513888888</v>
      </c>
      <c r="I1041" t="s">
        <v>46</v>
      </c>
      <c r="J1041" t="s">
        <v>25</v>
      </c>
      <c r="K1041" t="s">
        <v>47</v>
      </c>
      <c r="L1041" t="s">
        <v>21</v>
      </c>
      <c r="M1041">
        <v>28</v>
      </c>
      <c r="N1041">
        <v>1072</v>
      </c>
      <c r="O1041">
        <v>0</v>
      </c>
      <c r="P1041" t="s">
        <v>27</v>
      </c>
      <c r="Q1041">
        <v>51</v>
      </c>
      <c r="R1041" t="s">
        <v>39</v>
      </c>
      <c r="S1041">
        <f>IF(support_tickets[[#This Row],[status_cleaned]]="closed",1,0)</f>
        <v>1</v>
      </c>
      <c r="T1041" t="str">
        <f>TEXT(support_tickets[[#This Row],[opened_at]],"mmm yyyy")</f>
        <v>Dec 2024</v>
      </c>
      <c r="U1041">
        <f>YEAR(support_tickets[[#This Row],[opened_at]])*100+MONTH(support_tickets[[#This Row],[opened_at]])</f>
        <v>202412</v>
      </c>
      <c r="V1041" s="29">
        <f>DATE(YEAR(support_tickets[[#This Row],[opened_at]]),MONTH(support_tickets[[#This Row],[opened_at]]),1)</f>
        <v>45627</v>
      </c>
    </row>
    <row r="1042" spans="1:22">
      <c r="A1042">
        <v>1275260215</v>
      </c>
      <c r="B1042">
        <v>139711044</v>
      </c>
      <c r="C1042" t="s">
        <v>154</v>
      </c>
      <c r="D1042" t="s">
        <v>155</v>
      </c>
      <c r="E1042">
        <v>70897765</v>
      </c>
      <c r="F1042">
        <v>4329701564</v>
      </c>
      <c r="G1042" s="1">
        <v>45903.413483796299</v>
      </c>
      <c r="H1042" s="1">
        <v>45903.552372685182</v>
      </c>
      <c r="I1042" t="s">
        <v>37</v>
      </c>
      <c r="J1042" t="s">
        <v>86</v>
      </c>
      <c r="K1042" t="s">
        <v>47</v>
      </c>
      <c r="L1042" t="s">
        <v>21</v>
      </c>
      <c r="M1042">
        <v>49</v>
      </c>
      <c r="N1042">
        <v>200</v>
      </c>
      <c r="O1042">
        <v>0</v>
      </c>
      <c r="P1042" t="s">
        <v>87</v>
      </c>
      <c r="Q1042">
        <v>57</v>
      </c>
      <c r="R1042" t="s">
        <v>39</v>
      </c>
      <c r="S1042">
        <f>IF(support_tickets[[#This Row],[status_cleaned]]="closed",1,0)</f>
        <v>1</v>
      </c>
      <c r="T1042" t="str">
        <f>TEXT(support_tickets[[#This Row],[opened_at]],"mmm yyyy")</f>
        <v>Sep 2025</v>
      </c>
      <c r="U1042">
        <f>YEAR(support_tickets[[#This Row],[opened_at]])*100+MONTH(support_tickets[[#This Row],[opened_at]])</f>
        <v>202509</v>
      </c>
      <c r="V1042" s="29">
        <f>DATE(YEAR(support_tickets[[#This Row],[opened_at]]),MONTH(support_tickets[[#This Row],[opened_at]]),1)</f>
        <v>45901</v>
      </c>
    </row>
    <row r="1043" spans="1:22">
      <c r="A1043">
        <v>1321569274</v>
      </c>
      <c r="B1043">
        <v>705771555</v>
      </c>
      <c r="C1043" t="s">
        <v>158</v>
      </c>
      <c r="D1043" t="s">
        <v>159</v>
      </c>
      <c r="E1043">
        <v>24972279</v>
      </c>
      <c r="G1043" s="1">
        <v>45865.04409722222</v>
      </c>
      <c r="H1043" s="1">
        <v>45865.353125000001</v>
      </c>
      <c r="I1043" t="s">
        <v>52</v>
      </c>
      <c r="J1043" t="s">
        <v>19</v>
      </c>
      <c r="K1043" t="s">
        <v>47</v>
      </c>
      <c r="L1043" t="s">
        <v>21</v>
      </c>
      <c r="M1043">
        <v>67</v>
      </c>
      <c r="N1043">
        <v>445</v>
      </c>
      <c r="O1043">
        <v>0</v>
      </c>
      <c r="P1043" t="s">
        <v>22</v>
      </c>
      <c r="Q1043">
        <v>60</v>
      </c>
      <c r="R1043" t="s">
        <v>39</v>
      </c>
      <c r="S1043">
        <f>IF(support_tickets[[#This Row],[status_cleaned]]="closed",1,0)</f>
        <v>1</v>
      </c>
      <c r="T1043" t="str">
        <f>TEXT(support_tickets[[#This Row],[opened_at]],"mmm yyyy")</f>
        <v>Jul 2025</v>
      </c>
      <c r="U1043">
        <f>YEAR(support_tickets[[#This Row],[opened_at]])*100+MONTH(support_tickets[[#This Row],[opened_at]])</f>
        <v>202507</v>
      </c>
      <c r="V1043" s="29">
        <f>DATE(YEAR(support_tickets[[#This Row],[opened_at]]),MONTH(support_tickets[[#This Row],[opened_at]]),1)</f>
        <v>45839</v>
      </c>
    </row>
    <row r="1044" spans="1:22">
      <c r="A1044">
        <v>1388547958</v>
      </c>
      <c r="B1044">
        <v>419561201</v>
      </c>
      <c r="C1044" t="s">
        <v>174</v>
      </c>
      <c r="D1044" t="s">
        <v>175</v>
      </c>
      <c r="E1044">
        <v>89254563</v>
      </c>
      <c r="G1044" s="1">
        <v>45677.082511574074</v>
      </c>
      <c r="H1044" s="1">
        <v>45677.106817129628</v>
      </c>
      <c r="I1044" t="s">
        <v>43</v>
      </c>
      <c r="J1044" t="s">
        <v>86</v>
      </c>
      <c r="K1044" t="s">
        <v>47</v>
      </c>
      <c r="L1044" t="s">
        <v>21</v>
      </c>
      <c r="M1044">
        <v>30</v>
      </c>
      <c r="N1044">
        <v>35</v>
      </c>
      <c r="O1044">
        <v>0</v>
      </c>
      <c r="P1044" t="s">
        <v>87</v>
      </c>
      <c r="Q1044">
        <v>69</v>
      </c>
      <c r="R1044" t="s">
        <v>39</v>
      </c>
      <c r="S1044">
        <f>IF(support_tickets[[#This Row],[status_cleaned]]="closed",1,0)</f>
        <v>1</v>
      </c>
      <c r="T1044" t="str">
        <f>TEXT(support_tickets[[#This Row],[opened_at]],"mmm yyyy")</f>
        <v>Jan 2025</v>
      </c>
      <c r="U1044">
        <f>YEAR(support_tickets[[#This Row],[opened_at]])*100+MONTH(support_tickets[[#This Row],[opened_at]])</f>
        <v>202501</v>
      </c>
      <c r="V1044" s="29">
        <f>DATE(YEAR(support_tickets[[#This Row],[opened_at]]),MONTH(support_tickets[[#This Row],[opened_at]]),1)</f>
        <v>45658</v>
      </c>
    </row>
    <row r="1045" spans="1:22">
      <c r="A1045">
        <v>1401460920</v>
      </c>
      <c r="B1045">
        <v>683364453</v>
      </c>
      <c r="C1045" t="s">
        <v>178</v>
      </c>
      <c r="D1045" t="s">
        <v>179</v>
      </c>
      <c r="E1045">
        <v>50056581</v>
      </c>
      <c r="G1045" s="1">
        <v>45342.884884259256</v>
      </c>
      <c r="H1045" s="1">
        <v>45343.293912037036</v>
      </c>
      <c r="I1045" t="s">
        <v>52</v>
      </c>
      <c r="J1045" t="s">
        <v>38</v>
      </c>
      <c r="K1045" t="s">
        <v>47</v>
      </c>
      <c r="L1045" t="s">
        <v>21</v>
      </c>
      <c r="M1045">
        <v>24</v>
      </c>
      <c r="N1045">
        <v>589</v>
      </c>
      <c r="O1045">
        <v>0</v>
      </c>
      <c r="P1045" t="s">
        <v>40</v>
      </c>
      <c r="Q1045">
        <v>71</v>
      </c>
      <c r="R1045" t="s">
        <v>39</v>
      </c>
      <c r="S1045">
        <f>IF(support_tickets[[#This Row],[status_cleaned]]="closed",1,0)</f>
        <v>1</v>
      </c>
      <c r="T1045" t="str">
        <f>TEXT(support_tickets[[#This Row],[opened_at]],"mmm yyyy")</f>
        <v>Feb 2024</v>
      </c>
      <c r="U1045">
        <f>YEAR(support_tickets[[#This Row],[opened_at]])*100+MONTH(support_tickets[[#This Row],[opened_at]])</f>
        <v>202402</v>
      </c>
      <c r="V1045" s="29">
        <f>DATE(YEAR(support_tickets[[#This Row],[opened_at]]),MONTH(support_tickets[[#This Row],[opened_at]]),1)</f>
        <v>45323</v>
      </c>
    </row>
    <row r="1046" spans="1:22">
      <c r="A1046">
        <v>1474434332</v>
      </c>
      <c r="B1046">
        <v>392956587</v>
      </c>
      <c r="C1046" t="s">
        <v>198</v>
      </c>
      <c r="D1046" t="s">
        <v>199</v>
      </c>
      <c r="E1046">
        <v>63843426</v>
      </c>
      <c r="G1046" s="1">
        <v>45902.197488425925</v>
      </c>
      <c r="H1046" s="1">
        <v>45902.22179398148</v>
      </c>
      <c r="I1046" t="s">
        <v>43</v>
      </c>
      <c r="J1046" t="s">
        <v>38</v>
      </c>
      <c r="K1046" t="s">
        <v>47</v>
      </c>
      <c r="L1046" t="s">
        <v>21</v>
      </c>
      <c r="M1046">
        <v>25</v>
      </c>
      <c r="N1046">
        <v>35</v>
      </c>
      <c r="O1046">
        <v>0</v>
      </c>
      <c r="P1046" t="s">
        <v>40</v>
      </c>
      <c r="Q1046">
        <v>82</v>
      </c>
      <c r="R1046" t="s">
        <v>39</v>
      </c>
      <c r="S1046">
        <f>IF(support_tickets[[#This Row],[status_cleaned]]="closed",1,0)</f>
        <v>1</v>
      </c>
      <c r="T1046" t="str">
        <f>TEXT(support_tickets[[#This Row],[opened_at]],"mmm yyyy")</f>
        <v>Sep 2025</v>
      </c>
      <c r="U1046">
        <f>YEAR(support_tickets[[#This Row],[opened_at]])*100+MONTH(support_tickets[[#This Row],[opened_at]])</f>
        <v>202509</v>
      </c>
      <c r="V1046" s="29">
        <f>DATE(YEAR(support_tickets[[#This Row],[opened_at]]),MONTH(support_tickets[[#This Row],[opened_at]]),1)</f>
        <v>45901</v>
      </c>
    </row>
    <row r="1047" spans="1:22">
      <c r="A1047">
        <v>1477459038</v>
      </c>
      <c r="B1047">
        <v>789242701</v>
      </c>
      <c r="C1047" t="s">
        <v>200</v>
      </c>
      <c r="D1047" t="s">
        <v>201</v>
      </c>
      <c r="E1047">
        <v>36998038</v>
      </c>
      <c r="G1047" s="1">
        <v>45334.746388888889</v>
      </c>
      <c r="H1047" s="1">
        <v>45335.551944444444</v>
      </c>
      <c r="I1047" t="s">
        <v>56</v>
      </c>
      <c r="J1047" t="s">
        <v>30</v>
      </c>
      <c r="K1047" t="s">
        <v>47</v>
      </c>
      <c r="L1047" t="s">
        <v>21</v>
      </c>
      <c r="M1047">
        <v>8</v>
      </c>
      <c r="N1047">
        <v>1160</v>
      </c>
      <c r="O1047">
        <v>0</v>
      </c>
      <c r="P1047" t="s">
        <v>31</v>
      </c>
      <c r="Q1047">
        <v>83</v>
      </c>
      <c r="R1047" t="s">
        <v>39</v>
      </c>
      <c r="S1047">
        <f>IF(support_tickets[[#This Row],[status_cleaned]]="closed",1,0)</f>
        <v>1</v>
      </c>
      <c r="T1047" t="str">
        <f>TEXT(support_tickets[[#This Row],[opened_at]],"mmm yyyy")</f>
        <v>Feb 2024</v>
      </c>
      <c r="U1047">
        <f>YEAR(support_tickets[[#This Row],[opened_at]])*100+MONTH(support_tickets[[#This Row],[opened_at]])</f>
        <v>202402</v>
      </c>
      <c r="V1047" s="29">
        <f>DATE(YEAR(support_tickets[[#This Row],[opened_at]]),MONTH(support_tickets[[#This Row],[opened_at]]),1)</f>
        <v>45323</v>
      </c>
    </row>
    <row r="1048" spans="1:22">
      <c r="A1048">
        <v>1527745180</v>
      </c>
      <c r="B1048">
        <v>349344539</v>
      </c>
      <c r="C1048" t="s">
        <v>84</v>
      </c>
      <c r="D1048" t="s">
        <v>85</v>
      </c>
      <c r="E1048">
        <v>70897765</v>
      </c>
      <c r="G1048" s="1">
        <v>45884.869143518517</v>
      </c>
      <c r="H1048" s="1">
        <v>45885.2031712963</v>
      </c>
      <c r="I1048" t="s">
        <v>18</v>
      </c>
      <c r="J1048" t="s">
        <v>59</v>
      </c>
      <c r="K1048" t="s">
        <v>47</v>
      </c>
      <c r="L1048" t="s">
        <v>21</v>
      </c>
      <c r="M1048">
        <v>20</v>
      </c>
      <c r="N1048">
        <v>481</v>
      </c>
      <c r="O1048">
        <v>0</v>
      </c>
      <c r="P1048" t="s">
        <v>61</v>
      </c>
      <c r="Q1048">
        <v>90</v>
      </c>
      <c r="R1048" t="s">
        <v>39</v>
      </c>
      <c r="S1048">
        <f>IF(support_tickets[[#This Row],[status_cleaned]]="closed",1,0)</f>
        <v>1</v>
      </c>
      <c r="T1048" t="str">
        <f>TEXT(support_tickets[[#This Row],[opened_at]],"mmm yyyy")</f>
        <v>Aug 2025</v>
      </c>
      <c r="U1048">
        <f>YEAR(support_tickets[[#This Row],[opened_at]])*100+MONTH(support_tickets[[#This Row],[opened_at]])</f>
        <v>202508</v>
      </c>
      <c r="V1048" s="29">
        <f>DATE(YEAR(support_tickets[[#This Row],[opened_at]]),MONTH(support_tickets[[#This Row],[opened_at]]),1)</f>
        <v>45870</v>
      </c>
    </row>
    <row r="1049" spans="1:22">
      <c r="A1049">
        <v>1537272283</v>
      </c>
      <c r="B1049">
        <v>635008544</v>
      </c>
      <c r="C1049" t="s">
        <v>212</v>
      </c>
      <c r="D1049" t="s">
        <v>213</v>
      </c>
      <c r="E1049">
        <v>84252722</v>
      </c>
      <c r="G1049" s="1">
        <v>45750.485960648148</v>
      </c>
      <c r="H1049" s="1">
        <v>45751.02484953704</v>
      </c>
      <c r="I1049" t="s">
        <v>3</v>
      </c>
      <c r="J1049" t="s">
        <v>86</v>
      </c>
      <c r="K1049" t="s">
        <v>47</v>
      </c>
      <c r="L1049" t="s">
        <v>21</v>
      </c>
      <c r="M1049">
        <v>38</v>
      </c>
      <c r="N1049">
        <v>776</v>
      </c>
      <c r="O1049">
        <v>0</v>
      </c>
      <c r="P1049" t="s">
        <v>87</v>
      </c>
      <c r="Q1049">
        <v>91</v>
      </c>
      <c r="R1049" t="s">
        <v>39</v>
      </c>
      <c r="S1049">
        <f>IF(support_tickets[[#This Row],[status_cleaned]]="closed",1,0)</f>
        <v>1</v>
      </c>
      <c r="T1049" t="str">
        <f>TEXT(support_tickets[[#This Row],[opened_at]],"mmm yyyy")</f>
        <v>Apr 2025</v>
      </c>
      <c r="U1049">
        <f>YEAR(support_tickets[[#This Row],[opened_at]])*100+MONTH(support_tickets[[#This Row],[opened_at]])</f>
        <v>202504</v>
      </c>
      <c r="V1049" s="29">
        <f>DATE(YEAR(support_tickets[[#This Row],[opened_at]]),MONTH(support_tickets[[#This Row],[opened_at]]),1)</f>
        <v>45748</v>
      </c>
    </row>
    <row r="1050" spans="1:22">
      <c r="A1050">
        <v>1664125321</v>
      </c>
      <c r="B1050">
        <v>582750043</v>
      </c>
      <c r="C1050" t="s">
        <v>260</v>
      </c>
      <c r="D1050" t="s">
        <v>261</v>
      </c>
      <c r="E1050">
        <v>50056581</v>
      </c>
      <c r="F1050">
        <v>4671376399</v>
      </c>
      <c r="G1050" s="1">
        <v>45877.530358796299</v>
      </c>
      <c r="H1050" s="1">
        <v>45877.758136574077</v>
      </c>
      <c r="I1050" t="s">
        <v>43</v>
      </c>
      <c r="J1050" t="s">
        <v>86</v>
      </c>
      <c r="K1050" t="s">
        <v>47</v>
      </c>
      <c r="L1050" t="s">
        <v>21</v>
      </c>
      <c r="M1050">
        <v>55</v>
      </c>
      <c r="N1050">
        <v>328</v>
      </c>
      <c r="O1050">
        <v>0</v>
      </c>
      <c r="P1050" t="s">
        <v>87</v>
      </c>
      <c r="Q1050">
        <v>117</v>
      </c>
      <c r="R1050" t="s">
        <v>39</v>
      </c>
      <c r="S1050">
        <f>IF(support_tickets[[#This Row],[status_cleaned]]="closed",1,0)</f>
        <v>1</v>
      </c>
      <c r="T1050" t="str">
        <f>TEXT(support_tickets[[#This Row],[opened_at]],"mmm yyyy")</f>
        <v>Aug 2025</v>
      </c>
      <c r="U1050">
        <f>YEAR(support_tickets[[#This Row],[opened_at]])*100+MONTH(support_tickets[[#This Row],[opened_at]])</f>
        <v>202508</v>
      </c>
      <c r="V1050" s="29">
        <f>DATE(YEAR(support_tickets[[#This Row],[opened_at]]),MONTH(support_tickets[[#This Row],[opened_at]]),1)</f>
        <v>45870</v>
      </c>
    </row>
    <row r="1051" spans="1:22">
      <c r="A1051">
        <v>1674455554</v>
      </c>
      <c r="B1051">
        <v>933397627</v>
      </c>
      <c r="C1051" t="s">
        <v>262</v>
      </c>
      <c r="D1051" t="s">
        <v>263</v>
      </c>
      <c r="E1051">
        <v>89254563</v>
      </c>
      <c r="F1051">
        <v>6975857369</v>
      </c>
      <c r="G1051" s="1">
        <v>46094.80976851852</v>
      </c>
      <c r="H1051" s="1">
        <v>46094.956296296295</v>
      </c>
      <c r="I1051" t="s">
        <v>43</v>
      </c>
      <c r="J1051" t="s">
        <v>19</v>
      </c>
      <c r="K1051" t="s">
        <v>47</v>
      </c>
      <c r="L1051" t="s">
        <v>21</v>
      </c>
      <c r="M1051">
        <v>53</v>
      </c>
      <c r="N1051">
        <v>211</v>
      </c>
      <c r="O1051">
        <v>0</v>
      </c>
      <c r="P1051" t="s">
        <v>22</v>
      </c>
      <c r="Q1051">
        <v>118</v>
      </c>
      <c r="R1051" t="s">
        <v>39</v>
      </c>
      <c r="S1051">
        <f>IF(support_tickets[[#This Row],[status_cleaned]]="closed",1,0)</f>
        <v>1</v>
      </c>
      <c r="T1051" t="str">
        <f>TEXT(support_tickets[[#This Row],[opened_at]],"mmm yyyy")</f>
        <v>Mar 2026</v>
      </c>
      <c r="U1051">
        <f>YEAR(support_tickets[[#This Row],[opened_at]])*100+MONTH(support_tickets[[#This Row],[opened_at]])</f>
        <v>202603</v>
      </c>
      <c r="V1051" s="29">
        <f>DATE(YEAR(support_tickets[[#This Row],[opened_at]]),MONTH(support_tickets[[#This Row],[opened_at]]),1)</f>
        <v>46082</v>
      </c>
    </row>
    <row r="1052" spans="1:22">
      <c r="A1052">
        <v>1701666774</v>
      </c>
      <c r="B1052">
        <v>940636753</v>
      </c>
      <c r="C1052" t="s">
        <v>270</v>
      </c>
      <c r="D1052" t="s">
        <v>271</v>
      </c>
      <c r="E1052">
        <v>19289546</v>
      </c>
      <c r="G1052" s="1">
        <v>45989.612002314818</v>
      </c>
      <c r="H1052" s="1">
        <v>45990.109224537038</v>
      </c>
      <c r="I1052" t="s">
        <v>18</v>
      </c>
      <c r="J1052" t="s">
        <v>19</v>
      </c>
      <c r="K1052" t="s">
        <v>47</v>
      </c>
      <c r="L1052" t="s">
        <v>21</v>
      </c>
      <c r="M1052">
        <v>11</v>
      </c>
      <c r="N1052">
        <v>716</v>
      </c>
      <c r="O1052">
        <v>0</v>
      </c>
      <c r="P1052" t="s">
        <v>22</v>
      </c>
      <c r="Q1052">
        <v>123</v>
      </c>
      <c r="R1052" t="s">
        <v>39</v>
      </c>
      <c r="S1052">
        <f>IF(support_tickets[[#This Row],[status_cleaned]]="closed",1,0)</f>
        <v>1</v>
      </c>
      <c r="T1052" t="str">
        <f>TEXT(support_tickets[[#This Row],[opened_at]],"mmm yyyy")</f>
        <v>Nov 2025</v>
      </c>
      <c r="U1052">
        <f>YEAR(support_tickets[[#This Row],[opened_at]])*100+MONTH(support_tickets[[#This Row],[opened_at]])</f>
        <v>202511</v>
      </c>
      <c r="V1052" s="29">
        <f>DATE(YEAR(support_tickets[[#This Row],[opened_at]]),MONTH(support_tickets[[#This Row],[opened_at]]),1)</f>
        <v>45962</v>
      </c>
    </row>
    <row r="1053" spans="1:22">
      <c r="A1053">
        <v>1776530267</v>
      </c>
      <c r="B1053">
        <v>756569565</v>
      </c>
      <c r="C1053" t="s">
        <v>316</v>
      </c>
      <c r="D1053" t="s">
        <v>317</v>
      </c>
      <c r="E1053">
        <v>91734598</v>
      </c>
      <c r="F1053">
        <v>3056895862</v>
      </c>
      <c r="G1053" s="1">
        <v>45372.846979166665</v>
      </c>
      <c r="H1053" s="1">
        <v>45372.954618055555</v>
      </c>
      <c r="I1053" t="s">
        <v>18</v>
      </c>
      <c r="J1053" t="s">
        <v>30</v>
      </c>
      <c r="K1053" t="s">
        <v>47</v>
      </c>
      <c r="L1053" t="s">
        <v>21</v>
      </c>
      <c r="M1053">
        <v>28</v>
      </c>
      <c r="N1053">
        <v>155</v>
      </c>
      <c r="O1053">
        <v>0</v>
      </c>
      <c r="P1053" t="s">
        <v>31</v>
      </c>
      <c r="Q1053">
        <v>149</v>
      </c>
      <c r="R1053" t="s">
        <v>39</v>
      </c>
      <c r="S1053">
        <f>IF(support_tickets[[#This Row],[status_cleaned]]="closed",1,0)</f>
        <v>1</v>
      </c>
      <c r="T1053" t="str">
        <f>TEXT(support_tickets[[#This Row],[opened_at]],"mmm yyyy")</f>
        <v>Mar 2024</v>
      </c>
      <c r="U1053">
        <f>YEAR(support_tickets[[#This Row],[opened_at]])*100+MONTH(support_tickets[[#This Row],[opened_at]])</f>
        <v>202403</v>
      </c>
      <c r="V1053" s="29">
        <f>DATE(YEAR(support_tickets[[#This Row],[opened_at]]),MONTH(support_tickets[[#This Row],[opened_at]]),1)</f>
        <v>45352</v>
      </c>
    </row>
    <row r="1054" spans="1:22">
      <c r="A1054">
        <v>1780588158</v>
      </c>
      <c r="B1054">
        <v>238548086</v>
      </c>
      <c r="C1054" t="s">
        <v>41</v>
      </c>
      <c r="D1054" t="s">
        <v>42</v>
      </c>
      <c r="E1054">
        <v>28740864</v>
      </c>
      <c r="G1054" s="1">
        <v>45939.458807870367</v>
      </c>
      <c r="H1054" s="1">
        <v>45939.93241898148</v>
      </c>
      <c r="I1054" t="s">
        <v>3</v>
      </c>
      <c r="J1054" t="s">
        <v>86</v>
      </c>
      <c r="K1054" t="s">
        <v>47</v>
      </c>
      <c r="L1054" t="s">
        <v>21</v>
      </c>
      <c r="M1054">
        <v>38</v>
      </c>
      <c r="N1054">
        <v>682</v>
      </c>
      <c r="O1054">
        <v>0</v>
      </c>
      <c r="P1054" t="s">
        <v>87</v>
      </c>
      <c r="Q1054">
        <v>151</v>
      </c>
      <c r="R1054" t="s">
        <v>39</v>
      </c>
      <c r="S1054">
        <f>IF(support_tickets[[#This Row],[status_cleaned]]="closed",1,0)</f>
        <v>1</v>
      </c>
      <c r="T1054" t="str">
        <f>TEXT(support_tickets[[#This Row],[opened_at]],"mmm yyyy")</f>
        <v>Oct 2025</v>
      </c>
      <c r="U1054">
        <f>YEAR(support_tickets[[#This Row],[opened_at]])*100+MONTH(support_tickets[[#This Row],[opened_at]])</f>
        <v>202510</v>
      </c>
      <c r="V1054" s="29">
        <f>DATE(YEAR(support_tickets[[#This Row],[opened_at]]),MONTH(support_tickets[[#This Row],[opened_at]]),1)</f>
        <v>45931</v>
      </c>
    </row>
    <row r="1055" spans="1:22">
      <c r="A1055">
        <v>1800181889</v>
      </c>
      <c r="B1055">
        <v>217999418</v>
      </c>
      <c r="C1055" t="s">
        <v>328</v>
      </c>
      <c r="D1055" t="s">
        <v>329</v>
      </c>
      <c r="E1055">
        <v>55176955</v>
      </c>
      <c r="G1055" s="1">
        <v>45373.629699074074</v>
      </c>
      <c r="H1055" s="1">
        <v>45373.885949074072</v>
      </c>
      <c r="I1055" t="s">
        <v>56</v>
      </c>
      <c r="J1055" t="s">
        <v>86</v>
      </c>
      <c r="K1055" t="s">
        <v>47</v>
      </c>
      <c r="L1055" t="s">
        <v>21</v>
      </c>
      <c r="M1055">
        <v>62</v>
      </c>
      <c r="N1055">
        <v>369</v>
      </c>
      <c r="O1055">
        <v>0</v>
      </c>
      <c r="P1055" t="s">
        <v>87</v>
      </c>
      <c r="Q1055">
        <v>156</v>
      </c>
      <c r="R1055" t="s">
        <v>39</v>
      </c>
      <c r="S1055">
        <f>IF(support_tickets[[#This Row],[status_cleaned]]="closed",1,0)</f>
        <v>1</v>
      </c>
      <c r="T1055" t="str">
        <f>TEXT(support_tickets[[#This Row],[opened_at]],"mmm yyyy")</f>
        <v>Mar 2024</v>
      </c>
      <c r="U1055">
        <f>YEAR(support_tickets[[#This Row],[opened_at]])*100+MONTH(support_tickets[[#This Row],[opened_at]])</f>
        <v>202403</v>
      </c>
      <c r="V1055" s="29">
        <f>DATE(YEAR(support_tickets[[#This Row],[opened_at]]),MONTH(support_tickets[[#This Row],[opened_at]]),1)</f>
        <v>45352</v>
      </c>
    </row>
    <row r="1056" spans="1:22">
      <c r="A1056">
        <v>1838200966</v>
      </c>
      <c r="B1056">
        <v>817087513</v>
      </c>
      <c r="C1056" t="s">
        <v>338</v>
      </c>
      <c r="D1056" t="s">
        <v>339</v>
      </c>
      <c r="E1056">
        <v>76238574</v>
      </c>
      <c r="F1056">
        <v>2966178433</v>
      </c>
      <c r="G1056" s="1">
        <v>45523.480312500003</v>
      </c>
      <c r="H1056" s="1">
        <v>45523.762256944443</v>
      </c>
      <c r="I1056" t="s">
        <v>56</v>
      </c>
      <c r="J1056" t="s">
        <v>86</v>
      </c>
      <c r="K1056" t="s">
        <v>47</v>
      </c>
      <c r="L1056" t="s">
        <v>21</v>
      </c>
      <c r="M1056">
        <v>22</v>
      </c>
      <c r="N1056">
        <v>406</v>
      </c>
      <c r="O1056">
        <v>0</v>
      </c>
      <c r="P1056" t="s">
        <v>87</v>
      </c>
      <c r="Q1056">
        <v>164</v>
      </c>
      <c r="R1056" t="s">
        <v>39</v>
      </c>
      <c r="S1056">
        <f>IF(support_tickets[[#This Row],[status_cleaned]]="closed",1,0)</f>
        <v>1</v>
      </c>
      <c r="T1056" t="str">
        <f>TEXT(support_tickets[[#This Row],[opened_at]],"mmm yyyy")</f>
        <v>Aug 2024</v>
      </c>
      <c r="U1056">
        <f>YEAR(support_tickets[[#This Row],[opened_at]])*100+MONTH(support_tickets[[#This Row],[opened_at]])</f>
        <v>202408</v>
      </c>
      <c r="V1056" s="29">
        <f>DATE(YEAR(support_tickets[[#This Row],[opened_at]]),MONTH(support_tickets[[#This Row],[opened_at]]),1)</f>
        <v>45505</v>
      </c>
    </row>
    <row r="1057" spans="1:22">
      <c r="A1057">
        <v>1850781136</v>
      </c>
      <c r="B1057">
        <v>878810937</v>
      </c>
      <c r="C1057" t="s">
        <v>342</v>
      </c>
      <c r="D1057" t="s">
        <v>343</v>
      </c>
      <c r="E1057">
        <v>22575562</v>
      </c>
      <c r="G1057" s="1">
        <v>45470.955821759257</v>
      </c>
      <c r="H1057" s="1">
        <v>45471.303043981483</v>
      </c>
      <c r="I1057" t="s">
        <v>52</v>
      </c>
      <c r="J1057" t="s">
        <v>25</v>
      </c>
      <c r="K1057" t="s">
        <v>47</v>
      </c>
      <c r="L1057" t="s">
        <v>21</v>
      </c>
      <c r="M1057">
        <v>7</v>
      </c>
      <c r="N1057">
        <v>500</v>
      </c>
      <c r="O1057">
        <v>0</v>
      </c>
      <c r="P1057" t="s">
        <v>27</v>
      </c>
      <c r="Q1057">
        <v>166</v>
      </c>
      <c r="R1057" t="s">
        <v>39</v>
      </c>
      <c r="S1057">
        <f>IF(support_tickets[[#This Row],[status_cleaned]]="closed",1,0)</f>
        <v>1</v>
      </c>
      <c r="T1057" t="str">
        <f>TEXT(support_tickets[[#This Row],[opened_at]],"mmm yyyy")</f>
        <v>Jun 2024</v>
      </c>
      <c r="U1057">
        <f>YEAR(support_tickets[[#This Row],[opened_at]])*100+MONTH(support_tickets[[#This Row],[opened_at]])</f>
        <v>202406</v>
      </c>
      <c r="V1057" s="29">
        <f>DATE(YEAR(support_tickets[[#This Row],[opened_at]]),MONTH(support_tickets[[#This Row],[opened_at]]),1)</f>
        <v>45444</v>
      </c>
    </row>
    <row r="1058" spans="1:22">
      <c r="A1058">
        <v>1851625498</v>
      </c>
      <c r="B1058">
        <v>679574436</v>
      </c>
      <c r="C1058" t="s">
        <v>344</v>
      </c>
      <c r="D1058" t="s">
        <v>345</v>
      </c>
      <c r="E1058">
        <v>23556182</v>
      </c>
      <c r="F1058">
        <v>7164160975</v>
      </c>
      <c r="G1058" s="1">
        <v>45314.585150462961</v>
      </c>
      <c r="H1058" s="1">
        <v>45315.034456018519</v>
      </c>
      <c r="I1058" t="s">
        <v>52</v>
      </c>
      <c r="J1058" t="s">
        <v>30</v>
      </c>
      <c r="K1058" t="s">
        <v>47</v>
      </c>
      <c r="L1058" t="s">
        <v>21</v>
      </c>
      <c r="M1058">
        <v>35</v>
      </c>
      <c r="N1058">
        <v>647</v>
      </c>
      <c r="O1058">
        <v>0</v>
      </c>
      <c r="P1058" t="s">
        <v>31</v>
      </c>
      <c r="Q1058">
        <v>167</v>
      </c>
      <c r="R1058" t="s">
        <v>39</v>
      </c>
      <c r="S1058">
        <f>IF(support_tickets[[#This Row],[status_cleaned]]="closed",1,0)</f>
        <v>1</v>
      </c>
      <c r="T1058" t="str">
        <f>TEXT(support_tickets[[#This Row],[opened_at]],"mmm yyyy")</f>
        <v>Jan 2024</v>
      </c>
      <c r="U1058">
        <f>YEAR(support_tickets[[#This Row],[opened_at]])*100+MONTH(support_tickets[[#This Row],[opened_at]])</f>
        <v>202401</v>
      </c>
      <c r="V1058" s="29">
        <f>DATE(YEAR(support_tickets[[#This Row],[opened_at]]),MONTH(support_tickets[[#This Row],[opened_at]]),1)</f>
        <v>45292</v>
      </c>
    </row>
    <row r="1059" spans="1:22">
      <c r="A1059">
        <v>1885802856</v>
      </c>
      <c r="B1059">
        <v>870584681</v>
      </c>
      <c r="C1059" t="s">
        <v>354</v>
      </c>
      <c r="D1059" t="s">
        <v>355</v>
      </c>
      <c r="E1059">
        <v>56164955</v>
      </c>
      <c r="G1059" s="1">
        <v>46072.872881944444</v>
      </c>
      <c r="H1059" s="1">
        <v>46073.159687500003</v>
      </c>
      <c r="I1059" t="s">
        <v>56</v>
      </c>
      <c r="J1059" t="s">
        <v>86</v>
      </c>
      <c r="K1059" t="s">
        <v>47</v>
      </c>
      <c r="L1059" t="s">
        <v>21</v>
      </c>
      <c r="M1059">
        <v>53</v>
      </c>
      <c r="N1059">
        <v>413</v>
      </c>
      <c r="O1059">
        <v>0</v>
      </c>
      <c r="P1059" t="s">
        <v>87</v>
      </c>
      <c r="Q1059">
        <v>175</v>
      </c>
      <c r="R1059" t="s">
        <v>39</v>
      </c>
      <c r="S1059">
        <f>IF(support_tickets[[#This Row],[status_cleaned]]="closed",1,0)</f>
        <v>1</v>
      </c>
      <c r="T1059" t="str">
        <f>TEXT(support_tickets[[#This Row],[opened_at]],"mmm yyyy")</f>
        <v>Feb 2026</v>
      </c>
      <c r="U1059">
        <f>YEAR(support_tickets[[#This Row],[opened_at]])*100+MONTH(support_tickets[[#This Row],[opened_at]])</f>
        <v>202602</v>
      </c>
      <c r="V1059" s="29">
        <f>DATE(YEAR(support_tickets[[#This Row],[opened_at]]),MONTH(support_tickets[[#This Row],[opened_at]]),1)</f>
        <v>46054</v>
      </c>
    </row>
    <row r="1060" spans="1:22">
      <c r="A1060">
        <v>1925678160</v>
      </c>
      <c r="B1060">
        <v>655511084</v>
      </c>
      <c r="C1060" t="s">
        <v>186</v>
      </c>
      <c r="D1060" t="s">
        <v>187</v>
      </c>
      <c r="E1060">
        <v>83140807</v>
      </c>
      <c r="F1060">
        <v>5096047004</v>
      </c>
      <c r="G1060" s="1">
        <v>45337.89739583333</v>
      </c>
      <c r="H1060" s="1">
        <v>45338.03628472222</v>
      </c>
      <c r="I1060" t="s">
        <v>3</v>
      </c>
      <c r="J1060" t="s">
        <v>59</v>
      </c>
      <c r="K1060" t="s">
        <v>47</v>
      </c>
      <c r="L1060" t="s">
        <v>21</v>
      </c>
      <c r="M1060">
        <v>75</v>
      </c>
      <c r="N1060">
        <v>200</v>
      </c>
      <c r="O1060">
        <v>0</v>
      </c>
      <c r="P1060" t="s">
        <v>61</v>
      </c>
      <c r="Q1060">
        <v>183</v>
      </c>
      <c r="R1060" t="s">
        <v>39</v>
      </c>
      <c r="S1060">
        <f>IF(support_tickets[[#This Row],[status_cleaned]]="closed",1,0)</f>
        <v>1</v>
      </c>
      <c r="T1060" t="str">
        <f>TEXT(support_tickets[[#This Row],[opened_at]],"mmm yyyy")</f>
        <v>Feb 2024</v>
      </c>
      <c r="U1060">
        <f>YEAR(support_tickets[[#This Row],[opened_at]])*100+MONTH(support_tickets[[#This Row],[opened_at]])</f>
        <v>202402</v>
      </c>
      <c r="V1060" s="29">
        <f>DATE(YEAR(support_tickets[[#This Row],[opened_at]]),MONTH(support_tickets[[#This Row],[opened_at]]),1)</f>
        <v>45323</v>
      </c>
    </row>
    <row r="1061" spans="1:22">
      <c r="A1061">
        <v>1935461091</v>
      </c>
      <c r="B1061">
        <v>774585778</v>
      </c>
      <c r="C1061" t="s">
        <v>372</v>
      </c>
      <c r="D1061" t="s">
        <v>373</v>
      </c>
      <c r="E1061">
        <v>14308421</v>
      </c>
      <c r="G1061" s="1">
        <v>45469.242349537039</v>
      </c>
      <c r="H1061" s="1">
        <v>45469.525682870371</v>
      </c>
      <c r="I1061" t="s">
        <v>43</v>
      </c>
      <c r="J1061" t="s">
        <v>25</v>
      </c>
      <c r="K1061" t="s">
        <v>47</v>
      </c>
      <c r="L1061" t="s">
        <v>21</v>
      </c>
      <c r="M1061">
        <v>34</v>
      </c>
      <c r="N1061">
        <v>408</v>
      </c>
      <c r="O1061">
        <v>0</v>
      </c>
      <c r="P1061" t="s">
        <v>27</v>
      </c>
      <c r="Q1061">
        <v>186</v>
      </c>
      <c r="R1061" t="s">
        <v>39</v>
      </c>
      <c r="S1061">
        <f>IF(support_tickets[[#This Row],[status_cleaned]]="closed",1,0)</f>
        <v>1</v>
      </c>
      <c r="T1061" t="str">
        <f>TEXT(support_tickets[[#This Row],[opened_at]],"mmm yyyy")</f>
        <v>Jun 2024</v>
      </c>
      <c r="U1061">
        <f>YEAR(support_tickets[[#This Row],[opened_at]])*100+MONTH(support_tickets[[#This Row],[opened_at]])</f>
        <v>202406</v>
      </c>
      <c r="V1061" s="29">
        <f>DATE(YEAR(support_tickets[[#This Row],[opened_at]]),MONTH(support_tickets[[#This Row],[opened_at]]),1)</f>
        <v>45444</v>
      </c>
    </row>
    <row r="1062" spans="1:22">
      <c r="A1062">
        <v>2076626635</v>
      </c>
      <c r="B1062">
        <v>928917719</v>
      </c>
      <c r="C1062" t="s">
        <v>408</v>
      </c>
      <c r="D1062" t="s">
        <v>409</v>
      </c>
      <c r="E1062">
        <v>77187530</v>
      </c>
      <c r="G1062" s="1">
        <v>46035.868020833332</v>
      </c>
      <c r="H1062" s="1">
        <v>46036.449270833335</v>
      </c>
      <c r="I1062" t="s">
        <v>18</v>
      </c>
      <c r="J1062" t="s">
        <v>38</v>
      </c>
      <c r="K1062" t="s">
        <v>47</v>
      </c>
      <c r="L1062" t="s">
        <v>21</v>
      </c>
      <c r="M1062">
        <v>50</v>
      </c>
      <c r="N1062">
        <v>837</v>
      </c>
      <c r="O1062">
        <v>0</v>
      </c>
      <c r="P1062" t="s">
        <v>40</v>
      </c>
      <c r="Q1062">
        <v>206</v>
      </c>
      <c r="R1062" t="s">
        <v>39</v>
      </c>
      <c r="S1062">
        <f>IF(support_tickets[[#This Row],[status_cleaned]]="closed",1,0)</f>
        <v>1</v>
      </c>
      <c r="T1062" t="str">
        <f>TEXT(support_tickets[[#This Row],[opened_at]],"mmm yyyy")</f>
        <v>Jan 2026</v>
      </c>
      <c r="U1062">
        <f>YEAR(support_tickets[[#This Row],[opened_at]])*100+MONTH(support_tickets[[#This Row],[opened_at]])</f>
        <v>202601</v>
      </c>
      <c r="V1062" s="29">
        <f>DATE(YEAR(support_tickets[[#This Row],[opened_at]]),MONTH(support_tickets[[#This Row],[opened_at]]),1)</f>
        <v>46023</v>
      </c>
    </row>
    <row r="1063" spans="1:22">
      <c r="A1063">
        <v>2125135741</v>
      </c>
      <c r="B1063">
        <v>491163514</v>
      </c>
      <c r="C1063" t="s">
        <v>414</v>
      </c>
      <c r="D1063" t="s">
        <v>415</v>
      </c>
      <c r="E1063">
        <v>41244663</v>
      </c>
      <c r="F1063">
        <v>7638795698</v>
      </c>
      <c r="G1063" s="1">
        <v>45767.559791666667</v>
      </c>
      <c r="H1063" s="1">
        <v>45767.858402777776</v>
      </c>
      <c r="I1063" t="s">
        <v>3</v>
      </c>
      <c r="J1063" t="s">
        <v>86</v>
      </c>
      <c r="K1063" t="s">
        <v>47</v>
      </c>
      <c r="L1063" t="s">
        <v>21</v>
      </c>
      <c r="M1063">
        <v>16</v>
      </c>
      <c r="N1063">
        <v>430</v>
      </c>
      <c r="O1063">
        <v>0</v>
      </c>
      <c r="P1063" t="s">
        <v>87</v>
      </c>
      <c r="Q1063">
        <v>209</v>
      </c>
      <c r="R1063" t="s">
        <v>39</v>
      </c>
      <c r="S1063">
        <f>IF(support_tickets[[#This Row],[status_cleaned]]="closed",1,0)</f>
        <v>1</v>
      </c>
      <c r="T1063" t="str">
        <f>TEXT(support_tickets[[#This Row],[opened_at]],"mmm yyyy")</f>
        <v>Apr 2025</v>
      </c>
      <c r="U1063">
        <f>YEAR(support_tickets[[#This Row],[opened_at]])*100+MONTH(support_tickets[[#This Row],[opened_at]])</f>
        <v>202504</v>
      </c>
      <c r="V1063" s="29">
        <f>DATE(YEAR(support_tickets[[#This Row],[opened_at]]),MONTH(support_tickets[[#This Row],[opened_at]]),1)</f>
        <v>45748</v>
      </c>
    </row>
    <row r="1064" spans="1:22">
      <c r="A1064">
        <v>2180845948</v>
      </c>
      <c r="B1064">
        <v>656931857</v>
      </c>
      <c r="C1064" t="s">
        <v>428</v>
      </c>
      <c r="D1064" t="s">
        <v>429</v>
      </c>
      <c r="E1064">
        <v>98753260</v>
      </c>
      <c r="F1064">
        <v>3820033816</v>
      </c>
      <c r="G1064" s="1">
        <v>45874.92428240741</v>
      </c>
      <c r="H1064" s="1">
        <v>45874.93886574074</v>
      </c>
      <c r="I1064" t="s">
        <v>37</v>
      </c>
      <c r="J1064" t="s">
        <v>25</v>
      </c>
      <c r="K1064" t="s">
        <v>47</v>
      </c>
      <c r="L1064" t="s">
        <v>21</v>
      </c>
      <c r="M1064">
        <v>16</v>
      </c>
      <c r="N1064">
        <v>21</v>
      </c>
      <c r="O1064">
        <v>0</v>
      </c>
      <c r="P1064" t="s">
        <v>27</v>
      </c>
      <c r="Q1064">
        <v>219</v>
      </c>
      <c r="R1064" t="s">
        <v>39</v>
      </c>
      <c r="S1064">
        <f>IF(support_tickets[[#This Row],[status_cleaned]]="closed",1,0)</f>
        <v>1</v>
      </c>
      <c r="T1064" t="str">
        <f>TEXT(support_tickets[[#This Row],[opened_at]],"mmm yyyy")</f>
        <v>Aug 2025</v>
      </c>
      <c r="U1064">
        <f>YEAR(support_tickets[[#This Row],[opened_at]])*100+MONTH(support_tickets[[#This Row],[opened_at]])</f>
        <v>202508</v>
      </c>
      <c r="V1064" s="29">
        <f>DATE(YEAR(support_tickets[[#This Row],[opened_at]]),MONTH(support_tickets[[#This Row],[opened_at]]),1)</f>
        <v>45870</v>
      </c>
    </row>
    <row r="1065" spans="1:22">
      <c r="A1065">
        <v>2184583646</v>
      </c>
      <c r="B1065">
        <v>193133974</v>
      </c>
      <c r="C1065" t="s">
        <v>432</v>
      </c>
      <c r="D1065" t="s">
        <v>433</v>
      </c>
      <c r="E1065">
        <v>22201654</v>
      </c>
      <c r="G1065" s="1">
        <v>45589.911504629628</v>
      </c>
      <c r="H1065" s="1">
        <v>45590.042060185187</v>
      </c>
      <c r="I1065" t="s">
        <v>3</v>
      </c>
      <c r="J1065" t="s">
        <v>59</v>
      </c>
      <c r="K1065" t="s">
        <v>47</v>
      </c>
      <c r="L1065" t="s">
        <v>21</v>
      </c>
      <c r="M1065">
        <v>4</v>
      </c>
      <c r="N1065">
        <v>188</v>
      </c>
      <c r="O1065">
        <v>0</v>
      </c>
      <c r="P1065" t="s">
        <v>61</v>
      </c>
      <c r="Q1065">
        <v>221</v>
      </c>
      <c r="R1065" t="s">
        <v>39</v>
      </c>
      <c r="S1065">
        <f>IF(support_tickets[[#This Row],[status_cleaned]]="closed",1,0)</f>
        <v>1</v>
      </c>
      <c r="T1065" t="str">
        <f>TEXT(support_tickets[[#This Row],[opened_at]],"mmm yyyy")</f>
        <v>Oct 2024</v>
      </c>
      <c r="U1065">
        <f>YEAR(support_tickets[[#This Row],[opened_at]])*100+MONTH(support_tickets[[#This Row],[opened_at]])</f>
        <v>202410</v>
      </c>
      <c r="V1065" s="29">
        <f>DATE(YEAR(support_tickets[[#This Row],[opened_at]]),MONTH(support_tickets[[#This Row],[opened_at]]),1)</f>
        <v>45566</v>
      </c>
    </row>
    <row r="1066" spans="1:22">
      <c r="A1066">
        <v>2221154162</v>
      </c>
      <c r="B1066">
        <v>847508242</v>
      </c>
      <c r="C1066" t="s">
        <v>438</v>
      </c>
      <c r="D1066" t="s">
        <v>439</v>
      </c>
      <c r="E1066">
        <v>38427073</v>
      </c>
      <c r="F1066">
        <v>2949306060</v>
      </c>
      <c r="G1066" s="1">
        <v>45422.344398148147</v>
      </c>
      <c r="H1066" s="1">
        <v>45422.796481481484</v>
      </c>
      <c r="I1066" t="s">
        <v>46</v>
      </c>
      <c r="J1066" t="s">
        <v>86</v>
      </c>
      <c r="K1066" t="s">
        <v>47</v>
      </c>
      <c r="L1066" t="s">
        <v>21</v>
      </c>
      <c r="M1066">
        <v>45</v>
      </c>
      <c r="N1066">
        <v>651</v>
      </c>
      <c r="O1066">
        <v>0</v>
      </c>
      <c r="P1066" t="s">
        <v>87</v>
      </c>
      <c r="Q1066">
        <v>225</v>
      </c>
      <c r="R1066" t="s">
        <v>39</v>
      </c>
      <c r="S1066">
        <f>IF(support_tickets[[#This Row],[status_cleaned]]="closed",1,0)</f>
        <v>1</v>
      </c>
      <c r="T1066" t="str">
        <f>TEXT(support_tickets[[#This Row],[opened_at]],"mmm yyyy")</f>
        <v>May 2024</v>
      </c>
      <c r="U1066">
        <f>YEAR(support_tickets[[#This Row],[opened_at]])*100+MONTH(support_tickets[[#This Row],[opened_at]])</f>
        <v>202405</v>
      </c>
      <c r="V1066" s="29">
        <f>DATE(YEAR(support_tickets[[#This Row],[opened_at]]),MONTH(support_tickets[[#This Row],[opened_at]]),1)</f>
        <v>45413</v>
      </c>
    </row>
    <row r="1067" spans="1:22">
      <c r="A1067">
        <v>2321129923</v>
      </c>
      <c r="B1067">
        <v>632794158</v>
      </c>
      <c r="C1067" t="s">
        <v>462</v>
      </c>
      <c r="D1067" t="s">
        <v>463</v>
      </c>
      <c r="E1067">
        <v>81498611</v>
      </c>
      <c r="F1067">
        <v>7654361461</v>
      </c>
      <c r="G1067" s="1">
        <v>45820.609895833331</v>
      </c>
      <c r="H1067" s="1">
        <v>45820.932118055556</v>
      </c>
      <c r="I1067" t="s">
        <v>56</v>
      </c>
      <c r="J1067" t="s">
        <v>25</v>
      </c>
      <c r="K1067" t="s">
        <v>47</v>
      </c>
      <c r="L1067" t="s">
        <v>21</v>
      </c>
      <c r="M1067">
        <v>52</v>
      </c>
      <c r="N1067">
        <v>464</v>
      </c>
      <c r="O1067">
        <v>0</v>
      </c>
      <c r="P1067" t="s">
        <v>27</v>
      </c>
      <c r="Q1067">
        <v>241</v>
      </c>
      <c r="R1067" t="s">
        <v>39</v>
      </c>
      <c r="S1067">
        <f>IF(support_tickets[[#This Row],[status_cleaned]]="closed",1,0)</f>
        <v>1</v>
      </c>
      <c r="T1067" t="str">
        <f>TEXT(support_tickets[[#This Row],[opened_at]],"mmm yyyy")</f>
        <v>Jun 2025</v>
      </c>
      <c r="U1067">
        <f>YEAR(support_tickets[[#This Row],[opened_at]])*100+MONTH(support_tickets[[#This Row],[opened_at]])</f>
        <v>202506</v>
      </c>
      <c r="V1067" s="29">
        <f>DATE(YEAR(support_tickets[[#This Row],[opened_at]]),MONTH(support_tickets[[#This Row],[opened_at]]),1)</f>
        <v>45809</v>
      </c>
    </row>
    <row r="1068" spans="1:22">
      <c r="A1068">
        <v>2338196008</v>
      </c>
      <c r="B1068">
        <v>584394989</v>
      </c>
      <c r="C1068" t="s">
        <v>468</v>
      </c>
      <c r="D1068" t="s">
        <v>469</v>
      </c>
      <c r="E1068">
        <v>68353204</v>
      </c>
      <c r="G1068" s="1">
        <v>45294.20884259259</v>
      </c>
      <c r="H1068" s="1">
        <v>45294.433842592596</v>
      </c>
      <c r="I1068" t="s">
        <v>37</v>
      </c>
      <c r="J1068" t="s">
        <v>30</v>
      </c>
      <c r="K1068" t="s">
        <v>47</v>
      </c>
      <c r="L1068" t="s">
        <v>21</v>
      </c>
      <c r="M1068">
        <v>4</v>
      </c>
      <c r="N1068">
        <v>324</v>
      </c>
      <c r="O1068">
        <v>0</v>
      </c>
      <c r="P1068" t="s">
        <v>31</v>
      </c>
      <c r="Q1068">
        <v>245</v>
      </c>
      <c r="R1068" t="s">
        <v>39</v>
      </c>
      <c r="S1068">
        <f>IF(support_tickets[[#This Row],[status_cleaned]]="closed",1,0)</f>
        <v>1</v>
      </c>
      <c r="T1068" t="str">
        <f>TEXT(support_tickets[[#This Row],[opened_at]],"mmm yyyy")</f>
        <v>Jan 2024</v>
      </c>
      <c r="U1068">
        <f>YEAR(support_tickets[[#This Row],[opened_at]])*100+MONTH(support_tickets[[#This Row],[opened_at]])</f>
        <v>202401</v>
      </c>
      <c r="V1068" s="29">
        <f>DATE(YEAR(support_tickets[[#This Row],[opened_at]]),MONTH(support_tickets[[#This Row],[opened_at]]),1)</f>
        <v>45292</v>
      </c>
    </row>
    <row r="1069" spans="1:22">
      <c r="A1069">
        <v>2342726255</v>
      </c>
      <c r="B1069">
        <v>341449138</v>
      </c>
      <c r="C1069" t="s">
        <v>470</v>
      </c>
      <c r="D1069" t="s">
        <v>471</v>
      </c>
      <c r="E1069">
        <v>28728463</v>
      </c>
      <c r="G1069" s="1">
        <v>45908.246215277781</v>
      </c>
      <c r="H1069" s="1">
        <v>45908.615659722222</v>
      </c>
      <c r="I1069" t="s">
        <v>43</v>
      </c>
      <c r="J1069" t="s">
        <v>59</v>
      </c>
      <c r="K1069" t="s">
        <v>47</v>
      </c>
      <c r="L1069" t="s">
        <v>21</v>
      </c>
      <c r="M1069">
        <v>34</v>
      </c>
      <c r="N1069">
        <v>532</v>
      </c>
      <c r="O1069">
        <v>0</v>
      </c>
      <c r="P1069" t="s">
        <v>61</v>
      </c>
      <c r="Q1069">
        <v>246</v>
      </c>
      <c r="R1069" t="s">
        <v>39</v>
      </c>
      <c r="S1069">
        <f>IF(support_tickets[[#This Row],[status_cleaned]]="closed",1,0)</f>
        <v>1</v>
      </c>
      <c r="T1069" t="str">
        <f>TEXT(support_tickets[[#This Row],[opened_at]],"mmm yyyy")</f>
        <v>Sep 2025</v>
      </c>
      <c r="U1069">
        <f>YEAR(support_tickets[[#This Row],[opened_at]])*100+MONTH(support_tickets[[#This Row],[opened_at]])</f>
        <v>202509</v>
      </c>
      <c r="V1069" s="29">
        <f>DATE(YEAR(support_tickets[[#This Row],[opened_at]]),MONTH(support_tickets[[#This Row],[opened_at]]),1)</f>
        <v>45901</v>
      </c>
    </row>
    <row r="1070" spans="1:22">
      <c r="A1070">
        <v>2357369016</v>
      </c>
      <c r="B1070">
        <v>306442077</v>
      </c>
      <c r="C1070" t="s">
        <v>140</v>
      </c>
      <c r="D1070" t="s">
        <v>141</v>
      </c>
      <c r="E1070">
        <v>31682744</v>
      </c>
      <c r="F1070">
        <v>9516613938</v>
      </c>
      <c r="G1070" s="1">
        <v>45772.510231481479</v>
      </c>
      <c r="H1070" s="1">
        <v>45772.839398148149</v>
      </c>
      <c r="I1070" t="s">
        <v>37</v>
      </c>
      <c r="J1070" t="s">
        <v>86</v>
      </c>
      <c r="K1070" t="s">
        <v>47</v>
      </c>
      <c r="L1070" t="s">
        <v>21</v>
      </c>
      <c r="M1070">
        <v>4</v>
      </c>
      <c r="N1070">
        <v>474</v>
      </c>
      <c r="O1070">
        <v>0</v>
      </c>
      <c r="P1070" t="s">
        <v>87</v>
      </c>
      <c r="Q1070">
        <v>248</v>
      </c>
      <c r="R1070" t="s">
        <v>39</v>
      </c>
      <c r="S1070">
        <f>IF(support_tickets[[#This Row],[status_cleaned]]="closed",1,0)</f>
        <v>1</v>
      </c>
      <c r="T1070" t="str">
        <f>TEXT(support_tickets[[#This Row],[opened_at]],"mmm yyyy")</f>
        <v>Apr 2025</v>
      </c>
      <c r="U1070">
        <f>YEAR(support_tickets[[#This Row],[opened_at]])*100+MONTH(support_tickets[[#This Row],[opened_at]])</f>
        <v>202504</v>
      </c>
      <c r="V1070" s="29">
        <f>DATE(YEAR(support_tickets[[#This Row],[opened_at]]),MONTH(support_tickets[[#This Row],[opened_at]]),1)</f>
        <v>45748</v>
      </c>
    </row>
    <row r="1071" spans="1:22">
      <c r="A1071">
        <v>2367263176</v>
      </c>
      <c r="B1071">
        <v>619960692</v>
      </c>
      <c r="C1071" t="s">
        <v>476</v>
      </c>
      <c r="D1071" t="s">
        <v>477</v>
      </c>
      <c r="E1071">
        <v>17774584</v>
      </c>
      <c r="F1071">
        <v>6998543735</v>
      </c>
      <c r="G1071" s="1">
        <v>45620.760347222225</v>
      </c>
      <c r="H1071" s="1">
        <v>45621.169374999998</v>
      </c>
      <c r="I1071" t="s">
        <v>18</v>
      </c>
      <c r="J1071" t="s">
        <v>59</v>
      </c>
      <c r="K1071" t="s">
        <v>47</v>
      </c>
      <c r="L1071" t="s">
        <v>21</v>
      </c>
      <c r="M1071">
        <v>34</v>
      </c>
      <c r="N1071">
        <v>589</v>
      </c>
      <c r="O1071">
        <v>0</v>
      </c>
      <c r="P1071" t="s">
        <v>61</v>
      </c>
      <c r="Q1071">
        <v>250</v>
      </c>
      <c r="R1071" t="s">
        <v>39</v>
      </c>
      <c r="S1071">
        <f>IF(support_tickets[[#This Row],[status_cleaned]]="closed",1,0)</f>
        <v>1</v>
      </c>
      <c r="T1071" t="str">
        <f>TEXT(support_tickets[[#This Row],[opened_at]],"mmm yyyy")</f>
        <v>Nov 2024</v>
      </c>
      <c r="U1071">
        <f>YEAR(support_tickets[[#This Row],[opened_at]])*100+MONTH(support_tickets[[#This Row],[opened_at]])</f>
        <v>202411</v>
      </c>
      <c r="V1071" s="29">
        <f>DATE(YEAR(support_tickets[[#This Row],[opened_at]]),MONTH(support_tickets[[#This Row],[opened_at]]),1)</f>
        <v>45597</v>
      </c>
    </row>
    <row r="1072" spans="1:22">
      <c r="A1072">
        <v>2429778697</v>
      </c>
      <c r="B1072">
        <v>642716859</v>
      </c>
      <c r="C1072" t="s">
        <v>398</v>
      </c>
      <c r="D1072" t="s">
        <v>399</v>
      </c>
      <c r="E1072">
        <v>45833156</v>
      </c>
      <c r="G1072" s="1">
        <v>45807.171134259261</v>
      </c>
      <c r="H1072" s="1">
        <v>45807.700300925928</v>
      </c>
      <c r="I1072" t="s">
        <v>18</v>
      </c>
      <c r="J1072" t="s">
        <v>30</v>
      </c>
      <c r="K1072" t="s">
        <v>47</v>
      </c>
      <c r="L1072" t="s">
        <v>21</v>
      </c>
      <c r="M1072">
        <v>66</v>
      </c>
      <c r="N1072">
        <v>762</v>
      </c>
      <c r="O1072">
        <v>0</v>
      </c>
      <c r="P1072" t="s">
        <v>31</v>
      </c>
      <c r="Q1072">
        <v>261</v>
      </c>
      <c r="R1072" t="s">
        <v>39</v>
      </c>
      <c r="S1072">
        <f>IF(support_tickets[[#This Row],[status_cleaned]]="closed",1,0)</f>
        <v>1</v>
      </c>
      <c r="T1072" t="str">
        <f>TEXT(support_tickets[[#This Row],[opened_at]],"mmm yyyy")</f>
        <v>May 2025</v>
      </c>
      <c r="U1072">
        <f>YEAR(support_tickets[[#This Row],[opened_at]])*100+MONTH(support_tickets[[#This Row],[opened_at]])</f>
        <v>202505</v>
      </c>
      <c r="V1072" s="29">
        <f>DATE(YEAR(support_tickets[[#This Row],[opened_at]]),MONTH(support_tickets[[#This Row],[opened_at]]),1)</f>
        <v>45778</v>
      </c>
    </row>
    <row r="1073" spans="1:22">
      <c r="A1073">
        <v>2514069522</v>
      </c>
      <c r="B1073">
        <v>749252434</v>
      </c>
      <c r="C1073" t="s">
        <v>508</v>
      </c>
      <c r="D1073" t="s">
        <v>509</v>
      </c>
      <c r="E1073">
        <v>95758349</v>
      </c>
      <c r="F1073">
        <v>1089450635</v>
      </c>
      <c r="G1073" s="1">
        <v>45582.56621527778</v>
      </c>
      <c r="H1073" s="1">
        <v>45582.66065972222</v>
      </c>
      <c r="I1073" t="s">
        <v>37</v>
      </c>
      <c r="J1073" t="s">
        <v>86</v>
      </c>
      <c r="K1073" t="s">
        <v>47</v>
      </c>
      <c r="L1073" t="s">
        <v>21</v>
      </c>
      <c r="M1073">
        <v>10</v>
      </c>
      <c r="N1073">
        <v>136</v>
      </c>
      <c r="O1073">
        <v>0</v>
      </c>
      <c r="P1073" t="s">
        <v>87</v>
      </c>
      <c r="Q1073">
        <v>274</v>
      </c>
      <c r="R1073" t="s">
        <v>39</v>
      </c>
      <c r="S1073">
        <f>IF(support_tickets[[#This Row],[status_cleaned]]="closed",1,0)</f>
        <v>1</v>
      </c>
      <c r="T1073" t="str">
        <f>TEXT(support_tickets[[#This Row],[opened_at]],"mmm yyyy")</f>
        <v>Oct 2024</v>
      </c>
      <c r="U1073">
        <f>YEAR(support_tickets[[#This Row],[opened_at]])*100+MONTH(support_tickets[[#This Row],[opened_at]])</f>
        <v>202410</v>
      </c>
      <c r="V1073" s="29">
        <f>DATE(YEAR(support_tickets[[#This Row],[opened_at]]),MONTH(support_tickets[[#This Row],[opened_at]]),1)</f>
        <v>45566</v>
      </c>
    </row>
    <row r="1074" spans="1:22">
      <c r="A1074">
        <v>2521664633</v>
      </c>
      <c r="B1074">
        <v>638824588</v>
      </c>
      <c r="C1074" t="s">
        <v>384</v>
      </c>
      <c r="D1074" t="s">
        <v>385</v>
      </c>
      <c r="E1074">
        <v>52339391</v>
      </c>
      <c r="F1074">
        <v>5432993319</v>
      </c>
      <c r="G1074" s="1">
        <v>45338.915081018517</v>
      </c>
      <c r="H1074" s="1">
        <v>45339.106747685182</v>
      </c>
      <c r="I1074" t="s">
        <v>52</v>
      </c>
      <c r="J1074" t="s">
        <v>30</v>
      </c>
      <c r="K1074" t="s">
        <v>47</v>
      </c>
      <c r="L1074" t="s">
        <v>21</v>
      </c>
      <c r="M1074">
        <v>32</v>
      </c>
      <c r="N1074">
        <v>276</v>
      </c>
      <c r="O1074">
        <v>0</v>
      </c>
      <c r="P1074" t="s">
        <v>31</v>
      </c>
      <c r="Q1074">
        <v>275</v>
      </c>
      <c r="R1074" t="s">
        <v>39</v>
      </c>
      <c r="S1074">
        <f>IF(support_tickets[[#This Row],[status_cleaned]]="closed",1,0)</f>
        <v>1</v>
      </c>
      <c r="T1074" t="str">
        <f>TEXT(support_tickets[[#This Row],[opened_at]],"mmm yyyy")</f>
        <v>Feb 2024</v>
      </c>
      <c r="U1074">
        <f>YEAR(support_tickets[[#This Row],[opened_at]])*100+MONTH(support_tickets[[#This Row],[opened_at]])</f>
        <v>202402</v>
      </c>
      <c r="V1074" s="29">
        <f>DATE(YEAR(support_tickets[[#This Row],[opened_at]]),MONTH(support_tickets[[#This Row],[opened_at]]),1)</f>
        <v>45323</v>
      </c>
    </row>
    <row r="1075" spans="1:22">
      <c r="A1075">
        <v>2648970144</v>
      </c>
      <c r="B1075">
        <v>470838810</v>
      </c>
      <c r="C1075" t="s">
        <v>364</v>
      </c>
      <c r="D1075" t="s">
        <v>365</v>
      </c>
      <c r="E1075">
        <v>42868828</v>
      </c>
      <c r="F1075">
        <v>7003585379</v>
      </c>
      <c r="G1075" s="1">
        <v>45575.578425925924</v>
      </c>
      <c r="H1075" s="1">
        <v>45576.022175925929</v>
      </c>
      <c r="I1075" t="s">
        <v>52</v>
      </c>
      <c r="J1075" t="s">
        <v>30</v>
      </c>
      <c r="K1075" t="s">
        <v>47</v>
      </c>
      <c r="L1075" t="s">
        <v>21</v>
      </c>
      <c r="M1075">
        <v>7</v>
      </c>
      <c r="N1075">
        <v>639</v>
      </c>
      <c r="O1075">
        <v>0</v>
      </c>
      <c r="P1075" t="s">
        <v>31</v>
      </c>
      <c r="Q1075">
        <v>292</v>
      </c>
      <c r="R1075" t="s">
        <v>39</v>
      </c>
      <c r="S1075">
        <f>IF(support_tickets[[#This Row],[status_cleaned]]="closed",1,0)</f>
        <v>1</v>
      </c>
      <c r="T1075" t="str">
        <f>TEXT(support_tickets[[#This Row],[opened_at]],"mmm yyyy")</f>
        <v>Oct 2024</v>
      </c>
      <c r="U1075">
        <f>YEAR(support_tickets[[#This Row],[opened_at]])*100+MONTH(support_tickets[[#This Row],[opened_at]])</f>
        <v>202410</v>
      </c>
      <c r="V1075" s="29">
        <f>DATE(YEAR(support_tickets[[#This Row],[opened_at]]),MONTH(support_tickets[[#This Row],[opened_at]]),1)</f>
        <v>45566</v>
      </c>
    </row>
    <row r="1076" spans="1:22">
      <c r="A1076">
        <v>2653814748</v>
      </c>
      <c r="B1076">
        <v>592755658</v>
      </c>
      <c r="C1076" t="s">
        <v>536</v>
      </c>
      <c r="D1076" t="s">
        <v>537</v>
      </c>
      <c r="E1076">
        <v>28566572</v>
      </c>
      <c r="F1076">
        <v>5308215823</v>
      </c>
      <c r="G1076" s="1">
        <v>45830.393125000002</v>
      </c>
      <c r="H1076" s="1">
        <v>45830.423680555556</v>
      </c>
      <c r="I1076" t="s">
        <v>52</v>
      </c>
      <c r="J1076" t="s">
        <v>30</v>
      </c>
      <c r="K1076" t="s">
        <v>47</v>
      </c>
      <c r="L1076" t="s">
        <v>21</v>
      </c>
      <c r="M1076">
        <v>39</v>
      </c>
      <c r="N1076">
        <v>44</v>
      </c>
      <c r="O1076">
        <v>0</v>
      </c>
      <c r="P1076" t="s">
        <v>31</v>
      </c>
      <c r="Q1076">
        <v>294</v>
      </c>
      <c r="R1076" t="s">
        <v>39</v>
      </c>
      <c r="S1076">
        <f>IF(support_tickets[[#This Row],[status_cleaned]]="closed",1,0)</f>
        <v>1</v>
      </c>
      <c r="T1076" t="str">
        <f>TEXT(support_tickets[[#This Row],[opened_at]],"mmm yyyy")</f>
        <v>Jun 2025</v>
      </c>
      <c r="U1076">
        <f>YEAR(support_tickets[[#This Row],[opened_at]])*100+MONTH(support_tickets[[#This Row],[opened_at]])</f>
        <v>202506</v>
      </c>
      <c r="V1076" s="29">
        <f>DATE(YEAR(support_tickets[[#This Row],[opened_at]]),MONTH(support_tickets[[#This Row],[opened_at]]),1)</f>
        <v>45809</v>
      </c>
    </row>
    <row r="1077" spans="1:22">
      <c r="A1077">
        <v>2683254053</v>
      </c>
      <c r="B1077">
        <v>927603754</v>
      </c>
      <c r="C1077" t="s">
        <v>542</v>
      </c>
      <c r="D1077" t="s">
        <v>543</v>
      </c>
      <c r="E1077">
        <v>91734598</v>
      </c>
      <c r="G1077" s="1">
        <v>45962.062256944446</v>
      </c>
      <c r="H1077" s="1">
        <v>45962.449062500003</v>
      </c>
      <c r="I1077" t="s">
        <v>3</v>
      </c>
      <c r="J1077" t="s">
        <v>30</v>
      </c>
      <c r="K1077" t="s">
        <v>47</v>
      </c>
      <c r="L1077" t="s">
        <v>21</v>
      </c>
      <c r="M1077">
        <v>86</v>
      </c>
      <c r="N1077">
        <v>557</v>
      </c>
      <c r="O1077">
        <v>0</v>
      </c>
      <c r="P1077" t="s">
        <v>31</v>
      </c>
      <c r="Q1077">
        <v>300</v>
      </c>
      <c r="R1077" t="s">
        <v>39</v>
      </c>
      <c r="S1077">
        <f>IF(support_tickets[[#This Row],[status_cleaned]]="closed",1,0)</f>
        <v>1</v>
      </c>
      <c r="T1077" t="str">
        <f>TEXT(support_tickets[[#This Row],[opened_at]],"mmm yyyy")</f>
        <v>Nov 2025</v>
      </c>
      <c r="U1077">
        <f>YEAR(support_tickets[[#This Row],[opened_at]])*100+MONTH(support_tickets[[#This Row],[opened_at]])</f>
        <v>202511</v>
      </c>
      <c r="V1077" s="29">
        <f>DATE(YEAR(support_tickets[[#This Row],[opened_at]]),MONTH(support_tickets[[#This Row],[opened_at]]),1)</f>
        <v>45962</v>
      </c>
    </row>
    <row r="1078" spans="1:22">
      <c r="A1078">
        <v>2711552716</v>
      </c>
      <c r="B1078">
        <v>170596494</v>
      </c>
      <c r="C1078" t="s">
        <v>550</v>
      </c>
      <c r="D1078" t="s">
        <v>551</v>
      </c>
      <c r="E1078">
        <v>96028436</v>
      </c>
      <c r="G1078" s="1">
        <v>46010.681064814817</v>
      </c>
      <c r="H1078" s="1">
        <v>46011.046342592592</v>
      </c>
      <c r="I1078" t="s">
        <v>56</v>
      </c>
      <c r="J1078" t="s">
        <v>30</v>
      </c>
      <c r="K1078" t="s">
        <v>47</v>
      </c>
      <c r="L1078" t="s">
        <v>21</v>
      </c>
      <c r="M1078">
        <v>49</v>
      </c>
      <c r="N1078">
        <v>526</v>
      </c>
      <c r="O1078">
        <v>0</v>
      </c>
      <c r="P1078" t="s">
        <v>31</v>
      </c>
      <c r="Q1078">
        <v>305</v>
      </c>
      <c r="R1078" t="s">
        <v>39</v>
      </c>
      <c r="S1078">
        <f>IF(support_tickets[[#This Row],[status_cleaned]]="closed",1,0)</f>
        <v>1</v>
      </c>
      <c r="T1078" t="str">
        <f>TEXT(support_tickets[[#This Row],[opened_at]],"mmm yyyy")</f>
        <v>Dec 2025</v>
      </c>
      <c r="U1078">
        <f>YEAR(support_tickets[[#This Row],[opened_at]])*100+MONTH(support_tickets[[#This Row],[opened_at]])</f>
        <v>202512</v>
      </c>
      <c r="V1078" s="29">
        <f>DATE(YEAR(support_tickets[[#This Row],[opened_at]]),MONTH(support_tickets[[#This Row],[opened_at]]),1)</f>
        <v>45992</v>
      </c>
    </row>
    <row r="1079" spans="1:22">
      <c r="A1079">
        <v>2718988851</v>
      </c>
      <c r="B1079">
        <v>869801588</v>
      </c>
      <c r="C1079" t="s">
        <v>554</v>
      </c>
      <c r="D1079" t="s">
        <v>555</v>
      </c>
      <c r="E1079">
        <v>83197857</v>
      </c>
      <c r="F1079">
        <v>1156706071</v>
      </c>
      <c r="G1079" s="1">
        <v>45769.078020833331</v>
      </c>
      <c r="H1079" s="1">
        <v>45769.273159722223</v>
      </c>
      <c r="I1079" t="s">
        <v>3</v>
      </c>
      <c r="J1079" t="s">
        <v>38</v>
      </c>
      <c r="K1079" t="s">
        <v>47</v>
      </c>
      <c r="L1079" t="s">
        <v>21</v>
      </c>
      <c r="M1079">
        <v>14</v>
      </c>
      <c r="N1079">
        <v>281</v>
      </c>
      <c r="O1079">
        <v>0</v>
      </c>
      <c r="P1079" t="s">
        <v>40</v>
      </c>
      <c r="Q1079">
        <v>307</v>
      </c>
      <c r="R1079" t="s">
        <v>39</v>
      </c>
      <c r="S1079">
        <f>IF(support_tickets[[#This Row],[status_cleaned]]="closed",1,0)</f>
        <v>1</v>
      </c>
      <c r="T1079" t="str">
        <f>TEXT(support_tickets[[#This Row],[opened_at]],"mmm yyyy")</f>
        <v>Apr 2025</v>
      </c>
      <c r="U1079">
        <f>YEAR(support_tickets[[#This Row],[opened_at]])*100+MONTH(support_tickets[[#This Row],[opened_at]])</f>
        <v>202504</v>
      </c>
      <c r="V1079" s="29">
        <f>DATE(YEAR(support_tickets[[#This Row],[opened_at]]),MONTH(support_tickets[[#This Row],[opened_at]]),1)</f>
        <v>45748</v>
      </c>
    </row>
    <row r="1080" spans="1:22">
      <c r="A1080">
        <v>2744101269</v>
      </c>
      <c r="B1080">
        <v>426551245</v>
      </c>
      <c r="C1080" t="s">
        <v>562</v>
      </c>
      <c r="D1080" t="s">
        <v>563</v>
      </c>
      <c r="E1080">
        <v>43101783</v>
      </c>
      <c r="F1080">
        <v>8607593563</v>
      </c>
      <c r="G1080" s="1">
        <v>45958.032326388886</v>
      </c>
      <c r="H1080" s="1">
        <v>45958.569131944445</v>
      </c>
      <c r="I1080" t="s">
        <v>46</v>
      </c>
      <c r="J1080" t="s">
        <v>30</v>
      </c>
      <c r="K1080" t="s">
        <v>47</v>
      </c>
      <c r="L1080" t="s">
        <v>21</v>
      </c>
      <c r="M1080">
        <v>43</v>
      </c>
      <c r="N1080">
        <v>773</v>
      </c>
      <c r="O1080">
        <v>0</v>
      </c>
      <c r="P1080" t="s">
        <v>31</v>
      </c>
      <c r="Q1080">
        <v>314</v>
      </c>
      <c r="R1080" t="s">
        <v>39</v>
      </c>
      <c r="S1080">
        <f>IF(support_tickets[[#This Row],[status_cleaned]]="closed",1,0)</f>
        <v>1</v>
      </c>
      <c r="T1080" t="str">
        <f>TEXT(support_tickets[[#This Row],[opened_at]],"mmm yyyy")</f>
        <v>Oct 2025</v>
      </c>
      <c r="U1080">
        <f>YEAR(support_tickets[[#This Row],[opened_at]])*100+MONTH(support_tickets[[#This Row],[opened_at]])</f>
        <v>202510</v>
      </c>
      <c r="V1080" s="29">
        <f>DATE(YEAR(support_tickets[[#This Row],[opened_at]]),MONTH(support_tickets[[#This Row],[opened_at]]),1)</f>
        <v>45931</v>
      </c>
    </row>
    <row r="1081" spans="1:22">
      <c r="A1081">
        <v>2754947472</v>
      </c>
      <c r="B1081">
        <v>305195749</v>
      </c>
      <c r="C1081" t="s">
        <v>564</v>
      </c>
      <c r="D1081" t="s">
        <v>565</v>
      </c>
      <c r="E1081">
        <v>41244663</v>
      </c>
      <c r="G1081" s="1">
        <v>45552.765844907408</v>
      </c>
      <c r="H1081" s="1">
        <v>45552.871400462966</v>
      </c>
      <c r="I1081" t="s">
        <v>3</v>
      </c>
      <c r="J1081" t="s">
        <v>25</v>
      </c>
      <c r="K1081" t="s">
        <v>47</v>
      </c>
      <c r="L1081" t="s">
        <v>21</v>
      </c>
      <c r="M1081">
        <v>89</v>
      </c>
      <c r="N1081">
        <v>152</v>
      </c>
      <c r="O1081">
        <v>0</v>
      </c>
      <c r="P1081" t="s">
        <v>27</v>
      </c>
      <c r="Q1081">
        <v>315</v>
      </c>
      <c r="R1081" t="s">
        <v>39</v>
      </c>
      <c r="S1081">
        <f>IF(support_tickets[[#This Row],[status_cleaned]]="closed",1,0)</f>
        <v>1</v>
      </c>
      <c r="T1081" t="str">
        <f>TEXT(support_tickets[[#This Row],[opened_at]],"mmm yyyy")</f>
        <v>Sep 2024</v>
      </c>
      <c r="U1081">
        <f>YEAR(support_tickets[[#This Row],[opened_at]])*100+MONTH(support_tickets[[#This Row],[opened_at]])</f>
        <v>202409</v>
      </c>
      <c r="V1081" s="29">
        <f>DATE(YEAR(support_tickets[[#This Row],[opened_at]]),MONTH(support_tickets[[#This Row],[opened_at]]),1)</f>
        <v>45536</v>
      </c>
    </row>
    <row r="1082" spans="1:22">
      <c r="A1082">
        <v>2781166078</v>
      </c>
      <c r="B1082">
        <v>946666926</v>
      </c>
      <c r="C1082" t="s">
        <v>570</v>
      </c>
      <c r="D1082" t="s">
        <v>571</v>
      </c>
      <c r="E1082">
        <v>21668732</v>
      </c>
      <c r="F1082">
        <v>4943074590</v>
      </c>
      <c r="G1082" s="1">
        <v>45928.247569444444</v>
      </c>
      <c r="H1082" s="1">
        <v>45928.341319444444</v>
      </c>
      <c r="I1082" t="s">
        <v>52</v>
      </c>
      <c r="J1082" t="s">
        <v>30</v>
      </c>
      <c r="K1082" t="s">
        <v>47</v>
      </c>
      <c r="L1082" t="s">
        <v>21</v>
      </c>
      <c r="M1082">
        <v>10</v>
      </c>
      <c r="N1082">
        <v>135</v>
      </c>
      <c r="O1082">
        <v>0</v>
      </c>
      <c r="P1082" t="s">
        <v>31</v>
      </c>
      <c r="Q1082">
        <v>319</v>
      </c>
      <c r="R1082" t="s">
        <v>39</v>
      </c>
      <c r="S1082">
        <f>IF(support_tickets[[#This Row],[status_cleaned]]="closed",1,0)</f>
        <v>1</v>
      </c>
      <c r="T1082" t="str">
        <f>TEXT(support_tickets[[#This Row],[opened_at]],"mmm yyyy")</f>
        <v>Sep 2025</v>
      </c>
      <c r="U1082">
        <f>YEAR(support_tickets[[#This Row],[opened_at]])*100+MONTH(support_tickets[[#This Row],[opened_at]])</f>
        <v>202509</v>
      </c>
      <c r="V1082" s="29">
        <f>DATE(YEAR(support_tickets[[#This Row],[opened_at]]),MONTH(support_tickets[[#This Row],[opened_at]]),1)</f>
        <v>45901</v>
      </c>
    </row>
    <row r="1083" spans="1:22">
      <c r="A1083">
        <v>2802591028</v>
      </c>
      <c r="B1083">
        <v>462516271</v>
      </c>
      <c r="C1083" t="s">
        <v>110</v>
      </c>
      <c r="D1083" t="s">
        <v>111</v>
      </c>
      <c r="E1083">
        <v>42868828</v>
      </c>
      <c r="G1083" s="1">
        <v>46057.058437500003</v>
      </c>
      <c r="H1083" s="1">
        <v>46057.465381944443</v>
      </c>
      <c r="I1083" t="s">
        <v>3</v>
      </c>
      <c r="J1083" t="s">
        <v>38</v>
      </c>
      <c r="K1083" t="s">
        <v>47</v>
      </c>
      <c r="L1083" t="s">
        <v>21</v>
      </c>
      <c r="M1083">
        <v>5</v>
      </c>
      <c r="N1083">
        <v>586</v>
      </c>
      <c r="O1083">
        <v>0</v>
      </c>
      <c r="P1083" t="s">
        <v>40</v>
      </c>
      <c r="Q1083">
        <v>323</v>
      </c>
      <c r="R1083" t="s">
        <v>39</v>
      </c>
      <c r="S1083">
        <f>IF(support_tickets[[#This Row],[status_cleaned]]="closed",1,0)</f>
        <v>1</v>
      </c>
      <c r="T1083" t="str">
        <f>TEXT(support_tickets[[#This Row],[opened_at]],"mmm yyyy")</f>
        <v>Feb 2026</v>
      </c>
      <c r="U1083">
        <f>YEAR(support_tickets[[#This Row],[opened_at]])*100+MONTH(support_tickets[[#This Row],[opened_at]])</f>
        <v>202602</v>
      </c>
      <c r="V1083" s="29">
        <f>DATE(YEAR(support_tickets[[#This Row],[opened_at]]),MONTH(support_tickets[[#This Row],[opened_at]]),1)</f>
        <v>46054</v>
      </c>
    </row>
    <row r="1084" spans="1:22">
      <c r="A1084">
        <v>2896412521</v>
      </c>
      <c r="B1084">
        <v>968704078</v>
      </c>
      <c r="C1084" t="s">
        <v>244</v>
      </c>
      <c r="D1084" t="s">
        <v>245</v>
      </c>
      <c r="E1084">
        <v>36687537</v>
      </c>
      <c r="F1084">
        <v>7368666052</v>
      </c>
      <c r="G1084" s="1">
        <v>45798.308495370373</v>
      </c>
      <c r="H1084" s="1">
        <v>45798.350162037037</v>
      </c>
      <c r="I1084" t="s">
        <v>37</v>
      </c>
      <c r="J1084" t="s">
        <v>30</v>
      </c>
      <c r="K1084" t="s">
        <v>47</v>
      </c>
      <c r="L1084" t="s">
        <v>21</v>
      </c>
      <c r="M1084">
        <v>37</v>
      </c>
      <c r="N1084">
        <v>60</v>
      </c>
      <c r="O1084">
        <v>0</v>
      </c>
      <c r="P1084" t="s">
        <v>31</v>
      </c>
      <c r="Q1084">
        <v>340</v>
      </c>
      <c r="R1084" t="s">
        <v>39</v>
      </c>
      <c r="S1084">
        <f>IF(support_tickets[[#This Row],[status_cleaned]]="closed",1,0)</f>
        <v>1</v>
      </c>
      <c r="T1084" t="str">
        <f>TEXT(support_tickets[[#This Row],[opened_at]],"mmm yyyy")</f>
        <v>May 2025</v>
      </c>
      <c r="U1084">
        <f>YEAR(support_tickets[[#This Row],[opened_at]])*100+MONTH(support_tickets[[#This Row],[opened_at]])</f>
        <v>202505</v>
      </c>
      <c r="V1084" s="29">
        <f>DATE(YEAR(support_tickets[[#This Row],[opened_at]]),MONTH(support_tickets[[#This Row],[opened_at]]),1)</f>
        <v>45778</v>
      </c>
    </row>
    <row r="1085" spans="1:22">
      <c r="A1085">
        <v>2959748415</v>
      </c>
      <c r="B1085">
        <v>845156039</v>
      </c>
      <c r="C1085" t="s">
        <v>336</v>
      </c>
      <c r="D1085" t="s">
        <v>337</v>
      </c>
      <c r="E1085">
        <v>66722344</v>
      </c>
      <c r="G1085" s="1">
        <v>45789.098252314812</v>
      </c>
      <c r="H1085" s="1">
        <v>45789.312835648147</v>
      </c>
      <c r="I1085" t="s">
        <v>18</v>
      </c>
      <c r="J1085" t="s">
        <v>30</v>
      </c>
      <c r="K1085" t="s">
        <v>47</v>
      </c>
      <c r="L1085" t="s">
        <v>21</v>
      </c>
      <c r="M1085">
        <v>48</v>
      </c>
      <c r="N1085">
        <v>309</v>
      </c>
      <c r="O1085">
        <v>0</v>
      </c>
      <c r="P1085" t="s">
        <v>31</v>
      </c>
      <c r="Q1085">
        <v>349</v>
      </c>
      <c r="R1085" t="s">
        <v>39</v>
      </c>
      <c r="S1085">
        <f>IF(support_tickets[[#This Row],[status_cleaned]]="closed",1,0)</f>
        <v>1</v>
      </c>
      <c r="T1085" t="str">
        <f>TEXT(support_tickets[[#This Row],[opened_at]],"mmm yyyy")</f>
        <v>May 2025</v>
      </c>
      <c r="U1085">
        <f>YEAR(support_tickets[[#This Row],[opened_at]])*100+MONTH(support_tickets[[#This Row],[opened_at]])</f>
        <v>202505</v>
      </c>
      <c r="V1085" s="29">
        <f>DATE(YEAR(support_tickets[[#This Row],[opened_at]]),MONTH(support_tickets[[#This Row],[opened_at]]),1)</f>
        <v>45778</v>
      </c>
    </row>
    <row r="1086" spans="1:22">
      <c r="A1086">
        <v>2981675903</v>
      </c>
      <c r="B1086">
        <v>683246764</v>
      </c>
      <c r="C1086" t="s">
        <v>588</v>
      </c>
      <c r="D1086" t="s">
        <v>589</v>
      </c>
      <c r="E1086">
        <v>94374605</v>
      </c>
      <c r="G1086" s="1">
        <v>45790.616909722223</v>
      </c>
      <c r="H1086" s="1">
        <v>45791.060659722221</v>
      </c>
      <c r="I1086" t="s">
        <v>56</v>
      </c>
      <c r="J1086" t="s">
        <v>86</v>
      </c>
      <c r="K1086" t="s">
        <v>47</v>
      </c>
      <c r="L1086" t="s">
        <v>21</v>
      </c>
      <c r="M1086">
        <v>60</v>
      </c>
      <c r="N1086">
        <v>639</v>
      </c>
      <c r="O1086">
        <v>0</v>
      </c>
      <c r="P1086" t="s">
        <v>87</v>
      </c>
      <c r="Q1086">
        <v>356</v>
      </c>
      <c r="R1086" t="s">
        <v>39</v>
      </c>
      <c r="S1086">
        <f>IF(support_tickets[[#This Row],[status_cleaned]]="closed",1,0)</f>
        <v>1</v>
      </c>
      <c r="T1086" t="str">
        <f>TEXT(support_tickets[[#This Row],[opened_at]],"mmm yyyy")</f>
        <v>May 2025</v>
      </c>
      <c r="U1086">
        <f>YEAR(support_tickets[[#This Row],[opened_at]])*100+MONTH(support_tickets[[#This Row],[opened_at]])</f>
        <v>202505</v>
      </c>
      <c r="V1086" s="29">
        <f>DATE(YEAR(support_tickets[[#This Row],[opened_at]]),MONTH(support_tickets[[#This Row],[opened_at]]),1)</f>
        <v>45778</v>
      </c>
    </row>
    <row r="1087" spans="1:22">
      <c r="A1087">
        <v>2983524522</v>
      </c>
      <c r="B1087">
        <v>603601664</v>
      </c>
      <c r="C1087" t="s">
        <v>368</v>
      </c>
      <c r="D1087" t="s">
        <v>369</v>
      </c>
      <c r="E1087">
        <v>75579548</v>
      </c>
      <c r="G1087" s="1">
        <v>46050.101134259261</v>
      </c>
      <c r="H1087" s="1">
        <v>46050.271967592591</v>
      </c>
      <c r="I1087" t="s">
        <v>46</v>
      </c>
      <c r="J1087" t="s">
        <v>86</v>
      </c>
      <c r="K1087" t="s">
        <v>47</v>
      </c>
      <c r="L1087" t="s">
        <v>21</v>
      </c>
      <c r="M1087">
        <v>32</v>
      </c>
      <c r="N1087">
        <v>246</v>
      </c>
      <c r="O1087">
        <v>0</v>
      </c>
      <c r="P1087" t="s">
        <v>87</v>
      </c>
      <c r="Q1087">
        <v>357</v>
      </c>
      <c r="R1087" t="s">
        <v>39</v>
      </c>
      <c r="S1087">
        <f>IF(support_tickets[[#This Row],[status_cleaned]]="closed",1,0)</f>
        <v>1</v>
      </c>
      <c r="T1087" t="str">
        <f>TEXT(support_tickets[[#This Row],[opened_at]],"mmm yyyy")</f>
        <v>Jan 2026</v>
      </c>
      <c r="U1087">
        <f>YEAR(support_tickets[[#This Row],[opened_at]])*100+MONTH(support_tickets[[#This Row],[opened_at]])</f>
        <v>202601</v>
      </c>
      <c r="V1087" s="29">
        <f>DATE(YEAR(support_tickets[[#This Row],[opened_at]]),MONTH(support_tickets[[#This Row],[opened_at]]),1)</f>
        <v>46023</v>
      </c>
    </row>
    <row r="1088" spans="1:22">
      <c r="A1088">
        <v>3009822493</v>
      </c>
      <c r="B1088">
        <v>683364453</v>
      </c>
      <c r="C1088" t="s">
        <v>178</v>
      </c>
      <c r="D1088" t="s">
        <v>179</v>
      </c>
      <c r="E1088">
        <v>91756179</v>
      </c>
      <c r="G1088" s="1">
        <v>46015.20449074074</v>
      </c>
      <c r="H1088" s="1">
        <v>46015.453796296293</v>
      </c>
      <c r="I1088" t="s">
        <v>3</v>
      </c>
      <c r="J1088" t="s">
        <v>86</v>
      </c>
      <c r="K1088" t="s">
        <v>47</v>
      </c>
      <c r="L1088" t="s">
        <v>21</v>
      </c>
      <c r="M1088">
        <v>9</v>
      </c>
      <c r="N1088">
        <v>359</v>
      </c>
      <c r="O1088">
        <v>0</v>
      </c>
      <c r="P1088" t="s">
        <v>87</v>
      </c>
      <c r="Q1088">
        <v>365</v>
      </c>
      <c r="R1088" t="s">
        <v>39</v>
      </c>
      <c r="S1088">
        <f>IF(support_tickets[[#This Row],[status_cleaned]]="closed",1,0)</f>
        <v>1</v>
      </c>
      <c r="T1088" t="str">
        <f>TEXT(support_tickets[[#This Row],[opened_at]],"mmm yyyy")</f>
        <v>Dec 2025</v>
      </c>
      <c r="U1088">
        <f>YEAR(support_tickets[[#This Row],[opened_at]])*100+MONTH(support_tickets[[#This Row],[opened_at]])</f>
        <v>202512</v>
      </c>
      <c r="V1088" s="29">
        <f>DATE(YEAR(support_tickets[[#This Row],[opened_at]]),MONTH(support_tickets[[#This Row],[opened_at]]),1)</f>
        <v>45992</v>
      </c>
    </row>
    <row r="1089" spans="1:22">
      <c r="A1089">
        <v>3051649180</v>
      </c>
      <c r="B1089">
        <v>771112648</v>
      </c>
      <c r="C1089" t="s">
        <v>646</v>
      </c>
      <c r="D1089" t="s">
        <v>647</v>
      </c>
      <c r="E1089">
        <v>81971316</v>
      </c>
      <c r="G1089" s="1">
        <v>45787.943819444445</v>
      </c>
      <c r="H1089" s="1">
        <v>45788.178541666668</v>
      </c>
      <c r="I1089" t="s">
        <v>18</v>
      </c>
      <c r="J1089" t="s">
        <v>30</v>
      </c>
      <c r="K1089" t="s">
        <v>47</v>
      </c>
      <c r="L1089" t="s">
        <v>21</v>
      </c>
      <c r="M1089">
        <v>52</v>
      </c>
      <c r="N1089">
        <v>338</v>
      </c>
      <c r="O1089">
        <v>0</v>
      </c>
      <c r="P1089" t="s">
        <v>31</v>
      </c>
      <c r="Q1089">
        <v>374</v>
      </c>
      <c r="R1089" t="s">
        <v>39</v>
      </c>
      <c r="S1089">
        <f>IF(support_tickets[[#This Row],[status_cleaned]]="closed",1,0)</f>
        <v>1</v>
      </c>
      <c r="T1089" t="str">
        <f>TEXT(support_tickets[[#This Row],[opened_at]],"mmm yyyy")</f>
        <v>May 2025</v>
      </c>
      <c r="U1089">
        <f>YEAR(support_tickets[[#This Row],[opened_at]])*100+MONTH(support_tickets[[#This Row],[opened_at]])</f>
        <v>202505</v>
      </c>
      <c r="V1089" s="29">
        <f>DATE(YEAR(support_tickets[[#This Row],[opened_at]]),MONTH(support_tickets[[#This Row],[opened_at]]),1)</f>
        <v>45778</v>
      </c>
    </row>
    <row r="1090" spans="1:22">
      <c r="A1090">
        <v>3080616245</v>
      </c>
      <c r="B1090">
        <v>825708356</v>
      </c>
      <c r="C1090" t="s">
        <v>652</v>
      </c>
      <c r="D1090" t="s">
        <v>653</v>
      </c>
      <c r="E1090">
        <v>17507864</v>
      </c>
      <c r="F1090">
        <v>6070949719</v>
      </c>
      <c r="G1090" s="1">
        <v>45910.247002314813</v>
      </c>
      <c r="H1090" s="1">
        <v>45910.350474537037</v>
      </c>
      <c r="I1090" t="s">
        <v>46</v>
      </c>
      <c r="J1090" t="s">
        <v>19</v>
      </c>
      <c r="K1090" t="s">
        <v>47</v>
      </c>
      <c r="L1090" t="s">
        <v>21</v>
      </c>
      <c r="M1090">
        <v>74</v>
      </c>
      <c r="N1090">
        <v>149</v>
      </c>
      <c r="O1090">
        <v>0</v>
      </c>
      <c r="P1090" t="s">
        <v>22</v>
      </c>
      <c r="Q1090">
        <v>378</v>
      </c>
      <c r="R1090" t="s">
        <v>39</v>
      </c>
      <c r="S1090">
        <f>IF(support_tickets[[#This Row],[status_cleaned]]="closed",1,0)</f>
        <v>1</v>
      </c>
      <c r="T1090" t="str">
        <f>TEXT(support_tickets[[#This Row],[opened_at]],"mmm yyyy")</f>
        <v>Sep 2025</v>
      </c>
      <c r="U1090">
        <f>YEAR(support_tickets[[#This Row],[opened_at]])*100+MONTH(support_tickets[[#This Row],[opened_at]])</f>
        <v>202509</v>
      </c>
      <c r="V1090" s="29">
        <f>DATE(YEAR(support_tickets[[#This Row],[opened_at]]),MONTH(support_tickets[[#This Row],[opened_at]]),1)</f>
        <v>45901</v>
      </c>
    </row>
    <row r="1091" spans="1:22">
      <c r="A1091">
        <v>3088037226</v>
      </c>
      <c r="B1091">
        <v>193133974</v>
      </c>
      <c r="C1091" t="s">
        <v>432</v>
      </c>
      <c r="D1091" t="s">
        <v>433</v>
      </c>
      <c r="E1091">
        <v>71662963</v>
      </c>
      <c r="G1091" s="1">
        <v>45296.469780092593</v>
      </c>
      <c r="H1091" s="1">
        <v>45297.144085648149</v>
      </c>
      <c r="I1091" t="s">
        <v>3</v>
      </c>
      <c r="J1091" t="s">
        <v>25</v>
      </c>
      <c r="K1091" t="s">
        <v>47</v>
      </c>
      <c r="L1091" t="s">
        <v>21</v>
      </c>
      <c r="M1091">
        <v>60</v>
      </c>
      <c r="N1091">
        <v>971</v>
      </c>
      <c r="O1091">
        <v>0</v>
      </c>
      <c r="P1091" t="s">
        <v>27</v>
      </c>
      <c r="Q1091">
        <v>380</v>
      </c>
      <c r="R1091" t="s">
        <v>39</v>
      </c>
      <c r="S1091">
        <f>IF(support_tickets[[#This Row],[status_cleaned]]="closed",1,0)</f>
        <v>1</v>
      </c>
      <c r="T1091" t="str">
        <f>TEXT(support_tickets[[#This Row],[opened_at]],"mmm yyyy")</f>
        <v>Jan 2024</v>
      </c>
      <c r="U1091">
        <f>YEAR(support_tickets[[#This Row],[opened_at]])*100+MONTH(support_tickets[[#This Row],[opened_at]])</f>
        <v>202401</v>
      </c>
      <c r="V1091" s="29">
        <f>DATE(YEAR(support_tickets[[#This Row],[opened_at]]),MONTH(support_tickets[[#This Row],[opened_at]]),1)</f>
        <v>45292</v>
      </c>
    </row>
    <row r="1092" spans="1:22">
      <c r="A1092">
        <v>3133186824</v>
      </c>
      <c r="B1092">
        <v>672817675</v>
      </c>
      <c r="C1092" t="s">
        <v>176</v>
      </c>
      <c r="D1092" t="s">
        <v>177</v>
      </c>
      <c r="E1092">
        <v>17507864</v>
      </c>
      <c r="G1092" s="1">
        <v>45735.425694444442</v>
      </c>
      <c r="H1092" s="1">
        <v>45735.459027777775</v>
      </c>
      <c r="I1092" t="s">
        <v>52</v>
      </c>
      <c r="J1092" t="s">
        <v>38</v>
      </c>
      <c r="K1092" t="s">
        <v>47</v>
      </c>
      <c r="L1092" t="s">
        <v>21</v>
      </c>
      <c r="M1092">
        <v>42</v>
      </c>
      <c r="N1092">
        <v>48</v>
      </c>
      <c r="O1092">
        <v>0</v>
      </c>
      <c r="P1092" t="s">
        <v>40</v>
      </c>
      <c r="Q1092">
        <v>390</v>
      </c>
      <c r="R1092" t="s">
        <v>39</v>
      </c>
      <c r="S1092">
        <f>IF(support_tickets[[#This Row],[status_cleaned]]="closed",1,0)</f>
        <v>1</v>
      </c>
      <c r="T1092" t="str">
        <f>TEXT(support_tickets[[#This Row],[opened_at]],"mmm yyyy")</f>
        <v>Mar 2025</v>
      </c>
      <c r="U1092">
        <f>YEAR(support_tickets[[#This Row],[opened_at]])*100+MONTH(support_tickets[[#This Row],[opened_at]])</f>
        <v>202503</v>
      </c>
      <c r="V1092" s="29">
        <f>DATE(YEAR(support_tickets[[#This Row],[opened_at]]),MONTH(support_tickets[[#This Row],[opened_at]]),1)</f>
        <v>45717</v>
      </c>
    </row>
    <row r="1093" spans="1:22">
      <c r="A1093">
        <v>3186391513</v>
      </c>
      <c r="B1093">
        <v>578798403</v>
      </c>
      <c r="C1093" t="s">
        <v>674</v>
      </c>
      <c r="D1093" t="s">
        <v>675</v>
      </c>
      <c r="E1093">
        <v>36687537</v>
      </c>
      <c r="F1093">
        <v>5689242601</v>
      </c>
      <c r="G1093" s="1">
        <v>46108.452824074076</v>
      </c>
      <c r="H1093" s="1">
        <v>46108.860462962963</v>
      </c>
      <c r="I1093" t="s">
        <v>52</v>
      </c>
      <c r="J1093" t="s">
        <v>59</v>
      </c>
      <c r="K1093" t="s">
        <v>47</v>
      </c>
      <c r="L1093" t="s">
        <v>21</v>
      </c>
      <c r="M1093">
        <v>47</v>
      </c>
      <c r="N1093">
        <v>587</v>
      </c>
      <c r="O1093">
        <v>0</v>
      </c>
      <c r="P1093" t="s">
        <v>61</v>
      </c>
      <c r="Q1093">
        <v>395</v>
      </c>
      <c r="R1093" t="s">
        <v>39</v>
      </c>
      <c r="S1093">
        <f>IF(support_tickets[[#This Row],[status_cleaned]]="closed",1,0)</f>
        <v>1</v>
      </c>
      <c r="T1093" t="str">
        <f>TEXT(support_tickets[[#This Row],[opened_at]],"mmm yyyy")</f>
        <v>Mar 2026</v>
      </c>
      <c r="U1093">
        <f>YEAR(support_tickets[[#This Row],[opened_at]])*100+MONTH(support_tickets[[#This Row],[opened_at]])</f>
        <v>202603</v>
      </c>
      <c r="V1093" s="29">
        <f>DATE(YEAR(support_tickets[[#This Row],[opened_at]]),MONTH(support_tickets[[#This Row],[opened_at]]),1)</f>
        <v>46082</v>
      </c>
    </row>
    <row r="1094" spans="1:22">
      <c r="A1094">
        <v>3316796568</v>
      </c>
      <c r="B1094">
        <v>918040539</v>
      </c>
      <c r="C1094" t="s">
        <v>704</v>
      </c>
      <c r="D1094" t="s">
        <v>705</v>
      </c>
      <c r="E1094">
        <v>38427073</v>
      </c>
      <c r="F1094">
        <v>8351204161</v>
      </c>
      <c r="G1094" s="1">
        <v>45954.396770833337</v>
      </c>
      <c r="H1094" s="1">
        <v>45954.773159722223</v>
      </c>
      <c r="I1094" t="s">
        <v>18</v>
      </c>
      <c r="J1094" t="s">
        <v>86</v>
      </c>
      <c r="K1094" t="s">
        <v>47</v>
      </c>
      <c r="L1094" t="s">
        <v>21</v>
      </c>
      <c r="M1094">
        <v>53</v>
      </c>
      <c r="N1094">
        <v>542</v>
      </c>
      <c r="O1094">
        <v>0</v>
      </c>
      <c r="P1094" t="s">
        <v>87</v>
      </c>
      <c r="Q1094">
        <v>417</v>
      </c>
      <c r="R1094" t="s">
        <v>39</v>
      </c>
      <c r="S1094">
        <f>IF(support_tickets[[#This Row],[status_cleaned]]="closed",1,0)</f>
        <v>1</v>
      </c>
      <c r="T1094" t="str">
        <f>TEXT(support_tickets[[#This Row],[opened_at]],"mmm yyyy")</f>
        <v>Oct 2025</v>
      </c>
      <c r="U1094">
        <f>YEAR(support_tickets[[#This Row],[opened_at]])*100+MONTH(support_tickets[[#This Row],[opened_at]])</f>
        <v>202510</v>
      </c>
      <c r="V1094" s="29">
        <f>DATE(YEAR(support_tickets[[#This Row],[opened_at]]),MONTH(support_tickets[[#This Row],[opened_at]]),1)</f>
        <v>45931</v>
      </c>
    </row>
    <row r="1095" spans="1:22">
      <c r="A1095">
        <v>3325664111</v>
      </c>
      <c r="B1095">
        <v>383856728</v>
      </c>
      <c r="C1095" t="s">
        <v>708</v>
      </c>
      <c r="D1095" t="s">
        <v>709</v>
      </c>
      <c r="E1095">
        <v>28740864</v>
      </c>
      <c r="G1095" s="1">
        <v>45392.253819444442</v>
      </c>
      <c r="H1095" s="1">
        <v>45392.399652777778</v>
      </c>
      <c r="I1095" t="s">
        <v>52</v>
      </c>
      <c r="J1095" t="s">
        <v>86</v>
      </c>
      <c r="K1095" t="s">
        <v>47</v>
      </c>
      <c r="L1095" t="s">
        <v>21</v>
      </c>
      <c r="M1095">
        <v>54</v>
      </c>
      <c r="N1095">
        <v>210</v>
      </c>
      <c r="O1095">
        <v>0</v>
      </c>
      <c r="P1095" t="s">
        <v>87</v>
      </c>
      <c r="Q1095">
        <v>420</v>
      </c>
      <c r="R1095" t="s">
        <v>39</v>
      </c>
      <c r="S1095">
        <f>IF(support_tickets[[#This Row],[status_cleaned]]="closed",1,0)</f>
        <v>1</v>
      </c>
      <c r="T1095" t="str">
        <f>TEXT(support_tickets[[#This Row],[opened_at]],"mmm yyyy")</f>
        <v>Apr 2024</v>
      </c>
      <c r="U1095">
        <f>YEAR(support_tickets[[#This Row],[opened_at]])*100+MONTH(support_tickets[[#This Row],[opened_at]])</f>
        <v>202404</v>
      </c>
      <c r="V1095" s="29">
        <f>DATE(YEAR(support_tickets[[#This Row],[opened_at]]),MONTH(support_tickets[[#This Row],[opened_at]]),1)</f>
        <v>45383</v>
      </c>
    </row>
    <row r="1096" spans="1:22">
      <c r="A1096">
        <v>3360484174</v>
      </c>
      <c r="B1096">
        <v>490102359</v>
      </c>
      <c r="C1096" t="s">
        <v>720</v>
      </c>
      <c r="D1096" t="s">
        <v>721</v>
      </c>
      <c r="E1096">
        <v>80823176</v>
      </c>
      <c r="F1096">
        <v>7671347646</v>
      </c>
      <c r="G1096" s="1">
        <v>45834.107789351852</v>
      </c>
      <c r="H1096" s="1">
        <v>45834.581400462965</v>
      </c>
      <c r="I1096" t="s">
        <v>52</v>
      </c>
      <c r="J1096" t="s">
        <v>30</v>
      </c>
      <c r="K1096" t="s">
        <v>47</v>
      </c>
      <c r="L1096" t="s">
        <v>21</v>
      </c>
      <c r="M1096">
        <v>62</v>
      </c>
      <c r="N1096">
        <v>682</v>
      </c>
      <c r="O1096">
        <v>0</v>
      </c>
      <c r="P1096" t="s">
        <v>31</v>
      </c>
      <c r="Q1096">
        <v>428</v>
      </c>
      <c r="R1096" t="s">
        <v>39</v>
      </c>
      <c r="S1096">
        <f>IF(support_tickets[[#This Row],[status_cleaned]]="closed",1,0)</f>
        <v>1</v>
      </c>
      <c r="T1096" t="str">
        <f>TEXT(support_tickets[[#This Row],[opened_at]],"mmm yyyy")</f>
        <v>Jun 2025</v>
      </c>
      <c r="U1096">
        <f>YEAR(support_tickets[[#This Row],[opened_at]])*100+MONTH(support_tickets[[#This Row],[opened_at]])</f>
        <v>202506</v>
      </c>
      <c r="V1096" s="29">
        <f>DATE(YEAR(support_tickets[[#This Row],[opened_at]]),MONTH(support_tickets[[#This Row],[opened_at]]),1)</f>
        <v>45809</v>
      </c>
    </row>
    <row r="1097" spans="1:22">
      <c r="A1097">
        <v>3364084191</v>
      </c>
      <c r="B1097">
        <v>741288486</v>
      </c>
      <c r="C1097" t="s">
        <v>726</v>
      </c>
      <c r="D1097" t="s">
        <v>727</v>
      </c>
      <c r="E1097">
        <v>76238574</v>
      </c>
      <c r="F1097">
        <v>3363538831</v>
      </c>
      <c r="G1097" s="1">
        <v>45892.27925925926</v>
      </c>
      <c r="H1097" s="1">
        <v>45892.587592592594</v>
      </c>
      <c r="I1097" t="s">
        <v>43</v>
      </c>
      <c r="J1097" t="s">
        <v>86</v>
      </c>
      <c r="K1097" t="s">
        <v>47</v>
      </c>
      <c r="L1097" t="s">
        <v>21</v>
      </c>
      <c r="M1097">
        <v>38</v>
      </c>
      <c r="N1097">
        <v>444</v>
      </c>
      <c r="O1097">
        <v>0</v>
      </c>
      <c r="P1097" t="s">
        <v>87</v>
      </c>
      <c r="Q1097">
        <v>431</v>
      </c>
      <c r="R1097" t="s">
        <v>39</v>
      </c>
      <c r="S1097">
        <f>IF(support_tickets[[#This Row],[status_cleaned]]="closed",1,0)</f>
        <v>1</v>
      </c>
      <c r="T1097" t="str">
        <f>TEXT(support_tickets[[#This Row],[opened_at]],"mmm yyyy")</f>
        <v>Aug 2025</v>
      </c>
      <c r="U1097">
        <f>YEAR(support_tickets[[#This Row],[opened_at]])*100+MONTH(support_tickets[[#This Row],[opened_at]])</f>
        <v>202508</v>
      </c>
      <c r="V1097" s="29">
        <f>DATE(YEAR(support_tickets[[#This Row],[opened_at]]),MONTH(support_tickets[[#This Row],[opened_at]]),1)</f>
        <v>45870</v>
      </c>
    </row>
    <row r="1098" spans="1:22">
      <c r="A1098">
        <v>3426428467</v>
      </c>
      <c r="B1098">
        <v>869801588</v>
      </c>
      <c r="C1098" t="s">
        <v>554</v>
      </c>
      <c r="D1098" t="s">
        <v>555</v>
      </c>
      <c r="E1098">
        <v>98550256</v>
      </c>
      <c r="F1098">
        <v>9368300034</v>
      </c>
      <c r="G1098" s="1">
        <v>46042.612893518519</v>
      </c>
      <c r="H1098" s="1">
        <v>46043.153171296297</v>
      </c>
      <c r="I1098" t="s">
        <v>43</v>
      </c>
      <c r="J1098" t="s">
        <v>30</v>
      </c>
      <c r="K1098" t="s">
        <v>47</v>
      </c>
      <c r="L1098" t="s">
        <v>21</v>
      </c>
      <c r="M1098">
        <v>27</v>
      </c>
      <c r="N1098">
        <v>778</v>
      </c>
      <c r="O1098">
        <v>0</v>
      </c>
      <c r="P1098" t="s">
        <v>31</v>
      </c>
      <c r="Q1098">
        <v>437</v>
      </c>
      <c r="R1098" t="s">
        <v>39</v>
      </c>
      <c r="S1098">
        <f>IF(support_tickets[[#This Row],[status_cleaned]]="closed",1,0)</f>
        <v>1</v>
      </c>
      <c r="T1098" t="str">
        <f>TEXT(support_tickets[[#This Row],[opened_at]],"mmm yyyy")</f>
        <v>Jan 2026</v>
      </c>
      <c r="U1098">
        <f>YEAR(support_tickets[[#This Row],[opened_at]])*100+MONTH(support_tickets[[#This Row],[opened_at]])</f>
        <v>202601</v>
      </c>
      <c r="V1098" s="29">
        <f>DATE(YEAR(support_tickets[[#This Row],[opened_at]]),MONTH(support_tickets[[#This Row],[opened_at]]),1)</f>
        <v>46023</v>
      </c>
    </row>
    <row r="1099" spans="1:22">
      <c r="A1099">
        <v>3445907524</v>
      </c>
      <c r="B1099">
        <v>719303396</v>
      </c>
      <c r="C1099" t="s">
        <v>744</v>
      </c>
      <c r="D1099" t="s">
        <v>745</v>
      </c>
      <c r="E1099">
        <v>17507864</v>
      </c>
      <c r="F1099">
        <v>1417984375</v>
      </c>
      <c r="G1099" s="1">
        <v>45584.066157407404</v>
      </c>
      <c r="H1099" s="1">
        <v>45584.486296296294</v>
      </c>
      <c r="I1099" t="s">
        <v>56</v>
      </c>
      <c r="J1099" t="s">
        <v>25</v>
      </c>
      <c r="K1099" t="s">
        <v>47</v>
      </c>
      <c r="L1099" t="s">
        <v>21</v>
      </c>
      <c r="M1099">
        <v>63</v>
      </c>
      <c r="N1099">
        <v>605</v>
      </c>
      <c r="O1099">
        <v>0</v>
      </c>
      <c r="P1099" t="s">
        <v>27</v>
      </c>
      <c r="Q1099">
        <v>441</v>
      </c>
      <c r="R1099" t="s">
        <v>39</v>
      </c>
      <c r="S1099">
        <f>IF(support_tickets[[#This Row],[status_cleaned]]="closed",1,0)</f>
        <v>1</v>
      </c>
      <c r="T1099" t="str">
        <f>TEXT(support_tickets[[#This Row],[opened_at]],"mmm yyyy")</f>
        <v>Oct 2024</v>
      </c>
      <c r="U1099">
        <f>YEAR(support_tickets[[#This Row],[opened_at]])*100+MONTH(support_tickets[[#This Row],[opened_at]])</f>
        <v>202410</v>
      </c>
      <c r="V1099" s="29">
        <f>DATE(YEAR(support_tickets[[#This Row],[opened_at]]),MONTH(support_tickets[[#This Row],[opened_at]]),1)</f>
        <v>45566</v>
      </c>
    </row>
    <row r="1100" spans="1:22">
      <c r="A1100">
        <v>3565331243</v>
      </c>
      <c r="B1100">
        <v>530121245</v>
      </c>
      <c r="C1100" t="s">
        <v>472</v>
      </c>
      <c r="D1100" t="s">
        <v>473</v>
      </c>
      <c r="E1100">
        <v>31472420</v>
      </c>
      <c r="G1100" s="1">
        <v>45582.658472222225</v>
      </c>
      <c r="H1100" s="1">
        <v>45583.065416666665</v>
      </c>
      <c r="I1100" t="s">
        <v>3</v>
      </c>
      <c r="J1100" t="s">
        <v>25</v>
      </c>
      <c r="K1100" t="s">
        <v>47</v>
      </c>
      <c r="L1100" t="s">
        <v>21</v>
      </c>
      <c r="M1100">
        <v>64</v>
      </c>
      <c r="N1100">
        <v>586</v>
      </c>
      <c r="O1100">
        <v>0</v>
      </c>
      <c r="P1100" t="s">
        <v>27</v>
      </c>
      <c r="Q1100">
        <v>459</v>
      </c>
      <c r="R1100" t="s">
        <v>39</v>
      </c>
      <c r="S1100">
        <f>IF(support_tickets[[#This Row],[status_cleaned]]="closed",1,0)</f>
        <v>1</v>
      </c>
      <c r="T1100" t="str">
        <f>TEXT(support_tickets[[#This Row],[opened_at]],"mmm yyyy")</f>
        <v>Oct 2024</v>
      </c>
      <c r="U1100">
        <f>YEAR(support_tickets[[#This Row],[opened_at]])*100+MONTH(support_tickets[[#This Row],[opened_at]])</f>
        <v>202410</v>
      </c>
      <c r="V1100" s="29">
        <f>DATE(YEAR(support_tickets[[#This Row],[opened_at]]),MONTH(support_tickets[[#This Row],[opened_at]]),1)</f>
        <v>45566</v>
      </c>
    </row>
    <row r="1101" spans="1:22">
      <c r="A1101">
        <v>3571814431</v>
      </c>
      <c r="B1101">
        <v>656931857</v>
      </c>
      <c r="C1101" t="s">
        <v>428</v>
      </c>
      <c r="D1101" t="s">
        <v>429</v>
      </c>
      <c r="E1101">
        <v>29175900</v>
      </c>
      <c r="G1101" s="1">
        <v>45548.510243055556</v>
      </c>
      <c r="H1101" s="1">
        <v>45548.877604166664</v>
      </c>
      <c r="I1101" t="s">
        <v>43</v>
      </c>
      <c r="J1101" t="s">
        <v>30</v>
      </c>
      <c r="K1101" t="s">
        <v>47</v>
      </c>
      <c r="L1101" t="s">
        <v>21</v>
      </c>
      <c r="M1101">
        <v>46</v>
      </c>
      <c r="N1101">
        <v>529</v>
      </c>
      <c r="O1101">
        <v>0</v>
      </c>
      <c r="P1101" t="s">
        <v>31</v>
      </c>
      <c r="Q1101">
        <v>461</v>
      </c>
      <c r="R1101" t="s">
        <v>39</v>
      </c>
      <c r="S1101">
        <f>IF(support_tickets[[#This Row],[status_cleaned]]="closed",1,0)</f>
        <v>1</v>
      </c>
      <c r="T1101" t="str">
        <f>TEXT(support_tickets[[#This Row],[opened_at]],"mmm yyyy")</f>
        <v>Sep 2024</v>
      </c>
      <c r="U1101">
        <f>YEAR(support_tickets[[#This Row],[opened_at]])*100+MONTH(support_tickets[[#This Row],[opened_at]])</f>
        <v>202409</v>
      </c>
      <c r="V1101" s="29">
        <f>DATE(YEAR(support_tickets[[#This Row],[opened_at]]),MONTH(support_tickets[[#This Row],[opened_at]]),1)</f>
        <v>45536</v>
      </c>
    </row>
    <row r="1102" spans="1:22">
      <c r="A1102">
        <v>3593052392</v>
      </c>
      <c r="B1102">
        <v>247709679</v>
      </c>
      <c r="C1102" t="s">
        <v>768</v>
      </c>
      <c r="D1102" t="s">
        <v>769</v>
      </c>
      <c r="E1102">
        <v>31682744</v>
      </c>
      <c r="F1102">
        <v>5589770880</v>
      </c>
      <c r="G1102" s="1">
        <v>46091.796319444446</v>
      </c>
      <c r="H1102" s="1">
        <v>46092.094930555555</v>
      </c>
      <c r="I1102" t="s">
        <v>46</v>
      </c>
      <c r="J1102" t="s">
        <v>19</v>
      </c>
      <c r="K1102" t="s">
        <v>47</v>
      </c>
      <c r="L1102" t="s">
        <v>21</v>
      </c>
      <c r="M1102">
        <v>1</v>
      </c>
      <c r="N1102">
        <v>430</v>
      </c>
      <c r="O1102">
        <v>0</v>
      </c>
      <c r="P1102" t="s">
        <v>22</v>
      </c>
      <c r="Q1102">
        <v>462</v>
      </c>
      <c r="R1102" t="s">
        <v>39</v>
      </c>
      <c r="S1102">
        <f>IF(support_tickets[[#This Row],[status_cleaned]]="closed",1,0)</f>
        <v>1</v>
      </c>
      <c r="T1102" t="str">
        <f>TEXT(support_tickets[[#This Row],[opened_at]],"mmm yyyy")</f>
        <v>Mar 2026</v>
      </c>
      <c r="U1102">
        <f>YEAR(support_tickets[[#This Row],[opened_at]])*100+MONTH(support_tickets[[#This Row],[opened_at]])</f>
        <v>202603</v>
      </c>
      <c r="V1102" s="29">
        <f>DATE(YEAR(support_tickets[[#This Row],[opened_at]]),MONTH(support_tickets[[#This Row],[opened_at]]),1)</f>
        <v>46082</v>
      </c>
    </row>
    <row r="1103" spans="1:22">
      <c r="A1103">
        <v>3598639290</v>
      </c>
      <c r="B1103">
        <v>170596494</v>
      </c>
      <c r="C1103" t="s">
        <v>550</v>
      </c>
      <c r="D1103" t="s">
        <v>551</v>
      </c>
      <c r="E1103">
        <v>45551614</v>
      </c>
      <c r="F1103">
        <v>6587745053</v>
      </c>
      <c r="G1103" s="1">
        <v>45538.888298611113</v>
      </c>
      <c r="H1103" s="1">
        <v>45539.038298611114</v>
      </c>
      <c r="I1103" t="s">
        <v>37</v>
      </c>
      <c r="J1103" t="s">
        <v>86</v>
      </c>
      <c r="K1103" t="s">
        <v>47</v>
      </c>
      <c r="L1103" t="s">
        <v>21</v>
      </c>
      <c r="M1103">
        <v>55</v>
      </c>
      <c r="N1103">
        <v>216</v>
      </c>
      <c r="O1103">
        <v>0</v>
      </c>
      <c r="P1103" t="s">
        <v>87</v>
      </c>
      <c r="Q1103">
        <v>464</v>
      </c>
      <c r="R1103" t="s">
        <v>39</v>
      </c>
      <c r="S1103">
        <f>IF(support_tickets[[#This Row],[status_cleaned]]="closed",1,0)</f>
        <v>1</v>
      </c>
      <c r="T1103" t="str">
        <f>TEXT(support_tickets[[#This Row],[opened_at]],"mmm yyyy")</f>
        <v>Sep 2024</v>
      </c>
      <c r="U1103">
        <f>YEAR(support_tickets[[#This Row],[opened_at]])*100+MONTH(support_tickets[[#This Row],[opened_at]])</f>
        <v>202409</v>
      </c>
      <c r="V1103" s="29">
        <f>DATE(YEAR(support_tickets[[#This Row],[opened_at]]),MONTH(support_tickets[[#This Row],[opened_at]]),1)</f>
        <v>45536</v>
      </c>
    </row>
    <row r="1104" spans="1:22">
      <c r="A1104">
        <v>3608683528</v>
      </c>
      <c r="B1104">
        <v>605547798</v>
      </c>
      <c r="C1104" t="s">
        <v>772</v>
      </c>
      <c r="D1104" t="s">
        <v>773</v>
      </c>
      <c r="E1104">
        <v>24282218</v>
      </c>
      <c r="G1104" s="1">
        <v>45892.21603009259</v>
      </c>
      <c r="H1104" s="1">
        <v>45892.468807870369</v>
      </c>
      <c r="I1104" t="s">
        <v>18</v>
      </c>
      <c r="J1104" t="s">
        <v>30</v>
      </c>
      <c r="K1104" t="s">
        <v>47</v>
      </c>
      <c r="L1104" t="s">
        <v>21</v>
      </c>
      <c r="M1104">
        <v>25</v>
      </c>
      <c r="N1104">
        <v>364</v>
      </c>
      <c r="O1104">
        <v>0</v>
      </c>
      <c r="P1104" t="s">
        <v>31</v>
      </c>
      <c r="Q1104">
        <v>466</v>
      </c>
      <c r="R1104" t="s">
        <v>39</v>
      </c>
      <c r="S1104">
        <f>IF(support_tickets[[#This Row],[status_cleaned]]="closed",1,0)</f>
        <v>1</v>
      </c>
      <c r="T1104" t="str">
        <f>TEXT(support_tickets[[#This Row],[opened_at]],"mmm yyyy")</f>
        <v>Aug 2025</v>
      </c>
      <c r="U1104">
        <f>YEAR(support_tickets[[#This Row],[opened_at]])*100+MONTH(support_tickets[[#This Row],[opened_at]])</f>
        <v>202508</v>
      </c>
      <c r="V1104" s="29">
        <f>DATE(YEAR(support_tickets[[#This Row],[opened_at]]),MONTH(support_tickets[[#This Row],[opened_at]]),1)</f>
        <v>45870</v>
      </c>
    </row>
    <row r="1105" spans="1:22">
      <c r="A1105">
        <v>3653327378</v>
      </c>
      <c r="B1105">
        <v>300050585</v>
      </c>
      <c r="C1105" t="s">
        <v>786</v>
      </c>
      <c r="D1105" t="s">
        <v>787</v>
      </c>
      <c r="E1105">
        <v>47295260</v>
      </c>
      <c r="G1105" s="1">
        <v>45933.559421296297</v>
      </c>
      <c r="H1105" s="1">
        <v>45933.994837962964</v>
      </c>
      <c r="I1105" t="s">
        <v>43</v>
      </c>
      <c r="J1105" t="s">
        <v>19</v>
      </c>
      <c r="K1105" t="s">
        <v>47</v>
      </c>
      <c r="L1105" t="s">
        <v>21</v>
      </c>
      <c r="M1105">
        <v>26</v>
      </c>
      <c r="N1105">
        <v>627</v>
      </c>
      <c r="O1105">
        <v>0</v>
      </c>
      <c r="P1105" t="s">
        <v>22</v>
      </c>
      <c r="Q1105">
        <v>475</v>
      </c>
      <c r="R1105" t="s">
        <v>39</v>
      </c>
      <c r="S1105">
        <f>IF(support_tickets[[#This Row],[status_cleaned]]="closed",1,0)</f>
        <v>1</v>
      </c>
      <c r="T1105" t="str">
        <f>TEXT(support_tickets[[#This Row],[opened_at]],"mmm yyyy")</f>
        <v>Oct 2025</v>
      </c>
      <c r="U1105">
        <f>YEAR(support_tickets[[#This Row],[opened_at]])*100+MONTH(support_tickets[[#This Row],[opened_at]])</f>
        <v>202510</v>
      </c>
      <c r="V1105" s="29">
        <f>DATE(YEAR(support_tickets[[#This Row],[opened_at]]),MONTH(support_tickets[[#This Row],[opened_at]]),1)</f>
        <v>45931</v>
      </c>
    </row>
    <row r="1106" spans="1:22">
      <c r="A1106">
        <v>3657218780</v>
      </c>
      <c r="B1106">
        <v>689274064</v>
      </c>
      <c r="C1106" t="s">
        <v>282</v>
      </c>
      <c r="D1106" t="s">
        <v>283</v>
      </c>
      <c r="E1106">
        <v>63100814</v>
      </c>
      <c r="G1106" s="1">
        <v>45525.812604166669</v>
      </c>
      <c r="H1106" s="1">
        <v>45526.221631944441</v>
      </c>
      <c r="I1106" t="s">
        <v>43</v>
      </c>
      <c r="J1106" t="s">
        <v>86</v>
      </c>
      <c r="K1106" t="s">
        <v>47</v>
      </c>
      <c r="L1106" t="s">
        <v>21</v>
      </c>
      <c r="M1106">
        <v>66</v>
      </c>
      <c r="N1106">
        <v>589</v>
      </c>
      <c r="O1106">
        <v>0</v>
      </c>
      <c r="P1106" t="s">
        <v>87</v>
      </c>
      <c r="Q1106">
        <v>476</v>
      </c>
      <c r="R1106" t="s">
        <v>39</v>
      </c>
      <c r="S1106">
        <f>IF(support_tickets[[#This Row],[status_cleaned]]="closed",1,0)</f>
        <v>1</v>
      </c>
      <c r="T1106" t="str">
        <f>TEXT(support_tickets[[#This Row],[opened_at]],"mmm yyyy")</f>
        <v>Aug 2024</v>
      </c>
      <c r="U1106">
        <f>YEAR(support_tickets[[#This Row],[opened_at]])*100+MONTH(support_tickets[[#This Row],[opened_at]])</f>
        <v>202408</v>
      </c>
      <c r="V1106" s="29">
        <f>DATE(YEAR(support_tickets[[#This Row],[opened_at]]),MONTH(support_tickets[[#This Row],[opened_at]]),1)</f>
        <v>45505</v>
      </c>
    </row>
    <row r="1107" spans="1:22">
      <c r="A1107">
        <v>3698707455</v>
      </c>
      <c r="B1107">
        <v>358303887</v>
      </c>
      <c r="C1107" t="s">
        <v>797</v>
      </c>
      <c r="D1107" t="s">
        <v>798</v>
      </c>
      <c r="E1107">
        <v>59684848</v>
      </c>
      <c r="G1107" s="1">
        <v>45450.317152777781</v>
      </c>
      <c r="H1107" s="1">
        <v>45450.956736111111</v>
      </c>
      <c r="I1107" t="s">
        <v>56</v>
      </c>
      <c r="J1107" t="s">
        <v>25</v>
      </c>
      <c r="K1107" t="s">
        <v>47</v>
      </c>
      <c r="L1107" t="s">
        <v>21</v>
      </c>
      <c r="M1107">
        <v>35</v>
      </c>
      <c r="N1107">
        <v>921</v>
      </c>
      <c r="O1107">
        <v>0</v>
      </c>
      <c r="P1107" t="s">
        <v>27</v>
      </c>
      <c r="Q1107">
        <v>483</v>
      </c>
      <c r="R1107" t="s">
        <v>39</v>
      </c>
      <c r="S1107">
        <f>IF(support_tickets[[#This Row],[status_cleaned]]="closed",1,0)</f>
        <v>1</v>
      </c>
      <c r="T1107" t="str">
        <f>TEXT(support_tickets[[#This Row],[opened_at]],"mmm yyyy")</f>
        <v>Jun 2024</v>
      </c>
      <c r="U1107">
        <f>YEAR(support_tickets[[#This Row],[opened_at]])*100+MONTH(support_tickets[[#This Row],[opened_at]])</f>
        <v>202406</v>
      </c>
      <c r="V1107" s="29">
        <f>DATE(YEAR(support_tickets[[#This Row],[opened_at]]),MONTH(support_tickets[[#This Row],[opened_at]]),1)</f>
        <v>45444</v>
      </c>
    </row>
    <row r="1108" spans="1:22">
      <c r="A1108">
        <v>3770724107</v>
      </c>
      <c r="B1108">
        <v>271092615</v>
      </c>
      <c r="C1108" t="s">
        <v>69</v>
      </c>
      <c r="D1108" t="s">
        <v>811</v>
      </c>
      <c r="E1108">
        <v>56164955</v>
      </c>
      <c r="G1108" s="1">
        <v>45685.646817129629</v>
      </c>
      <c r="H1108" s="1">
        <v>45686.166261574072</v>
      </c>
      <c r="I1108" t="s">
        <v>46</v>
      </c>
      <c r="J1108" t="s">
        <v>19</v>
      </c>
      <c r="K1108" t="s">
        <v>47</v>
      </c>
      <c r="L1108" t="s">
        <v>21</v>
      </c>
      <c r="M1108">
        <v>54</v>
      </c>
      <c r="N1108">
        <v>748</v>
      </c>
      <c r="O1108">
        <v>0</v>
      </c>
      <c r="P1108" t="s">
        <v>22</v>
      </c>
      <c r="Q1108">
        <v>496</v>
      </c>
      <c r="R1108" t="s">
        <v>39</v>
      </c>
      <c r="S1108">
        <f>IF(support_tickets[[#This Row],[status_cleaned]]="closed",1,0)</f>
        <v>1</v>
      </c>
      <c r="T1108" t="str">
        <f>TEXT(support_tickets[[#This Row],[opened_at]],"mmm yyyy")</f>
        <v>Jan 2025</v>
      </c>
      <c r="U1108">
        <f>YEAR(support_tickets[[#This Row],[opened_at]])*100+MONTH(support_tickets[[#This Row],[opened_at]])</f>
        <v>202501</v>
      </c>
      <c r="V1108" s="29">
        <f>DATE(YEAR(support_tickets[[#This Row],[opened_at]]),MONTH(support_tickets[[#This Row],[opened_at]]),1)</f>
        <v>45658</v>
      </c>
    </row>
    <row r="1109" spans="1:22">
      <c r="A1109">
        <v>3803913396</v>
      </c>
      <c r="B1109">
        <v>147605080</v>
      </c>
      <c r="C1109" t="s">
        <v>816</v>
      </c>
      <c r="D1109" t="s">
        <v>817</v>
      </c>
      <c r="E1109">
        <v>66306997</v>
      </c>
      <c r="F1109">
        <v>5805176383</v>
      </c>
      <c r="G1109" s="1">
        <v>45912.93304398148</v>
      </c>
      <c r="H1109" s="1">
        <v>45913.453182870369</v>
      </c>
      <c r="I1109" t="s">
        <v>3</v>
      </c>
      <c r="J1109" t="s">
        <v>19</v>
      </c>
      <c r="K1109" t="s">
        <v>47</v>
      </c>
      <c r="L1109" t="s">
        <v>21</v>
      </c>
      <c r="M1109">
        <v>14</v>
      </c>
      <c r="N1109">
        <v>749</v>
      </c>
      <c r="O1109">
        <v>0</v>
      </c>
      <c r="P1109" t="s">
        <v>22</v>
      </c>
      <c r="Q1109">
        <v>501</v>
      </c>
      <c r="R1109" t="s">
        <v>39</v>
      </c>
      <c r="S1109">
        <f>IF(support_tickets[[#This Row],[status_cleaned]]="closed",1,0)</f>
        <v>1</v>
      </c>
      <c r="T1109" t="str">
        <f>TEXT(support_tickets[[#This Row],[opened_at]],"mmm yyyy")</f>
        <v>Sep 2025</v>
      </c>
      <c r="U1109">
        <f>YEAR(support_tickets[[#This Row],[opened_at]])*100+MONTH(support_tickets[[#This Row],[opened_at]])</f>
        <v>202509</v>
      </c>
      <c r="V1109" s="29">
        <f>DATE(YEAR(support_tickets[[#This Row],[opened_at]]),MONTH(support_tickets[[#This Row],[opened_at]]),1)</f>
        <v>45901</v>
      </c>
    </row>
    <row r="1110" spans="1:22">
      <c r="A1110">
        <v>3891787217</v>
      </c>
      <c r="B1110">
        <v>169727803</v>
      </c>
      <c r="C1110" t="s">
        <v>799</v>
      </c>
      <c r="D1110" t="s">
        <v>800</v>
      </c>
      <c r="E1110">
        <v>22981052</v>
      </c>
      <c r="G1110" s="1">
        <v>46028.578576388885</v>
      </c>
      <c r="H1110" s="1">
        <v>46028.79315972222</v>
      </c>
      <c r="I1110" t="s">
        <v>18</v>
      </c>
      <c r="J1110" t="s">
        <v>38</v>
      </c>
      <c r="K1110" t="s">
        <v>47</v>
      </c>
      <c r="L1110" t="s">
        <v>21</v>
      </c>
      <c r="M1110">
        <v>46</v>
      </c>
      <c r="N1110">
        <v>309</v>
      </c>
      <c r="O1110">
        <v>0</v>
      </c>
      <c r="P1110" t="s">
        <v>40</v>
      </c>
      <c r="Q1110">
        <v>509</v>
      </c>
      <c r="R1110" t="s">
        <v>39</v>
      </c>
      <c r="S1110">
        <f>IF(support_tickets[[#This Row],[status_cleaned]]="closed",1,0)</f>
        <v>1</v>
      </c>
      <c r="T1110" t="str">
        <f>TEXT(support_tickets[[#This Row],[opened_at]],"mmm yyyy")</f>
        <v>Jan 2026</v>
      </c>
      <c r="U1110">
        <f>YEAR(support_tickets[[#This Row],[opened_at]])*100+MONTH(support_tickets[[#This Row],[opened_at]])</f>
        <v>202601</v>
      </c>
      <c r="V1110" s="29">
        <f>DATE(YEAR(support_tickets[[#This Row],[opened_at]]),MONTH(support_tickets[[#This Row],[opened_at]]),1)</f>
        <v>46023</v>
      </c>
    </row>
    <row r="1111" spans="1:22">
      <c r="A1111">
        <v>3939032920</v>
      </c>
      <c r="B1111">
        <v>583156434</v>
      </c>
      <c r="C1111" t="s">
        <v>420</v>
      </c>
      <c r="D1111" t="s">
        <v>421</v>
      </c>
      <c r="E1111">
        <v>45264581</v>
      </c>
      <c r="G1111" s="1">
        <v>45401.845972222225</v>
      </c>
      <c r="H1111" s="1">
        <v>45402.187638888892</v>
      </c>
      <c r="I1111" t="s">
        <v>56</v>
      </c>
      <c r="J1111" t="s">
        <v>86</v>
      </c>
      <c r="K1111" t="s">
        <v>47</v>
      </c>
      <c r="L1111" t="s">
        <v>21</v>
      </c>
      <c r="M1111">
        <v>35</v>
      </c>
      <c r="N1111">
        <v>492</v>
      </c>
      <c r="O1111">
        <v>0</v>
      </c>
      <c r="P1111" t="s">
        <v>87</v>
      </c>
      <c r="Q1111">
        <v>512</v>
      </c>
      <c r="R1111" t="s">
        <v>39</v>
      </c>
      <c r="S1111">
        <f>IF(support_tickets[[#This Row],[status_cleaned]]="closed",1,0)</f>
        <v>1</v>
      </c>
      <c r="T1111" t="str">
        <f>TEXT(support_tickets[[#This Row],[opened_at]],"mmm yyyy")</f>
        <v>Apr 2024</v>
      </c>
      <c r="U1111">
        <f>YEAR(support_tickets[[#This Row],[opened_at]])*100+MONTH(support_tickets[[#This Row],[opened_at]])</f>
        <v>202404</v>
      </c>
      <c r="V1111" s="29">
        <f>DATE(YEAR(support_tickets[[#This Row],[opened_at]]),MONTH(support_tickets[[#This Row],[opened_at]]),1)</f>
        <v>45383</v>
      </c>
    </row>
    <row r="1112" spans="1:22">
      <c r="A1112">
        <v>3956573197</v>
      </c>
      <c r="B1112">
        <v>920184955</v>
      </c>
      <c r="C1112" t="s">
        <v>832</v>
      </c>
      <c r="D1112" t="s">
        <v>833</v>
      </c>
      <c r="E1112">
        <v>82383095</v>
      </c>
      <c r="F1112">
        <v>4498894110</v>
      </c>
      <c r="G1112" s="1">
        <v>45513.289629629631</v>
      </c>
      <c r="H1112" s="1">
        <v>45513.689629629633</v>
      </c>
      <c r="I1112" t="s">
        <v>56</v>
      </c>
      <c r="J1112" t="s">
        <v>19</v>
      </c>
      <c r="K1112" t="s">
        <v>47</v>
      </c>
      <c r="L1112" t="s">
        <v>21</v>
      </c>
      <c r="M1112">
        <v>22</v>
      </c>
      <c r="N1112">
        <v>576</v>
      </c>
      <c r="O1112">
        <v>0</v>
      </c>
      <c r="P1112" t="s">
        <v>22</v>
      </c>
      <c r="Q1112">
        <v>514</v>
      </c>
      <c r="R1112" t="s">
        <v>39</v>
      </c>
      <c r="S1112">
        <f>IF(support_tickets[[#This Row],[status_cleaned]]="closed",1,0)</f>
        <v>1</v>
      </c>
      <c r="T1112" t="str">
        <f>TEXT(support_tickets[[#This Row],[opened_at]],"mmm yyyy")</f>
        <v>Aug 2024</v>
      </c>
      <c r="U1112">
        <f>YEAR(support_tickets[[#This Row],[opened_at]])*100+MONTH(support_tickets[[#This Row],[opened_at]])</f>
        <v>202408</v>
      </c>
      <c r="V1112" s="29">
        <f>DATE(YEAR(support_tickets[[#This Row],[opened_at]]),MONTH(support_tickets[[#This Row],[opened_at]]),1)</f>
        <v>45505</v>
      </c>
    </row>
    <row r="1113" spans="1:22">
      <c r="A1113">
        <v>3995201670</v>
      </c>
      <c r="B1113">
        <v>356022467</v>
      </c>
      <c r="C1113" t="s">
        <v>846</v>
      </c>
      <c r="D1113" t="s">
        <v>847</v>
      </c>
      <c r="E1113">
        <v>45575298</v>
      </c>
      <c r="F1113">
        <v>5727349037</v>
      </c>
      <c r="G1113" s="1">
        <v>45972.335810185185</v>
      </c>
      <c r="H1113" s="1">
        <v>45972.801782407405</v>
      </c>
      <c r="I1113" t="s">
        <v>43</v>
      </c>
      <c r="J1113" t="s">
        <v>38</v>
      </c>
      <c r="K1113" t="s">
        <v>47</v>
      </c>
      <c r="L1113" t="s">
        <v>21</v>
      </c>
      <c r="M1113">
        <v>31</v>
      </c>
      <c r="N1113">
        <v>671</v>
      </c>
      <c r="O1113">
        <v>0</v>
      </c>
      <c r="P1113" t="s">
        <v>40</v>
      </c>
      <c r="Q1113">
        <v>521</v>
      </c>
      <c r="R1113" t="s">
        <v>39</v>
      </c>
      <c r="S1113">
        <f>IF(support_tickets[[#This Row],[status_cleaned]]="closed",1,0)</f>
        <v>1</v>
      </c>
      <c r="T1113" t="str">
        <f>TEXT(support_tickets[[#This Row],[opened_at]],"mmm yyyy")</f>
        <v>Nov 2025</v>
      </c>
      <c r="U1113">
        <f>YEAR(support_tickets[[#This Row],[opened_at]])*100+MONTH(support_tickets[[#This Row],[opened_at]])</f>
        <v>202511</v>
      </c>
      <c r="V1113" s="29">
        <f>DATE(YEAR(support_tickets[[#This Row],[opened_at]]),MONTH(support_tickets[[#This Row],[opened_at]]),1)</f>
        <v>45962</v>
      </c>
    </row>
    <row r="1114" spans="1:22">
      <c r="A1114">
        <v>4024824113</v>
      </c>
      <c r="B1114">
        <v>172191273</v>
      </c>
      <c r="C1114" t="s">
        <v>854</v>
      </c>
      <c r="D1114" t="s">
        <v>855</v>
      </c>
      <c r="E1114">
        <v>43744231</v>
      </c>
      <c r="G1114" s="1">
        <v>45764.475555555553</v>
      </c>
      <c r="H1114" s="1">
        <v>45764.881111111114</v>
      </c>
      <c r="I1114" t="s">
        <v>43</v>
      </c>
      <c r="J1114" t="s">
        <v>19</v>
      </c>
      <c r="K1114" t="s">
        <v>47</v>
      </c>
      <c r="L1114" t="s">
        <v>21</v>
      </c>
      <c r="M1114">
        <v>64</v>
      </c>
      <c r="N1114">
        <v>584</v>
      </c>
      <c r="O1114">
        <v>0</v>
      </c>
      <c r="P1114" t="s">
        <v>22</v>
      </c>
      <c r="Q1114">
        <v>526</v>
      </c>
      <c r="R1114" t="s">
        <v>39</v>
      </c>
      <c r="S1114">
        <f>IF(support_tickets[[#This Row],[status_cleaned]]="closed",1,0)</f>
        <v>1</v>
      </c>
      <c r="T1114" t="str">
        <f>TEXT(support_tickets[[#This Row],[opened_at]],"mmm yyyy")</f>
        <v>Apr 2025</v>
      </c>
      <c r="U1114">
        <f>YEAR(support_tickets[[#This Row],[opened_at]])*100+MONTH(support_tickets[[#This Row],[opened_at]])</f>
        <v>202504</v>
      </c>
      <c r="V1114" s="29">
        <f>DATE(YEAR(support_tickets[[#This Row],[opened_at]]),MONTH(support_tickets[[#This Row],[opened_at]]),1)</f>
        <v>45748</v>
      </c>
    </row>
    <row r="1115" spans="1:22">
      <c r="A1115">
        <v>4036163346</v>
      </c>
      <c r="B1115">
        <v>997866344</v>
      </c>
      <c r="C1115" t="s">
        <v>858</v>
      </c>
      <c r="D1115" t="s">
        <v>859</v>
      </c>
      <c r="E1115">
        <v>50056581</v>
      </c>
      <c r="G1115" s="1">
        <v>45635.742245370369</v>
      </c>
      <c r="H1115" s="1">
        <v>45635.904050925928</v>
      </c>
      <c r="I1115" t="s">
        <v>46</v>
      </c>
      <c r="J1115" t="s">
        <v>30</v>
      </c>
      <c r="K1115" t="s">
        <v>47</v>
      </c>
      <c r="L1115" t="s">
        <v>21</v>
      </c>
      <c r="M1115">
        <v>44</v>
      </c>
      <c r="N1115">
        <v>233</v>
      </c>
      <c r="O1115">
        <v>0</v>
      </c>
      <c r="P1115" t="s">
        <v>31</v>
      </c>
      <c r="Q1115">
        <v>530</v>
      </c>
      <c r="R1115" t="s">
        <v>39</v>
      </c>
      <c r="S1115">
        <f>IF(support_tickets[[#This Row],[status_cleaned]]="closed",1,0)</f>
        <v>1</v>
      </c>
      <c r="T1115" t="str">
        <f>TEXT(support_tickets[[#This Row],[opened_at]],"mmm yyyy")</f>
        <v>Dec 2024</v>
      </c>
      <c r="U1115">
        <f>YEAR(support_tickets[[#This Row],[opened_at]])*100+MONTH(support_tickets[[#This Row],[opened_at]])</f>
        <v>202412</v>
      </c>
      <c r="V1115" s="29">
        <f>DATE(YEAR(support_tickets[[#This Row],[opened_at]]),MONTH(support_tickets[[#This Row],[opened_at]]),1)</f>
        <v>45627</v>
      </c>
    </row>
    <row r="1116" spans="1:22">
      <c r="A1116">
        <v>4080259766</v>
      </c>
      <c r="B1116">
        <v>730104453</v>
      </c>
      <c r="C1116" t="s">
        <v>218</v>
      </c>
      <c r="D1116" t="s">
        <v>219</v>
      </c>
      <c r="E1116">
        <v>20709497</v>
      </c>
      <c r="F1116">
        <v>2462222211</v>
      </c>
      <c r="G1116" s="1">
        <v>45967.512986111113</v>
      </c>
      <c r="H1116" s="1">
        <v>45968.066458333335</v>
      </c>
      <c r="I1116" t="s">
        <v>56</v>
      </c>
      <c r="J1116" t="s">
        <v>30</v>
      </c>
      <c r="K1116" t="s">
        <v>47</v>
      </c>
      <c r="L1116" t="s">
        <v>21</v>
      </c>
      <c r="M1116">
        <v>12</v>
      </c>
      <c r="N1116">
        <v>797</v>
      </c>
      <c r="O1116">
        <v>0</v>
      </c>
      <c r="P1116" t="s">
        <v>31</v>
      </c>
      <c r="Q1116">
        <v>533</v>
      </c>
      <c r="R1116" t="s">
        <v>39</v>
      </c>
      <c r="S1116">
        <f>IF(support_tickets[[#This Row],[status_cleaned]]="closed",1,0)</f>
        <v>1</v>
      </c>
      <c r="T1116" t="str">
        <f>TEXT(support_tickets[[#This Row],[opened_at]],"mmm yyyy")</f>
        <v>Nov 2025</v>
      </c>
      <c r="U1116">
        <f>YEAR(support_tickets[[#This Row],[opened_at]])*100+MONTH(support_tickets[[#This Row],[opened_at]])</f>
        <v>202511</v>
      </c>
      <c r="V1116" s="29">
        <f>DATE(YEAR(support_tickets[[#This Row],[opened_at]]),MONTH(support_tickets[[#This Row],[opened_at]]),1)</f>
        <v>45962</v>
      </c>
    </row>
    <row r="1117" spans="1:22">
      <c r="A1117">
        <v>4118659296</v>
      </c>
      <c r="B1117">
        <v>774585778</v>
      </c>
      <c r="C1117" t="s">
        <v>372</v>
      </c>
      <c r="D1117" t="s">
        <v>373</v>
      </c>
      <c r="E1117">
        <v>17507864</v>
      </c>
      <c r="G1117" s="1">
        <v>45751.925798611112</v>
      </c>
      <c r="H1117" s="1">
        <v>45752.084131944444</v>
      </c>
      <c r="I1117" t="s">
        <v>3</v>
      </c>
      <c r="J1117" t="s">
        <v>19</v>
      </c>
      <c r="K1117" t="s">
        <v>47</v>
      </c>
      <c r="L1117" t="s">
        <v>21</v>
      </c>
      <c r="M1117">
        <v>22</v>
      </c>
      <c r="N1117">
        <v>228</v>
      </c>
      <c r="O1117">
        <v>0</v>
      </c>
      <c r="P1117" t="s">
        <v>22</v>
      </c>
      <c r="Q1117">
        <v>540</v>
      </c>
      <c r="R1117" t="s">
        <v>39</v>
      </c>
      <c r="S1117">
        <f>IF(support_tickets[[#This Row],[status_cleaned]]="closed",1,0)</f>
        <v>1</v>
      </c>
      <c r="T1117" t="str">
        <f>TEXT(support_tickets[[#This Row],[opened_at]],"mmm yyyy")</f>
        <v>Apr 2025</v>
      </c>
      <c r="U1117">
        <f>YEAR(support_tickets[[#This Row],[opened_at]])*100+MONTH(support_tickets[[#This Row],[opened_at]])</f>
        <v>202504</v>
      </c>
      <c r="V1117" s="29">
        <f>DATE(YEAR(support_tickets[[#This Row],[opened_at]]),MONTH(support_tickets[[#This Row],[opened_at]]),1)</f>
        <v>45748</v>
      </c>
    </row>
    <row r="1118" spans="1:22">
      <c r="A1118">
        <v>4186424477</v>
      </c>
      <c r="B1118">
        <v>919390458</v>
      </c>
      <c r="C1118" t="s">
        <v>876</v>
      </c>
      <c r="D1118" t="s">
        <v>877</v>
      </c>
      <c r="E1118">
        <v>45264581</v>
      </c>
      <c r="F1118">
        <v>1457261738</v>
      </c>
      <c r="G1118" s="1">
        <v>45651.686701388891</v>
      </c>
      <c r="H1118" s="1">
        <v>45651.811701388891</v>
      </c>
      <c r="I1118" t="s">
        <v>37</v>
      </c>
      <c r="J1118" t="s">
        <v>19</v>
      </c>
      <c r="K1118" t="s">
        <v>47</v>
      </c>
      <c r="L1118" t="s">
        <v>21</v>
      </c>
      <c r="M1118">
        <v>34</v>
      </c>
      <c r="N1118">
        <v>180</v>
      </c>
      <c r="O1118">
        <v>0</v>
      </c>
      <c r="P1118" t="s">
        <v>22</v>
      </c>
      <c r="Q1118">
        <v>547</v>
      </c>
      <c r="R1118" t="s">
        <v>39</v>
      </c>
      <c r="S1118">
        <f>IF(support_tickets[[#This Row],[status_cleaned]]="closed",1,0)</f>
        <v>1</v>
      </c>
      <c r="T1118" t="str">
        <f>TEXT(support_tickets[[#This Row],[opened_at]],"mmm yyyy")</f>
        <v>Dec 2024</v>
      </c>
      <c r="U1118">
        <f>YEAR(support_tickets[[#This Row],[opened_at]])*100+MONTH(support_tickets[[#This Row],[opened_at]])</f>
        <v>202412</v>
      </c>
      <c r="V1118" s="29">
        <f>DATE(YEAR(support_tickets[[#This Row],[opened_at]]),MONTH(support_tickets[[#This Row],[opened_at]]),1)</f>
        <v>45627</v>
      </c>
    </row>
    <row r="1119" spans="1:22">
      <c r="A1119">
        <v>4224910465</v>
      </c>
      <c r="B1119">
        <v>579691987</v>
      </c>
      <c r="C1119" t="s">
        <v>884</v>
      </c>
      <c r="D1119" t="s">
        <v>885</v>
      </c>
      <c r="E1119">
        <v>42857966</v>
      </c>
      <c r="G1119" s="1">
        <v>45564.851851851854</v>
      </c>
      <c r="H1119" s="1">
        <v>45564.956712962965</v>
      </c>
      <c r="I1119" t="s">
        <v>52</v>
      </c>
      <c r="J1119" t="s">
        <v>38</v>
      </c>
      <c r="K1119" t="s">
        <v>47</v>
      </c>
      <c r="L1119" t="s">
        <v>21</v>
      </c>
      <c r="M1119">
        <v>31</v>
      </c>
      <c r="N1119">
        <v>151</v>
      </c>
      <c r="O1119">
        <v>0</v>
      </c>
      <c r="P1119" t="s">
        <v>40</v>
      </c>
      <c r="Q1119">
        <v>556</v>
      </c>
      <c r="R1119" t="s">
        <v>39</v>
      </c>
      <c r="S1119">
        <f>IF(support_tickets[[#This Row],[status_cleaned]]="closed",1,0)</f>
        <v>1</v>
      </c>
      <c r="T1119" t="str">
        <f>TEXT(support_tickets[[#This Row],[opened_at]],"mmm yyyy")</f>
        <v>Sep 2024</v>
      </c>
      <c r="U1119">
        <f>YEAR(support_tickets[[#This Row],[opened_at]])*100+MONTH(support_tickets[[#This Row],[opened_at]])</f>
        <v>202409</v>
      </c>
      <c r="V1119" s="29">
        <f>DATE(YEAR(support_tickets[[#This Row],[opened_at]]),MONTH(support_tickets[[#This Row],[opened_at]]),1)</f>
        <v>45536</v>
      </c>
    </row>
    <row r="1120" spans="1:22">
      <c r="A1120">
        <v>4270947149</v>
      </c>
      <c r="B1120">
        <v>785811060</v>
      </c>
      <c r="C1120" t="s">
        <v>894</v>
      </c>
      <c r="D1120" t="s">
        <v>895</v>
      </c>
      <c r="E1120">
        <v>39345092</v>
      </c>
      <c r="G1120" s="1">
        <v>45362.249062499999</v>
      </c>
      <c r="H1120" s="1">
        <v>45362.544895833336</v>
      </c>
      <c r="I1120" t="s">
        <v>43</v>
      </c>
      <c r="J1120" t="s">
        <v>19</v>
      </c>
      <c r="K1120" t="s">
        <v>47</v>
      </c>
      <c r="L1120" t="s">
        <v>21</v>
      </c>
      <c r="M1120">
        <v>37</v>
      </c>
      <c r="N1120">
        <v>426</v>
      </c>
      <c r="O1120">
        <v>0</v>
      </c>
      <c r="P1120" t="s">
        <v>22</v>
      </c>
      <c r="Q1120">
        <v>564</v>
      </c>
      <c r="R1120" t="s">
        <v>39</v>
      </c>
      <c r="S1120">
        <f>IF(support_tickets[[#This Row],[status_cleaned]]="closed",1,0)</f>
        <v>1</v>
      </c>
      <c r="T1120" t="str">
        <f>TEXT(support_tickets[[#This Row],[opened_at]],"mmm yyyy")</f>
        <v>Mar 2024</v>
      </c>
      <c r="U1120">
        <f>YEAR(support_tickets[[#This Row],[opened_at]])*100+MONTH(support_tickets[[#This Row],[opened_at]])</f>
        <v>202403</v>
      </c>
      <c r="V1120" s="29">
        <f>DATE(YEAR(support_tickets[[#This Row],[opened_at]]),MONTH(support_tickets[[#This Row],[opened_at]]),1)</f>
        <v>45352</v>
      </c>
    </row>
    <row r="1121" spans="1:22">
      <c r="A1121">
        <v>4291888618</v>
      </c>
      <c r="B1121">
        <v>612656440</v>
      </c>
      <c r="C1121" t="s">
        <v>514</v>
      </c>
      <c r="D1121" t="s">
        <v>515</v>
      </c>
      <c r="E1121">
        <v>58537831</v>
      </c>
      <c r="G1121" s="1">
        <v>45800.958472222221</v>
      </c>
      <c r="H1121" s="1">
        <v>45801.046666666669</v>
      </c>
      <c r="I1121" t="s">
        <v>56</v>
      </c>
      <c r="J1121" t="s">
        <v>59</v>
      </c>
      <c r="K1121" t="s">
        <v>47</v>
      </c>
      <c r="L1121" t="s">
        <v>21</v>
      </c>
      <c r="M1121">
        <v>33</v>
      </c>
      <c r="N1121">
        <v>127</v>
      </c>
      <c r="O1121">
        <v>0</v>
      </c>
      <c r="P1121" t="s">
        <v>61</v>
      </c>
      <c r="Q1121">
        <v>568</v>
      </c>
      <c r="R1121" t="s">
        <v>39</v>
      </c>
      <c r="S1121">
        <f>IF(support_tickets[[#This Row],[status_cleaned]]="closed",1,0)</f>
        <v>1</v>
      </c>
      <c r="T1121" t="str">
        <f>TEXT(support_tickets[[#This Row],[opened_at]],"mmm yyyy")</f>
        <v>May 2025</v>
      </c>
      <c r="U1121">
        <f>YEAR(support_tickets[[#This Row],[opened_at]])*100+MONTH(support_tickets[[#This Row],[opened_at]])</f>
        <v>202505</v>
      </c>
      <c r="V1121" s="29">
        <f>DATE(YEAR(support_tickets[[#This Row],[opened_at]]),MONTH(support_tickets[[#This Row],[opened_at]]),1)</f>
        <v>45778</v>
      </c>
    </row>
    <row r="1122" spans="1:22">
      <c r="A1122">
        <v>4333330668</v>
      </c>
      <c r="B1122">
        <v>735449477</v>
      </c>
      <c r="C1122" t="s">
        <v>902</v>
      </c>
      <c r="D1122" t="s">
        <v>903</v>
      </c>
      <c r="E1122">
        <v>30868105</v>
      </c>
      <c r="G1122" s="1">
        <v>45805.908310185187</v>
      </c>
      <c r="H1122" s="1">
        <v>45806.137476851851</v>
      </c>
      <c r="I1122" t="s">
        <v>18</v>
      </c>
      <c r="J1122" t="s">
        <v>38</v>
      </c>
      <c r="K1122" t="s">
        <v>47</v>
      </c>
      <c r="L1122" t="s">
        <v>21</v>
      </c>
      <c r="M1122">
        <v>19</v>
      </c>
      <c r="N1122">
        <v>330</v>
      </c>
      <c r="O1122">
        <v>0</v>
      </c>
      <c r="P1122" t="s">
        <v>40</v>
      </c>
      <c r="Q1122">
        <v>577</v>
      </c>
      <c r="R1122" t="s">
        <v>39</v>
      </c>
      <c r="S1122">
        <f>IF(support_tickets[[#This Row],[status_cleaned]]="closed",1,0)</f>
        <v>1</v>
      </c>
      <c r="T1122" t="str">
        <f>TEXT(support_tickets[[#This Row],[opened_at]],"mmm yyyy")</f>
        <v>May 2025</v>
      </c>
      <c r="U1122">
        <f>YEAR(support_tickets[[#This Row],[opened_at]])*100+MONTH(support_tickets[[#This Row],[opened_at]])</f>
        <v>202505</v>
      </c>
      <c r="V1122" s="29">
        <f>DATE(YEAR(support_tickets[[#This Row],[opened_at]]),MONTH(support_tickets[[#This Row],[opened_at]]),1)</f>
        <v>45778</v>
      </c>
    </row>
    <row r="1123" spans="1:22">
      <c r="A1123">
        <v>4405560846</v>
      </c>
      <c r="B1123">
        <v>785826598</v>
      </c>
      <c r="C1123" t="s">
        <v>682</v>
      </c>
      <c r="D1123" t="s">
        <v>683</v>
      </c>
      <c r="E1123">
        <v>90801586</v>
      </c>
      <c r="G1123" s="1">
        <v>46104.086550925924</v>
      </c>
      <c r="H1123" s="1">
        <v>46104.153912037036</v>
      </c>
      <c r="I1123" t="s">
        <v>43</v>
      </c>
      <c r="J1123" t="s">
        <v>86</v>
      </c>
      <c r="K1123" t="s">
        <v>47</v>
      </c>
      <c r="L1123" t="s">
        <v>21</v>
      </c>
      <c r="M1123">
        <v>92</v>
      </c>
      <c r="N1123">
        <v>97</v>
      </c>
      <c r="O1123">
        <v>0</v>
      </c>
      <c r="P1123" t="s">
        <v>87</v>
      </c>
      <c r="Q1123">
        <v>593</v>
      </c>
      <c r="R1123" t="s">
        <v>39</v>
      </c>
      <c r="S1123">
        <f>IF(support_tickets[[#This Row],[status_cleaned]]="closed",1,0)</f>
        <v>1</v>
      </c>
      <c r="T1123" t="str">
        <f>TEXT(support_tickets[[#This Row],[opened_at]],"mmm yyyy")</f>
        <v>Mar 2026</v>
      </c>
      <c r="U1123">
        <f>YEAR(support_tickets[[#This Row],[opened_at]])*100+MONTH(support_tickets[[#This Row],[opened_at]])</f>
        <v>202603</v>
      </c>
      <c r="V1123" s="29">
        <f>DATE(YEAR(support_tickets[[#This Row],[opened_at]]),MONTH(support_tickets[[#This Row],[opened_at]]),1)</f>
        <v>46082</v>
      </c>
    </row>
    <row r="1124" spans="1:22">
      <c r="A1124">
        <v>4411264586</v>
      </c>
      <c r="B1124">
        <v>699240979</v>
      </c>
      <c r="C1124" t="s">
        <v>380</v>
      </c>
      <c r="D1124" t="s">
        <v>381</v>
      </c>
      <c r="E1124">
        <v>18883684</v>
      </c>
      <c r="G1124" s="1">
        <v>45501.329629629632</v>
      </c>
      <c r="H1124" s="1">
        <v>45501.795601851853</v>
      </c>
      <c r="I1124" t="s">
        <v>43</v>
      </c>
      <c r="J1124" t="s">
        <v>25</v>
      </c>
      <c r="K1124" t="s">
        <v>47</v>
      </c>
      <c r="L1124" t="s">
        <v>21</v>
      </c>
      <c r="M1124">
        <v>51</v>
      </c>
      <c r="N1124">
        <v>671</v>
      </c>
      <c r="O1124">
        <v>0</v>
      </c>
      <c r="P1124" t="s">
        <v>27</v>
      </c>
      <c r="Q1124">
        <v>594</v>
      </c>
      <c r="R1124" t="s">
        <v>39</v>
      </c>
      <c r="S1124">
        <f>IF(support_tickets[[#This Row],[status_cleaned]]="closed",1,0)</f>
        <v>1</v>
      </c>
      <c r="T1124" t="str">
        <f>TEXT(support_tickets[[#This Row],[opened_at]],"mmm yyyy")</f>
        <v>Jul 2024</v>
      </c>
      <c r="U1124">
        <f>YEAR(support_tickets[[#This Row],[opened_at]])*100+MONTH(support_tickets[[#This Row],[opened_at]])</f>
        <v>202407</v>
      </c>
      <c r="V1124" s="29">
        <f>DATE(YEAR(support_tickets[[#This Row],[opened_at]]),MONTH(support_tickets[[#This Row],[opened_at]]),1)</f>
        <v>45474</v>
      </c>
    </row>
    <row r="1125" spans="1:22">
      <c r="A1125">
        <v>4411938731</v>
      </c>
      <c r="B1125">
        <v>493342201</v>
      </c>
      <c r="C1125" t="s">
        <v>926</v>
      </c>
      <c r="D1125" t="s">
        <v>927</v>
      </c>
      <c r="E1125">
        <v>63100814</v>
      </c>
      <c r="F1125">
        <v>2653821070</v>
      </c>
      <c r="G1125" s="1">
        <v>45765.258842592593</v>
      </c>
      <c r="H1125" s="1">
        <v>45765.587314814817</v>
      </c>
      <c r="I1125" t="s">
        <v>3</v>
      </c>
      <c r="J1125" t="s">
        <v>19</v>
      </c>
      <c r="K1125" t="s">
        <v>47</v>
      </c>
      <c r="L1125" t="s">
        <v>21</v>
      </c>
      <c r="M1125">
        <v>48</v>
      </c>
      <c r="N1125">
        <v>473</v>
      </c>
      <c r="O1125">
        <v>0</v>
      </c>
      <c r="P1125" t="s">
        <v>22</v>
      </c>
      <c r="Q1125">
        <v>595</v>
      </c>
      <c r="R1125" t="s">
        <v>39</v>
      </c>
      <c r="S1125">
        <f>IF(support_tickets[[#This Row],[status_cleaned]]="closed",1,0)</f>
        <v>1</v>
      </c>
      <c r="T1125" t="str">
        <f>TEXT(support_tickets[[#This Row],[opened_at]],"mmm yyyy")</f>
        <v>Apr 2025</v>
      </c>
      <c r="U1125">
        <f>YEAR(support_tickets[[#This Row],[opened_at]])*100+MONTH(support_tickets[[#This Row],[opened_at]])</f>
        <v>202504</v>
      </c>
      <c r="V1125" s="29">
        <f>DATE(YEAR(support_tickets[[#This Row],[opened_at]]),MONTH(support_tickets[[#This Row],[opened_at]]),1)</f>
        <v>45748</v>
      </c>
    </row>
    <row r="1126" spans="1:22">
      <c r="A1126">
        <v>4479410205</v>
      </c>
      <c r="B1126">
        <v>335287540</v>
      </c>
      <c r="C1126" t="s">
        <v>940</v>
      </c>
      <c r="D1126" t="s">
        <v>941</v>
      </c>
      <c r="E1126">
        <v>91734598</v>
      </c>
      <c r="F1126">
        <v>9640565939</v>
      </c>
      <c r="G1126" s="1">
        <v>45543.616550925923</v>
      </c>
      <c r="H1126" s="1">
        <v>45544.030439814815</v>
      </c>
      <c r="I1126" t="s">
        <v>18</v>
      </c>
      <c r="J1126" t="s">
        <v>59</v>
      </c>
      <c r="K1126" t="s">
        <v>47</v>
      </c>
      <c r="L1126" t="s">
        <v>21</v>
      </c>
      <c r="M1126">
        <v>4</v>
      </c>
      <c r="N1126">
        <v>596</v>
      </c>
      <c r="O1126">
        <v>0</v>
      </c>
      <c r="P1126" t="s">
        <v>61</v>
      </c>
      <c r="Q1126">
        <v>606</v>
      </c>
      <c r="R1126" t="s">
        <v>39</v>
      </c>
      <c r="S1126">
        <f>IF(support_tickets[[#This Row],[status_cleaned]]="closed",1,0)</f>
        <v>1</v>
      </c>
      <c r="T1126" t="str">
        <f>TEXT(support_tickets[[#This Row],[opened_at]],"mmm yyyy")</f>
        <v>Sep 2024</v>
      </c>
      <c r="U1126">
        <f>YEAR(support_tickets[[#This Row],[opened_at]])*100+MONTH(support_tickets[[#This Row],[opened_at]])</f>
        <v>202409</v>
      </c>
      <c r="V1126" s="29">
        <f>DATE(YEAR(support_tickets[[#This Row],[opened_at]]),MONTH(support_tickets[[#This Row],[opened_at]]),1)</f>
        <v>45536</v>
      </c>
    </row>
    <row r="1127" spans="1:22">
      <c r="A1127">
        <v>4507092820</v>
      </c>
      <c r="B1127">
        <v>545492166</v>
      </c>
      <c r="C1127" t="s">
        <v>904</v>
      </c>
      <c r="D1127" t="s">
        <v>905</v>
      </c>
      <c r="E1127">
        <v>36697396</v>
      </c>
      <c r="F1127">
        <v>1456836428</v>
      </c>
      <c r="G1127" s="1">
        <v>45975.788506944446</v>
      </c>
      <c r="H1127" s="1">
        <v>45976.192673611113</v>
      </c>
      <c r="I1127" t="s">
        <v>46</v>
      </c>
      <c r="J1127" t="s">
        <v>30</v>
      </c>
      <c r="K1127" t="s">
        <v>47</v>
      </c>
      <c r="L1127" t="s">
        <v>21</v>
      </c>
      <c r="M1127">
        <v>2</v>
      </c>
      <c r="N1127">
        <v>582</v>
      </c>
      <c r="O1127">
        <v>0</v>
      </c>
      <c r="P1127" t="s">
        <v>31</v>
      </c>
      <c r="Q1127">
        <v>612</v>
      </c>
      <c r="R1127" t="s">
        <v>39</v>
      </c>
      <c r="S1127">
        <f>IF(support_tickets[[#This Row],[status_cleaned]]="closed",1,0)</f>
        <v>1</v>
      </c>
      <c r="T1127" t="str">
        <f>TEXT(support_tickets[[#This Row],[opened_at]],"mmm yyyy")</f>
        <v>Nov 2025</v>
      </c>
      <c r="U1127">
        <f>YEAR(support_tickets[[#This Row],[opened_at]])*100+MONTH(support_tickets[[#This Row],[opened_at]])</f>
        <v>202511</v>
      </c>
      <c r="V1127" s="29">
        <f>DATE(YEAR(support_tickets[[#This Row],[opened_at]]),MONTH(support_tickets[[#This Row],[opened_at]]),1)</f>
        <v>45962</v>
      </c>
    </row>
    <row r="1128" spans="1:22">
      <c r="A1128">
        <v>4522669381</v>
      </c>
      <c r="B1128">
        <v>770529419</v>
      </c>
      <c r="C1128" t="s">
        <v>624</v>
      </c>
      <c r="D1128" t="s">
        <v>625</v>
      </c>
      <c r="E1128">
        <v>78387461</v>
      </c>
      <c r="F1128">
        <v>3624656441</v>
      </c>
      <c r="G1128" s="1">
        <v>45914.216157407405</v>
      </c>
      <c r="H1128" s="1">
        <v>45914.67796296296</v>
      </c>
      <c r="I1128" t="s">
        <v>43</v>
      </c>
      <c r="J1128" t="s">
        <v>86</v>
      </c>
      <c r="K1128" t="s">
        <v>47</v>
      </c>
      <c r="L1128" t="s">
        <v>21</v>
      </c>
      <c r="M1128">
        <v>50</v>
      </c>
      <c r="N1128">
        <v>665</v>
      </c>
      <c r="O1128">
        <v>0</v>
      </c>
      <c r="P1128" t="s">
        <v>87</v>
      </c>
      <c r="Q1128">
        <v>615</v>
      </c>
      <c r="R1128" t="s">
        <v>39</v>
      </c>
      <c r="S1128">
        <f>IF(support_tickets[[#This Row],[status_cleaned]]="closed",1,0)</f>
        <v>1</v>
      </c>
      <c r="T1128" t="str">
        <f>TEXT(support_tickets[[#This Row],[opened_at]],"mmm yyyy")</f>
        <v>Sep 2025</v>
      </c>
      <c r="U1128">
        <f>YEAR(support_tickets[[#This Row],[opened_at]])*100+MONTH(support_tickets[[#This Row],[opened_at]])</f>
        <v>202509</v>
      </c>
      <c r="V1128" s="29">
        <f>DATE(YEAR(support_tickets[[#This Row],[opened_at]]),MONTH(support_tickets[[#This Row],[opened_at]]),1)</f>
        <v>45901</v>
      </c>
    </row>
    <row r="1129" spans="1:22">
      <c r="A1129">
        <v>4543573768</v>
      </c>
      <c r="B1129">
        <v>618558050</v>
      </c>
      <c r="C1129" t="s">
        <v>958</v>
      </c>
      <c r="D1129" t="s">
        <v>959</v>
      </c>
      <c r="E1129">
        <v>16323852</v>
      </c>
      <c r="G1129" s="1">
        <v>45302.370752314811</v>
      </c>
      <c r="H1129" s="1">
        <v>45302.630474537036</v>
      </c>
      <c r="I1129" t="s">
        <v>56</v>
      </c>
      <c r="J1129" t="s">
        <v>86</v>
      </c>
      <c r="K1129" t="s">
        <v>47</v>
      </c>
      <c r="L1129" t="s">
        <v>21</v>
      </c>
      <c r="M1129">
        <v>60</v>
      </c>
      <c r="N1129">
        <v>374</v>
      </c>
      <c r="O1129">
        <v>0</v>
      </c>
      <c r="P1129" t="s">
        <v>87</v>
      </c>
      <c r="Q1129">
        <v>620</v>
      </c>
      <c r="R1129" t="s">
        <v>39</v>
      </c>
      <c r="S1129">
        <f>IF(support_tickets[[#This Row],[status_cleaned]]="closed",1,0)</f>
        <v>1</v>
      </c>
      <c r="T1129" t="str">
        <f>TEXT(support_tickets[[#This Row],[opened_at]],"mmm yyyy")</f>
        <v>Jan 2024</v>
      </c>
      <c r="U1129">
        <f>YEAR(support_tickets[[#This Row],[opened_at]])*100+MONTH(support_tickets[[#This Row],[opened_at]])</f>
        <v>202401</v>
      </c>
      <c r="V1129" s="29">
        <f>DATE(YEAR(support_tickets[[#This Row],[opened_at]]),MONTH(support_tickets[[#This Row],[opened_at]]),1)</f>
        <v>45292</v>
      </c>
    </row>
    <row r="1130" spans="1:22">
      <c r="A1130">
        <v>4559777402</v>
      </c>
      <c r="B1130">
        <v>964027324</v>
      </c>
      <c r="C1130" t="s">
        <v>962</v>
      </c>
      <c r="D1130" t="s">
        <v>963</v>
      </c>
      <c r="E1130">
        <v>84252722</v>
      </c>
      <c r="F1130">
        <v>1478384314</v>
      </c>
      <c r="G1130" s="1">
        <v>45636.657731481479</v>
      </c>
      <c r="H1130" s="1">
        <v>45637.100787037038</v>
      </c>
      <c r="I1130" t="s">
        <v>18</v>
      </c>
      <c r="J1130" t="s">
        <v>38</v>
      </c>
      <c r="K1130" t="s">
        <v>47</v>
      </c>
      <c r="L1130" t="s">
        <v>21</v>
      </c>
      <c r="M1130">
        <v>9</v>
      </c>
      <c r="N1130">
        <v>638</v>
      </c>
      <c r="O1130">
        <v>0</v>
      </c>
      <c r="P1130" t="s">
        <v>40</v>
      </c>
      <c r="Q1130">
        <v>622</v>
      </c>
      <c r="R1130" t="s">
        <v>39</v>
      </c>
      <c r="S1130">
        <f>IF(support_tickets[[#This Row],[status_cleaned]]="closed",1,0)</f>
        <v>1</v>
      </c>
      <c r="T1130" t="str">
        <f>TEXT(support_tickets[[#This Row],[opened_at]],"mmm yyyy")</f>
        <v>Dec 2024</v>
      </c>
      <c r="U1130">
        <f>YEAR(support_tickets[[#This Row],[opened_at]])*100+MONTH(support_tickets[[#This Row],[opened_at]])</f>
        <v>202412</v>
      </c>
      <c r="V1130" s="29">
        <f>DATE(YEAR(support_tickets[[#This Row],[opened_at]]),MONTH(support_tickets[[#This Row],[opened_at]]),1)</f>
        <v>45627</v>
      </c>
    </row>
    <row r="1131" spans="1:22">
      <c r="A1131">
        <v>4566698486</v>
      </c>
      <c r="B1131">
        <v>756102581</v>
      </c>
      <c r="C1131" t="s">
        <v>688</v>
      </c>
      <c r="D1131" t="s">
        <v>689</v>
      </c>
      <c r="E1131">
        <v>86149359</v>
      </c>
      <c r="G1131" s="1">
        <v>45426.49</v>
      </c>
      <c r="H1131" s="1">
        <v>45426.679583333331</v>
      </c>
      <c r="I1131" t="s">
        <v>43</v>
      </c>
      <c r="J1131" t="s">
        <v>30</v>
      </c>
      <c r="K1131" t="s">
        <v>47</v>
      </c>
      <c r="L1131" t="s">
        <v>21</v>
      </c>
      <c r="M1131">
        <v>48</v>
      </c>
      <c r="N1131">
        <v>273</v>
      </c>
      <c r="O1131">
        <v>0</v>
      </c>
      <c r="P1131" t="s">
        <v>31</v>
      </c>
      <c r="Q1131">
        <v>625</v>
      </c>
      <c r="R1131" t="s">
        <v>39</v>
      </c>
      <c r="S1131">
        <f>IF(support_tickets[[#This Row],[status_cleaned]]="closed",1,0)</f>
        <v>1</v>
      </c>
      <c r="T1131" t="str">
        <f>TEXT(support_tickets[[#This Row],[opened_at]],"mmm yyyy")</f>
        <v>May 2024</v>
      </c>
      <c r="U1131">
        <f>YEAR(support_tickets[[#This Row],[opened_at]])*100+MONTH(support_tickets[[#This Row],[opened_at]])</f>
        <v>202405</v>
      </c>
      <c r="V1131" s="29">
        <f>DATE(YEAR(support_tickets[[#This Row],[opened_at]]),MONTH(support_tickets[[#This Row],[opened_at]]),1)</f>
        <v>45413</v>
      </c>
    </row>
    <row r="1132" spans="1:22">
      <c r="A1132">
        <v>4673315100</v>
      </c>
      <c r="B1132">
        <v>457599735</v>
      </c>
      <c r="C1132" t="s">
        <v>982</v>
      </c>
      <c r="D1132" t="s">
        <v>983</v>
      </c>
      <c r="E1132">
        <v>26879290</v>
      </c>
      <c r="G1132" s="1">
        <v>45923.47861111111</v>
      </c>
      <c r="H1132" s="1">
        <v>45924.226527777777</v>
      </c>
      <c r="I1132" t="s">
        <v>18</v>
      </c>
      <c r="J1132" t="s">
        <v>86</v>
      </c>
      <c r="K1132" t="s">
        <v>47</v>
      </c>
      <c r="L1132" t="s">
        <v>21</v>
      </c>
      <c r="M1132">
        <v>56</v>
      </c>
      <c r="N1132">
        <v>1077</v>
      </c>
      <c r="O1132">
        <v>0</v>
      </c>
      <c r="P1132" t="s">
        <v>87</v>
      </c>
      <c r="Q1132">
        <v>642</v>
      </c>
      <c r="R1132" t="s">
        <v>39</v>
      </c>
      <c r="S1132">
        <f>IF(support_tickets[[#This Row],[status_cleaned]]="closed",1,0)</f>
        <v>1</v>
      </c>
      <c r="T1132" t="str">
        <f>TEXT(support_tickets[[#This Row],[opened_at]],"mmm yyyy")</f>
        <v>Sep 2025</v>
      </c>
      <c r="U1132">
        <f>YEAR(support_tickets[[#This Row],[opened_at]])*100+MONTH(support_tickets[[#This Row],[opened_at]])</f>
        <v>202509</v>
      </c>
      <c r="V1132" s="29">
        <f>DATE(YEAR(support_tickets[[#This Row],[opened_at]]),MONTH(support_tickets[[#This Row],[opened_at]]),1)</f>
        <v>45901</v>
      </c>
    </row>
    <row r="1133" spans="1:22">
      <c r="A1133">
        <v>4737946098</v>
      </c>
      <c r="B1133">
        <v>314179101</v>
      </c>
      <c r="C1133" t="s">
        <v>998</v>
      </c>
      <c r="D1133" t="s">
        <v>999</v>
      </c>
      <c r="E1133">
        <v>82394227</v>
      </c>
      <c r="F1133">
        <v>9057068336</v>
      </c>
      <c r="G1133" s="1">
        <v>45353.858414351853</v>
      </c>
      <c r="H1133" s="1">
        <v>45353.895914351851</v>
      </c>
      <c r="I1133" t="s">
        <v>3</v>
      </c>
      <c r="J1133" t="s">
        <v>86</v>
      </c>
      <c r="K1133" t="s">
        <v>47</v>
      </c>
      <c r="L1133" t="s">
        <v>21</v>
      </c>
      <c r="M1133">
        <v>49</v>
      </c>
      <c r="N1133">
        <v>54</v>
      </c>
      <c r="O1133">
        <v>0</v>
      </c>
      <c r="P1133" t="s">
        <v>87</v>
      </c>
      <c r="Q1133">
        <v>655</v>
      </c>
      <c r="R1133" t="s">
        <v>39</v>
      </c>
      <c r="S1133">
        <f>IF(support_tickets[[#This Row],[status_cleaned]]="closed",1,0)</f>
        <v>1</v>
      </c>
      <c r="T1133" t="str">
        <f>TEXT(support_tickets[[#This Row],[opened_at]],"mmm yyyy")</f>
        <v>Mar 2024</v>
      </c>
      <c r="U1133">
        <f>YEAR(support_tickets[[#This Row],[opened_at]])*100+MONTH(support_tickets[[#This Row],[opened_at]])</f>
        <v>202403</v>
      </c>
      <c r="V1133" s="29">
        <f>DATE(YEAR(support_tickets[[#This Row],[opened_at]]),MONTH(support_tickets[[#This Row],[opened_at]]),1)</f>
        <v>45352</v>
      </c>
    </row>
    <row r="1134" spans="1:22">
      <c r="A1134">
        <v>4761696781</v>
      </c>
      <c r="B1134">
        <v>416779880</v>
      </c>
      <c r="C1134" t="s">
        <v>710</v>
      </c>
      <c r="D1134" t="s">
        <v>711</v>
      </c>
      <c r="E1134">
        <v>60992979</v>
      </c>
      <c r="G1134" s="1">
        <v>45409.569976851853</v>
      </c>
      <c r="H1134" s="1">
        <v>45409.829004629632</v>
      </c>
      <c r="I1134" t="s">
        <v>18</v>
      </c>
      <c r="J1134" t="s">
        <v>86</v>
      </c>
      <c r="K1134" t="s">
        <v>47</v>
      </c>
      <c r="L1134" t="s">
        <v>21</v>
      </c>
      <c r="M1134">
        <v>16</v>
      </c>
      <c r="N1134">
        <v>373</v>
      </c>
      <c r="O1134">
        <v>0</v>
      </c>
      <c r="P1134" t="s">
        <v>87</v>
      </c>
      <c r="Q1134">
        <v>659</v>
      </c>
      <c r="R1134" t="s">
        <v>39</v>
      </c>
      <c r="S1134">
        <f>IF(support_tickets[[#This Row],[status_cleaned]]="closed",1,0)</f>
        <v>1</v>
      </c>
      <c r="T1134" t="str">
        <f>TEXT(support_tickets[[#This Row],[opened_at]],"mmm yyyy")</f>
        <v>Apr 2024</v>
      </c>
      <c r="U1134">
        <f>YEAR(support_tickets[[#This Row],[opened_at]])*100+MONTH(support_tickets[[#This Row],[opened_at]])</f>
        <v>202404</v>
      </c>
      <c r="V1134" s="29">
        <f>DATE(YEAR(support_tickets[[#This Row],[opened_at]]),MONTH(support_tickets[[#This Row],[opened_at]]),1)</f>
        <v>45383</v>
      </c>
    </row>
    <row r="1135" spans="1:22">
      <c r="A1135">
        <v>4799325926</v>
      </c>
      <c r="B1135">
        <v>148578655</v>
      </c>
      <c r="C1135" t="s">
        <v>628</v>
      </c>
      <c r="D1135" t="s">
        <v>629</v>
      </c>
      <c r="E1135">
        <v>45833156</v>
      </c>
      <c r="G1135" s="1">
        <v>45550.856863425928</v>
      </c>
      <c r="H1135" s="1">
        <v>45551.516585648147</v>
      </c>
      <c r="I1135" t="s">
        <v>37</v>
      </c>
      <c r="J1135" t="s">
        <v>25</v>
      </c>
      <c r="K1135" t="s">
        <v>47</v>
      </c>
      <c r="L1135" t="s">
        <v>21</v>
      </c>
      <c r="M1135">
        <v>7</v>
      </c>
      <c r="N1135">
        <v>950</v>
      </c>
      <c r="O1135">
        <v>0</v>
      </c>
      <c r="P1135" t="s">
        <v>27</v>
      </c>
      <c r="Q1135">
        <v>668</v>
      </c>
      <c r="R1135" t="s">
        <v>39</v>
      </c>
      <c r="S1135">
        <f>IF(support_tickets[[#This Row],[status_cleaned]]="closed",1,0)</f>
        <v>1</v>
      </c>
      <c r="T1135" t="str">
        <f>TEXT(support_tickets[[#This Row],[opened_at]],"mmm yyyy")</f>
        <v>Sep 2024</v>
      </c>
      <c r="U1135">
        <f>YEAR(support_tickets[[#This Row],[opened_at]])*100+MONTH(support_tickets[[#This Row],[opened_at]])</f>
        <v>202409</v>
      </c>
      <c r="V1135" s="29">
        <f>DATE(YEAR(support_tickets[[#This Row],[opened_at]]),MONTH(support_tickets[[#This Row],[opened_at]]),1)</f>
        <v>45536</v>
      </c>
    </row>
    <row r="1136" spans="1:22">
      <c r="A1136">
        <v>4815073363</v>
      </c>
      <c r="B1136">
        <v>927878967</v>
      </c>
      <c r="C1136" t="s">
        <v>1020</v>
      </c>
      <c r="D1136" t="s">
        <v>1021</v>
      </c>
      <c r="E1136">
        <v>77005685</v>
      </c>
      <c r="F1136">
        <v>7747748543</v>
      </c>
      <c r="G1136" s="1">
        <v>46072.756331018521</v>
      </c>
      <c r="H1136" s="1">
        <v>46072.852164351854</v>
      </c>
      <c r="I1136" t="s">
        <v>46</v>
      </c>
      <c r="J1136" t="s">
        <v>86</v>
      </c>
      <c r="K1136" t="s">
        <v>47</v>
      </c>
      <c r="L1136" t="s">
        <v>21</v>
      </c>
      <c r="M1136">
        <v>3</v>
      </c>
      <c r="N1136">
        <v>138</v>
      </c>
      <c r="O1136">
        <v>0</v>
      </c>
      <c r="P1136" t="s">
        <v>87</v>
      </c>
      <c r="Q1136">
        <v>669</v>
      </c>
      <c r="R1136" t="s">
        <v>39</v>
      </c>
      <c r="S1136">
        <f>IF(support_tickets[[#This Row],[status_cleaned]]="closed",1,0)</f>
        <v>1</v>
      </c>
      <c r="T1136" t="str">
        <f>TEXT(support_tickets[[#This Row],[opened_at]],"mmm yyyy")</f>
        <v>Feb 2026</v>
      </c>
      <c r="U1136">
        <f>YEAR(support_tickets[[#This Row],[opened_at]])*100+MONTH(support_tickets[[#This Row],[opened_at]])</f>
        <v>202602</v>
      </c>
      <c r="V1136" s="29">
        <f>DATE(YEAR(support_tickets[[#This Row],[opened_at]]),MONTH(support_tickets[[#This Row],[opened_at]]),1)</f>
        <v>46054</v>
      </c>
    </row>
    <row r="1137" spans="1:22">
      <c r="A1137">
        <v>4854570434</v>
      </c>
      <c r="B1137">
        <v>572163615</v>
      </c>
      <c r="C1137" t="s">
        <v>94</v>
      </c>
      <c r="D1137" t="s">
        <v>95</v>
      </c>
      <c r="E1137">
        <v>55176955</v>
      </c>
      <c r="F1137">
        <v>5822166150</v>
      </c>
      <c r="G1137" s="1">
        <v>45935.007569444446</v>
      </c>
      <c r="H1137" s="1">
        <v>45935.425625000003</v>
      </c>
      <c r="I1137" t="s">
        <v>37</v>
      </c>
      <c r="J1137" t="s">
        <v>25</v>
      </c>
      <c r="K1137" t="s">
        <v>47</v>
      </c>
      <c r="L1137" t="s">
        <v>21</v>
      </c>
      <c r="M1137">
        <v>12</v>
      </c>
      <c r="N1137">
        <v>602</v>
      </c>
      <c r="O1137">
        <v>0</v>
      </c>
      <c r="P1137" t="s">
        <v>27</v>
      </c>
      <c r="Q1137">
        <v>673</v>
      </c>
      <c r="R1137" t="s">
        <v>39</v>
      </c>
      <c r="S1137">
        <f>IF(support_tickets[[#This Row],[status_cleaned]]="closed",1,0)</f>
        <v>1</v>
      </c>
      <c r="T1137" t="str">
        <f>TEXT(support_tickets[[#This Row],[opened_at]],"mmm yyyy")</f>
        <v>Oct 2025</v>
      </c>
      <c r="U1137">
        <f>YEAR(support_tickets[[#This Row],[opened_at]])*100+MONTH(support_tickets[[#This Row],[opened_at]])</f>
        <v>202510</v>
      </c>
      <c r="V1137" s="29">
        <f>DATE(YEAR(support_tickets[[#This Row],[opened_at]]),MONTH(support_tickets[[#This Row],[opened_at]]),1)</f>
        <v>45931</v>
      </c>
    </row>
    <row r="1138" spans="1:22">
      <c r="A1138">
        <v>4881678710</v>
      </c>
      <c r="B1138">
        <v>148578655</v>
      </c>
      <c r="C1138" t="s">
        <v>628</v>
      </c>
      <c r="D1138" t="s">
        <v>629</v>
      </c>
      <c r="E1138">
        <v>59684848</v>
      </c>
      <c r="G1138" s="1">
        <v>45708.316886574074</v>
      </c>
      <c r="H1138" s="1">
        <v>45708.628692129627</v>
      </c>
      <c r="I1138" t="s">
        <v>37</v>
      </c>
      <c r="J1138" t="s">
        <v>38</v>
      </c>
      <c r="K1138" t="s">
        <v>47</v>
      </c>
      <c r="L1138" t="s">
        <v>21</v>
      </c>
      <c r="M1138">
        <v>44</v>
      </c>
      <c r="N1138">
        <v>449</v>
      </c>
      <c r="O1138">
        <v>0</v>
      </c>
      <c r="P1138" t="s">
        <v>40</v>
      </c>
      <c r="Q1138">
        <v>677</v>
      </c>
      <c r="R1138" t="s">
        <v>39</v>
      </c>
      <c r="S1138">
        <f>IF(support_tickets[[#This Row],[status_cleaned]]="closed",1,0)</f>
        <v>1</v>
      </c>
      <c r="T1138" t="str">
        <f>TEXT(support_tickets[[#This Row],[opened_at]],"mmm yyyy")</f>
        <v>Feb 2025</v>
      </c>
      <c r="U1138">
        <f>YEAR(support_tickets[[#This Row],[opened_at]])*100+MONTH(support_tickets[[#This Row],[opened_at]])</f>
        <v>202502</v>
      </c>
      <c r="V1138" s="29">
        <f>DATE(YEAR(support_tickets[[#This Row],[opened_at]]),MONTH(support_tickets[[#This Row],[opened_at]]),1)</f>
        <v>45689</v>
      </c>
    </row>
    <row r="1139" spans="1:22">
      <c r="A1139">
        <v>4903144440</v>
      </c>
      <c r="B1139">
        <v>975903641</v>
      </c>
      <c r="C1139" t="s">
        <v>1026</v>
      </c>
      <c r="D1139" t="s">
        <v>1027</v>
      </c>
      <c r="E1139">
        <v>82394227</v>
      </c>
      <c r="G1139" s="1">
        <v>45454.403402777774</v>
      </c>
      <c r="H1139" s="1">
        <v>45454.699236111112</v>
      </c>
      <c r="I1139" t="s">
        <v>3</v>
      </c>
      <c r="J1139" t="s">
        <v>19</v>
      </c>
      <c r="K1139" t="s">
        <v>47</v>
      </c>
      <c r="L1139" t="s">
        <v>21</v>
      </c>
      <c r="M1139">
        <v>26</v>
      </c>
      <c r="N1139">
        <v>426</v>
      </c>
      <c r="O1139">
        <v>0</v>
      </c>
      <c r="P1139" t="s">
        <v>22</v>
      </c>
      <c r="Q1139">
        <v>681</v>
      </c>
      <c r="R1139" t="s">
        <v>39</v>
      </c>
      <c r="S1139">
        <f>IF(support_tickets[[#This Row],[status_cleaned]]="closed",1,0)</f>
        <v>1</v>
      </c>
      <c r="T1139" t="str">
        <f>TEXT(support_tickets[[#This Row],[opened_at]],"mmm yyyy")</f>
        <v>Jun 2024</v>
      </c>
      <c r="U1139">
        <f>YEAR(support_tickets[[#This Row],[opened_at]])*100+MONTH(support_tickets[[#This Row],[opened_at]])</f>
        <v>202406</v>
      </c>
      <c r="V1139" s="29">
        <f>DATE(YEAR(support_tickets[[#This Row],[opened_at]]),MONTH(support_tickets[[#This Row],[opened_at]]),1)</f>
        <v>45444</v>
      </c>
    </row>
    <row r="1140" spans="1:22">
      <c r="A1140">
        <v>4920767083</v>
      </c>
      <c r="B1140">
        <v>871336275</v>
      </c>
      <c r="C1140" t="s">
        <v>1028</v>
      </c>
      <c r="D1140" t="s">
        <v>1029</v>
      </c>
      <c r="E1140">
        <v>22201654</v>
      </c>
      <c r="G1140" s="1">
        <v>45530.781215277777</v>
      </c>
      <c r="H1140" s="1">
        <v>45531.229131944441</v>
      </c>
      <c r="I1140" t="s">
        <v>18</v>
      </c>
      <c r="J1140" t="s">
        <v>30</v>
      </c>
      <c r="K1140" t="s">
        <v>47</v>
      </c>
      <c r="L1140" t="s">
        <v>21</v>
      </c>
      <c r="M1140">
        <v>75</v>
      </c>
      <c r="N1140">
        <v>645</v>
      </c>
      <c r="O1140">
        <v>0</v>
      </c>
      <c r="P1140" t="s">
        <v>31</v>
      </c>
      <c r="Q1140">
        <v>682</v>
      </c>
      <c r="R1140" t="s">
        <v>39</v>
      </c>
      <c r="S1140">
        <f>IF(support_tickets[[#This Row],[status_cleaned]]="closed",1,0)</f>
        <v>1</v>
      </c>
      <c r="T1140" t="str">
        <f>TEXT(support_tickets[[#This Row],[opened_at]],"mmm yyyy")</f>
        <v>Aug 2024</v>
      </c>
      <c r="U1140">
        <f>YEAR(support_tickets[[#This Row],[opened_at]])*100+MONTH(support_tickets[[#This Row],[opened_at]])</f>
        <v>202408</v>
      </c>
      <c r="V1140" s="29">
        <f>DATE(YEAR(support_tickets[[#This Row],[opened_at]]),MONTH(support_tickets[[#This Row],[opened_at]]),1)</f>
        <v>45505</v>
      </c>
    </row>
    <row r="1141" spans="1:22">
      <c r="A1141">
        <v>4958203860</v>
      </c>
      <c r="B1141">
        <v>156361897</v>
      </c>
      <c r="C1141" t="s">
        <v>1012</v>
      </c>
      <c r="D1141" t="s">
        <v>1013</v>
      </c>
      <c r="E1141">
        <v>11540956</v>
      </c>
      <c r="G1141" s="1">
        <v>45659.079826388886</v>
      </c>
      <c r="H1141" s="1">
        <v>45659.303437499999</v>
      </c>
      <c r="I1141" t="s">
        <v>56</v>
      </c>
      <c r="J1141" t="s">
        <v>25</v>
      </c>
      <c r="K1141" t="s">
        <v>47</v>
      </c>
      <c r="L1141" t="s">
        <v>21</v>
      </c>
      <c r="M1141">
        <v>17</v>
      </c>
      <c r="N1141">
        <v>322</v>
      </c>
      <c r="O1141">
        <v>0</v>
      </c>
      <c r="P1141" t="s">
        <v>27</v>
      </c>
      <c r="Q1141">
        <v>687</v>
      </c>
      <c r="R1141" t="s">
        <v>39</v>
      </c>
      <c r="S1141">
        <f>IF(support_tickets[[#This Row],[status_cleaned]]="closed",1,0)</f>
        <v>1</v>
      </c>
      <c r="T1141" t="str">
        <f>TEXT(support_tickets[[#This Row],[opened_at]],"mmm yyyy")</f>
        <v>Jan 2025</v>
      </c>
      <c r="U1141">
        <f>YEAR(support_tickets[[#This Row],[opened_at]])*100+MONTH(support_tickets[[#This Row],[opened_at]])</f>
        <v>202501</v>
      </c>
      <c r="V1141" s="29">
        <f>DATE(YEAR(support_tickets[[#This Row],[opened_at]]),MONTH(support_tickets[[#This Row],[opened_at]]),1)</f>
        <v>45658</v>
      </c>
    </row>
    <row r="1142" spans="1:22">
      <c r="A1142">
        <v>4967909438</v>
      </c>
      <c r="B1142">
        <v>530121245</v>
      </c>
      <c r="C1142" t="s">
        <v>472</v>
      </c>
      <c r="D1142" t="s">
        <v>473</v>
      </c>
      <c r="E1142">
        <v>40587988</v>
      </c>
      <c r="G1142" s="1">
        <v>46001.844166666669</v>
      </c>
      <c r="H1142" s="1">
        <v>46002.381666666668</v>
      </c>
      <c r="I1142" t="s">
        <v>46</v>
      </c>
      <c r="J1142" t="s">
        <v>86</v>
      </c>
      <c r="K1142" t="s">
        <v>47</v>
      </c>
      <c r="L1142" t="s">
        <v>21</v>
      </c>
      <c r="M1142">
        <v>44</v>
      </c>
      <c r="N1142">
        <v>774</v>
      </c>
      <c r="O1142">
        <v>0</v>
      </c>
      <c r="P1142" t="s">
        <v>87</v>
      </c>
      <c r="Q1142">
        <v>691</v>
      </c>
      <c r="R1142" t="s">
        <v>39</v>
      </c>
      <c r="S1142">
        <f>IF(support_tickets[[#This Row],[status_cleaned]]="closed",1,0)</f>
        <v>1</v>
      </c>
      <c r="T1142" t="str">
        <f>TEXT(support_tickets[[#This Row],[opened_at]],"mmm yyyy")</f>
        <v>Dec 2025</v>
      </c>
      <c r="U1142">
        <f>YEAR(support_tickets[[#This Row],[opened_at]])*100+MONTH(support_tickets[[#This Row],[opened_at]])</f>
        <v>202512</v>
      </c>
      <c r="V1142" s="29">
        <f>DATE(YEAR(support_tickets[[#This Row],[opened_at]]),MONTH(support_tickets[[#This Row],[opened_at]]),1)</f>
        <v>45992</v>
      </c>
    </row>
    <row r="1143" spans="1:22">
      <c r="A1143">
        <v>5084320126</v>
      </c>
      <c r="B1143">
        <v>871880418</v>
      </c>
      <c r="C1143" t="s">
        <v>992</v>
      </c>
      <c r="D1143" t="s">
        <v>993</v>
      </c>
      <c r="E1143">
        <v>19335534</v>
      </c>
      <c r="G1143" s="1">
        <v>45850.681759259256</v>
      </c>
      <c r="H1143" s="1">
        <v>45851.108842592592</v>
      </c>
      <c r="I1143" t="s">
        <v>56</v>
      </c>
      <c r="J1143" t="s">
        <v>19</v>
      </c>
      <c r="K1143" t="s">
        <v>47</v>
      </c>
      <c r="L1143" t="s">
        <v>21</v>
      </c>
      <c r="M1143">
        <v>11</v>
      </c>
      <c r="N1143">
        <v>615</v>
      </c>
      <c r="O1143">
        <v>0</v>
      </c>
      <c r="P1143" t="s">
        <v>22</v>
      </c>
      <c r="Q1143">
        <v>710</v>
      </c>
      <c r="R1143" t="s">
        <v>39</v>
      </c>
      <c r="S1143">
        <f>IF(support_tickets[[#This Row],[status_cleaned]]="closed",1,0)</f>
        <v>1</v>
      </c>
      <c r="T1143" t="str">
        <f>TEXT(support_tickets[[#This Row],[opened_at]],"mmm yyyy")</f>
        <v>Jul 2025</v>
      </c>
      <c r="U1143">
        <f>YEAR(support_tickets[[#This Row],[opened_at]])*100+MONTH(support_tickets[[#This Row],[opened_at]])</f>
        <v>202507</v>
      </c>
      <c r="V1143" s="29">
        <f>DATE(YEAR(support_tickets[[#This Row],[opened_at]]),MONTH(support_tickets[[#This Row],[opened_at]]),1)</f>
        <v>45839</v>
      </c>
    </row>
    <row r="1144" spans="1:22">
      <c r="A1144">
        <v>5115068398</v>
      </c>
      <c r="B1144">
        <v>251266214</v>
      </c>
      <c r="C1144" t="s">
        <v>388</v>
      </c>
      <c r="D1144" t="s">
        <v>389</v>
      </c>
      <c r="E1144">
        <v>45833156</v>
      </c>
      <c r="G1144" s="1">
        <v>45495.465486111112</v>
      </c>
      <c r="H1144" s="1">
        <v>45495.961319444446</v>
      </c>
      <c r="I1144" t="s">
        <v>37</v>
      </c>
      <c r="J1144" t="s">
        <v>30</v>
      </c>
      <c r="K1144" t="s">
        <v>47</v>
      </c>
      <c r="L1144" t="s">
        <v>21</v>
      </c>
      <c r="M1144">
        <v>35</v>
      </c>
      <c r="N1144">
        <v>714</v>
      </c>
      <c r="O1144">
        <v>0</v>
      </c>
      <c r="P1144" t="s">
        <v>31</v>
      </c>
      <c r="Q1144">
        <v>714</v>
      </c>
      <c r="R1144" t="s">
        <v>39</v>
      </c>
      <c r="S1144">
        <f>IF(support_tickets[[#This Row],[status_cleaned]]="closed",1,0)</f>
        <v>1</v>
      </c>
      <c r="T1144" t="str">
        <f>TEXT(support_tickets[[#This Row],[opened_at]],"mmm yyyy")</f>
        <v>Jul 2024</v>
      </c>
      <c r="U1144">
        <f>YEAR(support_tickets[[#This Row],[opened_at]])*100+MONTH(support_tickets[[#This Row],[opened_at]])</f>
        <v>202407</v>
      </c>
      <c r="V1144" s="29">
        <f>DATE(YEAR(support_tickets[[#This Row],[opened_at]]),MONTH(support_tickets[[#This Row],[opened_at]]),1)</f>
        <v>45474</v>
      </c>
    </row>
    <row r="1145" spans="1:22">
      <c r="A1145">
        <v>5147636412</v>
      </c>
      <c r="B1145">
        <v>541156077</v>
      </c>
      <c r="C1145" t="s">
        <v>1062</v>
      </c>
      <c r="D1145" t="s">
        <v>1063</v>
      </c>
      <c r="E1145">
        <v>96977837</v>
      </c>
      <c r="F1145">
        <v>3584862196</v>
      </c>
      <c r="G1145" s="1">
        <v>45406.843831018516</v>
      </c>
      <c r="H1145" s="1">
        <v>45407.234803240739</v>
      </c>
      <c r="I1145" t="s">
        <v>56</v>
      </c>
      <c r="J1145" t="s">
        <v>30</v>
      </c>
      <c r="K1145" t="s">
        <v>47</v>
      </c>
      <c r="L1145" t="s">
        <v>21</v>
      </c>
      <c r="M1145">
        <v>57</v>
      </c>
      <c r="N1145">
        <v>563</v>
      </c>
      <c r="O1145">
        <v>0</v>
      </c>
      <c r="P1145" t="s">
        <v>31</v>
      </c>
      <c r="Q1145">
        <v>720</v>
      </c>
      <c r="R1145" t="s">
        <v>39</v>
      </c>
      <c r="S1145">
        <f>IF(support_tickets[[#This Row],[status_cleaned]]="closed",1,0)</f>
        <v>1</v>
      </c>
      <c r="T1145" t="str">
        <f>TEXT(support_tickets[[#This Row],[opened_at]],"mmm yyyy")</f>
        <v>Apr 2024</v>
      </c>
      <c r="U1145">
        <f>YEAR(support_tickets[[#This Row],[opened_at]])*100+MONTH(support_tickets[[#This Row],[opened_at]])</f>
        <v>202404</v>
      </c>
      <c r="V1145" s="29">
        <f>DATE(YEAR(support_tickets[[#This Row],[opened_at]]),MONTH(support_tickets[[#This Row],[opened_at]]),1)</f>
        <v>45383</v>
      </c>
    </row>
    <row r="1146" spans="1:22">
      <c r="A1146">
        <v>5180830447</v>
      </c>
      <c r="B1146">
        <v>601873197</v>
      </c>
      <c r="C1146" t="s">
        <v>1068</v>
      </c>
      <c r="D1146" t="s">
        <v>1069</v>
      </c>
      <c r="E1146">
        <v>45351479</v>
      </c>
      <c r="F1146">
        <v>8212634244</v>
      </c>
      <c r="G1146" s="1">
        <v>45857.843680555554</v>
      </c>
      <c r="H1146" s="1">
        <v>45858.442986111113</v>
      </c>
      <c r="I1146" t="s">
        <v>18</v>
      </c>
      <c r="J1146" t="s">
        <v>30</v>
      </c>
      <c r="K1146" t="s">
        <v>47</v>
      </c>
      <c r="L1146" t="s">
        <v>21</v>
      </c>
      <c r="M1146">
        <v>65</v>
      </c>
      <c r="N1146">
        <v>863</v>
      </c>
      <c r="O1146">
        <v>0</v>
      </c>
      <c r="P1146" t="s">
        <v>31</v>
      </c>
      <c r="Q1146">
        <v>728</v>
      </c>
      <c r="R1146" t="s">
        <v>39</v>
      </c>
      <c r="S1146">
        <f>IF(support_tickets[[#This Row],[status_cleaned]]="closed",1,0)</f>
        <v>1</v>
      </c>
      <c r="T1146" t="str">
        <f>TEXT(support_tickets[[#This Row],[opened_at]],"mmm yyyy")</f>
        <v>Jul 2025</v>
      </c>
      <c r="U1146">
        <f>YEAR(support_tickets[[#This Row],[opened_at]])*100+MONTH(support_tickets[[#This Row],[opened_at]])</f>
        <v>202507</v>
      </c>
      <c r="V1146" s="29">
        <f>DATE(YEAR(support_tickets[[#This Row],[opened_at]]),MONTH(support_tickets[[#This Row],[opened_at]]),1)</f>
        <v>45839</v>
      </c>
    </row>
    <row r="1147" spans="1:22">
      <c r="A1147">
        <v>5241605559</v>
      </c>
      <c r="B1147">
        <v>330393232</v>
      </c>
      <c r="C1147" t="s">
        <v>1078</v>
      </c>
      <c r="D1147" t="s">
        <v>1079</v>
      </c>
      <c r="E1147">
        <v>42138745</v>
      </c>
      <c r="F1147">
        <v>2973065509</v>
      </c>
      <c r="G1147" s="1">
        <v>45897.454548611109</v>
      </c>
      <c r="H1147" s="1">
        <v>45898.020520833335</v>
      </c>
      <c r="I1147" t="s">
        <v>43</v>
      </c>
      <c r="J1147" t="s">
        <v>86</v>
      </c>
      <c r="K1147" t="s">
        <v>47</v>
      </c>
      <c r="L1147" t="s">
        <v>21</v>
      </c>
      <c r="M1147">
        <v>39</v>
      </c>
      <c r="N1147">
        <v>815</v>
      </c>
      <c r="O1147">
        <v>0</v>
      </c>
      <c r="P1147" t="s">
        <v>87</v>
      </c>
      <c r="Q1147">
        <v>742</v>
      </c>
      <c r="R1147" t="s">
        <v>39</v>
      </c>
      <c r="S1147">
        <f>IF(support_tickets[[#This Row],[status_cleaned]]="closed",1,0)</f>
        <v>1</v>
      </c>
      <c r="T1147" t="str">
        <f>TEXT(support_tickets[[#This Row],[opened_at]],"mmm yyyy")</f>
        <v>Aug 2025</v>
      </c>
      <c r="U1147">
        <f>YEAR(support_tickets[[#This Row],[opened_at]])*100+MONTH(support_tickets[[#This Row],[opened_at]])</f>
        <v>202508</v>
      </c>
      <c r="V1147" s="29">
        <f>DATE(YEAR(support_tickets[[#This Row],[opened_at]]),MONTH(support_tickets[[#This Row],[opened_at]]),1)</f>
        <v>45870</v>
      </c>
    </row>
    <row r="1148" spans="1:22">
      <c r="A1148">
        <v>5269267449</v>
      </c>
      <c r="B1148">
        <v>358480413</v>
      </c>
      <c r="C1148" t="s">
        <v>572</v>
      </c>
      <c r="D1148" t="s">
        <v>573</v>
      </c>
      <c r="E1148">
        <v>20570592</v>
      </c>
      <c r="F1148">
        <v>1423644452</v>
      </c>
      <c r="G1148" s="1">
        <v>45492.434050925927</v>
      </c>
      <c r="H1148" s="1">
        <v>45492.947245370371</v>
      </c>
      <c r="I1148" t="s">
        <v>43</v>
      </c>
      <c r="J1148" t="s">
        <v>86</v>
      </c>
      <c r="K1148" t="s">
        <v>47</v>
      </c>
      <c r="L1148" t="s">
        <v>21</v>
      </c>
      <c r="M1148">
        <v>23</v>
      </c>
      <c r="N1148">
        <v>739</v>
      </c>
      <c r="O1148">
        <v>0</v>
      </c>
      <c r="P1148" t="s">
        <v>87</v>
      </c>
      <c r="Q1148">
        <v>746</v>
      </c>
      <c r="R1148" t="s">
        <v>39</v>
      </c>
      <c r="S1148">
        <f>IF(support_tickets[[#This Row],[status_cleaned]]="closed",1,0)</f>
        <v>1</v>
      </c>
      <c r="T1148" t="str">
        <f>TEXT(support_tickets[[#This Row],[opened_at]],"mmm yyyy")</f>
        <v>Jul 2024</v>
      </c>
      <c r="U1148">
        <f>YEAR(support_tickets[[#This Row],[opened_at]])*100+MONTH(support_tickets[[#This Row],[opened_at]])</f>
        <v>202407</v>
      </c>
      <c r="V1148" s="29">
        <f>DATE(YEAR(support_tickets[[#This Row],[opened_at]]),MONTH(support_tickets[[#This Row],[opened_at]]),1)</f>
        <v>45474</v>
      </c>
    </row>
    <row r="1149" spans="1:22">
      <c r="A1149">
        <v>5303521830</v>
      </c>
      <c r="B1149">
        <v>366338529</v>
      </c>
      <c r="C1149" t="s">
        <v>1086</v>
      </c>
      <c r="D1149" t="s">
        <v>1087</v>
      </c>
      <c r="E1149">
        <v>20570592</v>
      </c>
      <c r="G1149" s="1">
        <v>45597.759722222225</v>
      </c>
      <c r="H1149" s="1">
        <v>45597.814583333333</v>
      </c>
      <c r="I1149" t="s">
        <v>46</v>
      </c>
      <c r="J1149" t="s">
        <v>25</v>
      </c>
      <c r="K1149" t="s">
        <v>47</v>
      </c>
      <c r="L1149" t="s">
        <v>21</v>
      </c>
      <c r="M1149">
        <v>51</v>
      </c>
      <c r="N1149">
        <v>79</v>
      </c>
      <c r="O1149">
        <v>0</v>
      </c>
      <c r="P1149" t="s">
        <v>27</v>
      </c>
      <c r="Q1149">
        <v>751</v>
      </c>
      <c r="R1149" t="s">
        <v>39</v>
      </c>
      <c r="S1149">
        <f>IF(support_tickets[[#This Row],[status_cleaned]]="closed",1,0)</f>
        <v>1</v>
      </c>
      <c r="T1149" t="str">
        <f>TEXT(support_tickets[[#This Row],[opened_at]],"mmm yyyy")</f>
        <v>Nov 2024</v>
      </c>
      <c r="U1149">
        <f>YEAR(support_tickets[[#This Row],[opened_at]])*100+MONTH(support_tickets[[#This Row],[opened_at]])</f>
        <v>202411</v>
      </c>
      <c r="V1149" s="29">
        <f>DATE(YEAR(support_tickets[[#This Row],[opened_at]]),MONTH(support_tickets[[#This Row],[opened_at]]),1)</f>
        <v>45597</v>
      </c>
    </row>
    <row r="1150" spans="1:22">
      <c r="A1150">
        <v>5309841250</v>
      </c>
      <c r="B1150">
        <v>662982736</v>
      </c>
      <c r="C1150" t="s">
        <v>1088</v>
      </c>
      <c r="D1150" t="s">
        <v>1089</v>
      </c>
      <c r="E1150">
        <v>39436733</v>
      </c>
      <c r="G1150" s="1">
        <v>45616.684849537036</v>
      </c>
      <c r="H1150" s="1">
        <v>45617.19804398148</v>
      </c>
      <c r="I1150" t="s">
        <v>46</v>
      </c>
      <c r="J1150" t="s">
        <v>38</v>
      </c>
      <c r="K1150" t="s">
        <v>47</v>
      </c>
      <c r="L1150" t="s">
        <v>21</v>
      </c>
      <c r="M1150">
        <v>73</v>
      </c>
      <c r="N1150">
        <v>739</v>
      </c>
      <c r="O1150">
        <v>0</v>
      </c>
      <c r="P1150" t="s">
        <v>40</v>
      </c>
      <c r="Q1150">
        <v>753</v>
      </c>
      <c r="R1150" t="s">
        <v>39</v>
      </c>
      <c r="S1150">
        <f>IF(support_tickets[[#This Row],[status_cleaned]]="closed",1,0)</f>
        <v>1</v>
      </c>
      <c r="T1150" t="str">
        <f>TEXT(support_tickets[[#This Row],[opened_at]],"mmm yyyy")</f>
        <v>Nov 2024</v>
      </c>
      <c r="U1150">
        <f>YEAR(support_tickets[[#This Row],[opened_at]])*100+MONTH(support_tickets[[#This Row],[opened_at]])</f>
        <v>202411</v>
      </c>
      <c r="V1150" s="29">
        <f>DATE(YEAR(support_tickets[[#This Row],[opened_at]]),MONTH(support_tickets[[#This Row],[opened_at]]),1)</f>
        <v>45597</v>
      </c>
    </row>
    <row r="1151" spans="1:22">
      <c r="A1151">
        <v>5326418506</v>
      </c>
      <c r="B1151">
        <v>139019611</v>
      </c>
      <c r="C1151" t="s">
        <v>530</v>
      </c>
      <c r="D1151" t="s">
        <v>531</v>
      </c>
      <c r="E1151">
        <v>77187530</v>
      </c>
      <c r="G1151" s="1">
        <v>45780.230023148149</v>
      </c>
      <c r="H1151" s="1">
        <v>45780.501550925925</v>
      </c>
      <c r="I1151" t="s">
        <v>37</v>
      </c>
      <c r="J1151" t="s">
        <v>38</v>
      </c>
      <c r="K1151" t="s">
        <v>47</v>
      </c>
      <c r="L1151" t="s">
        <v>21</v>
      </c>
      <c r="M1151">
        <v>16</v>
      </c>
      <c r="N1151">
        <v>391</v>
      </c>
      <c r="O1151">
        <v>0</v>
      </c>
      <c r="P1151" t="s">
        <v>40</v>
      </c>
      <c r="Q1151">
        <v>762</v>
      </c>
      <c r="R1151" t="s">
        <v>39</v>
      </c>
      <c r="S1151">
        <f>IF(support_tickets[[#This Row],[status_cleaned]]="closed",1,0)</f>
        <v>1</v>
      </c>
      <c r="T1151" t="str">
        <f>TEXT(support_tickets[[#This Row],[opened_at]],"mmm yyyy")</f>
        <v>May 2025</v>
      </c>
      <c r="U1151">
        <f>YEAR(support_tickets[[#This Row],[opened_at]])*100+MONTH(support_tickets[[#This Row],[opened_at]])</f>
        <v>202505</v>
      </c>
      <c r="V1151" s="29">
        <f>DATE(YEAR(support_tickets[[#This Row],[opened_at]]),MONTH(support_tickets[[#This Row],[opened_at]]),1)</f>
        <v>45778</v>
      </c>
    </row>
    <row r="1152" spans="1:22">
      <c r="A1152">
        <v>5338857120</v>
      </c>
      <c r="B1152">
        <v>602533479</v>
      </c>
      <c r="C1152" t="s">
        <v>1104</v>
      </c>
      <c r="D1152" t="s">
        <v>1105</v>
      </c>
      <c r="E1152">
        <v>45351479</v>
      </c>
      <c r="F1152">
        <v>9657101385</v>
      </c>
      <c r="G1152" s="1">
        <v>46058.326226851852</v>
      </c>
      <c r="H1152" s="1">
        <v>46058.427615740744</v>
      </c>
      <c r="I1152" t="s">
        <v>56</v>
      </c>
      <c r="J1152" t="s">
        <v>25</v>
      </c>
      <c r="K1152" t="s">
        <v>47</v>
      </c>
      <c r="L1152" t="s">
        <v>21</v>
      </c>
      <c r="M1152">
        <v>80</v>
      </c>
      <c r="N1152">
        <v>146</v>
      </c>
      <c r="O1152">
        <v>0</v>
      </c>
      <c r="P1152" t="s">
        <v>27</v>
      </c>
      <c r="Q1152">
        <v>767</v>
      </c>
      <c r="R1152" t="s">
        <v>39</v>
      </c>
      <c r="S1152">
        <f>IF(support_tickets[[#This Row],[status_cleaned]]="closed",1,0)</f>
        <v>1</v>
      </c>
      <c r="T1152" t="str">
        <f>TEXT(support_tickets[[#This Row],[opened_at]],"mmm yyyy")</f>
        <v>Feb 2026</v>
      </c>
      <c r="U1152">
        <f>YEAR(support_tickets[[#This Row],[opened_at]])*100+MONTH(support_tickets[[#This Row],[opened_at]])</f>
        <v>202602</v>
      </c>
      <c r="V1152" s="29">
        <f>DATE(YEAR(support_tickets[[#This Row],[opened_at]]),MONTH(support_tickets[[#This Row],[opened_at]]),1)</f>
        <v>46054</v>
      </c>
    </row>
    <row r="1153" spans="1:22">
      <c r="A1153">
        <v>5379942591</v>
      </c>
      <c r="B1153">
        <v>417440983</v>
      </c>
      <c r="C1153" t="s">
        <v>1116</v>
      </c>
      <c r="D1153" t="s">
        <v>1117</v>
      </c>
      <c r="E1153">
        <v>28566572</v>
      </c>
      <c r="F1153">
        <v>4468132414</v>
      </c>
      <c r="G1153" s="1">
        <v>45580.569166666668</v>
      </c>
      <c r="H1153" s="1">
        <v>45580.951111111113</v>
      </c>
      <c r="I1153" t="s">
        <v>37</v>
      </c>
      <c r="J1153" t="s">
        <v>86</v>
      </c>
      <c r="K1153" t="s">
        <v>47</v>
      </c>
      <c r="L1153" t="s">
        <v>21</v>
      </c>
      <c r="M1153">
        <v>29</v>
      </c>
      <c r="N1153">
        <v>550</v>
      </c>
      <c r="O1153">
        <v>0</v>
      </c>
      <c r="P1153" t="s">
        <v>87</v>
      </c>
      <c r="Q1153">
        <v>776</v>
      </c>
      <c r="R1153" t="s">
        <v>39</v>
      </c>
      <c r="S1153">
        <f>IF(support_tickets[[#This Row],[status_cleaned]]="closed",1,0)</f>
        <v>1</v>
      </c>
      <c r="T1153" t="str">
        <f>TEXT(support_tickets[[#This Row],[opened_at]],"mmm yyyy")</f>
        <v>Oct 2024</v>
      </c>
      <c r="U1153">
        <f>YEAR(support_tickets[[#This Row],[opened_at]])*100+MONTH(support_tickets[[#This Row],[opened_at]])</f>
        <v>202410</v>
      </c>
      <c r="V1153" s="29">
        <f>DATE(YEAR(support_tickets[[#This Row],[opened_at]]),MONTH(support_tickets[[#This Row],[opened_at]]),1)</f>
        <v>45566</v>
      </c>
    </row>
    <row r="1154" spans="1:22">
      <c r="A1154">
        <v>5532828602</v>
      </c>
      <c r="B1154">
        <v>665359037</v>
      </c>
      <c r="C1154" t="s">
        <v>1146</v>
      </c>
      <c r="D1154" t="s">
        <v>1147</v>
      </c>
      <c r="E1154">
        <v>88320463</v>
      </c>
      <c r="F1154">
        <v>8469337898</v>
      </c>
      <c r="G1154" s="1">
        <v>45373.31521990741</v>
      </c>
      <c r="H1154" s="1">
        <v>45373.839525462965</v>
      </c>
      <c r="I1154" t="s">
        <v>3</v>
      </c>
      <c r="J1154" t="s">
        <v>19</v>
      </c>
      <c r="K1154" t="s">
        <v>47</v>
      </c>
      <c r="L1154" t="s">
        <v>21</v>
      </c>
      <c r="M1154">
        <v>59</v>
      </c>
      <c r="N1154">
        <v>755</v>
      </c>
      <c r="O1154">
        <v>0</v>
      </c>
      <c r="P1154" t="s">
        <v>22</v>
      </c>
      <c r="Q1154">
        <v>808</v>
      </c>
      <c r="R1154" t="s">
        <v>39</v>
      </c>
      <c r="S1154">
        <f>IF(support_tickets[[#This Row],[status_cleaned]]="closed",1,0)</f>
        <v>1</v>
      </c>
      <c r="T1154" t="str">
        <f>TEXT(support_tickets[[#This Row],[opened_at]],"mmm yyyy")</f>
        <v>Mar 2024</v>
      </c>
      <c r="U1154">
        <f>YEAR(support_tickets[[#This Row],[opened_at]])*100+MONTH(support_tickets[[#This Row],[opened_at]])</f>
        <v>202403</v>
      </c>
      <c r="V1154" s="29">
        <f>DATE(YEAR(support_tickets[[#This Row],[opened_at]]),MONTH(support_tickets[[#This Row],[opened_at]]),1)</f>
        <v>45352</v>
      </c>
    </row>
    <row r="1155" spans="1:22">
      <c r="A1155">
        <v>5601062139</v>
      </c>
      <c r="B1155">
        <v>802506364</v>
      </c>
      <c r="C1155" t="s">
        <v>1152</v>
      </c>
      <c r="D1155" t="s">
        <v>1153</v>
      </c>
      <c r="E1155">
        <v>19289546</v>
      </c>
      <c r="G1155" s="1">
        <v>45599.761412037034</v>
      </c>
      <c r="H1155" s="1">
        <v>45600.110717592594</v>
      </c>
      <c r="I1155" t="s">
        <v>43</v>
      </c>
      <c r="J1155" t="s">
        <v>38</v>
      </c>
      <c r="K1155" t="s">
        <v>47</v>
      </c>
      <c r="L1155" t="s">
        <v>21</v>
      </c>
      <c r="M1155">
        <v>77</v>
      </c>
      <c r="N1155">
        <v>503</v>
      </c>
      <c r="O1155">
        <v>0</v>
      </c>
      <c r="P1155" t="s">
        <v>40</v>
      </c>
      <c r="Q1155">
        <v>823</v>
      </c>
      <c r="R1155" t="s">
        <v>39</v>
      </c>
      <c r="S1155">
        <f>IF(support_tickets[[#This Row],[status_cleaned]]="closed",1,0)</f>
        <v>1</v>
      </c>
      <c r="T1155" t="str">
        <f>TEXT(support_tickets[[#This Row],[opened_at]],"mmm yyyy")</f>
        <v>Nov 2024</v>
      </c>
      <c r="U1155">
        <f>YEAR(support_tickets[[#This Row],[opened_at]])*100+MONTH(support_tickets[[#This Row],[opened_at]])</f>
        <v>202411</v>
      </c>
      <c r="V1155" s="29">
        <f>DATE(YEAR(support_tickets[[#This Row],[opened_at]]),MONTH(support_tickets[[#This Row],[opened_at]]),1)</f>
        <v>45597</v>
      </c>
    </row>
    <row r="1156" spans="1:22">
      <c r="A1156">
        <v>5612511036</v>
      </c>
      <c r="B1156">
        <v>956084565</v>
      </c>
      <c r="C1156" t="s">
        <v>1154</v>
      </c>
      <c r="D1156" t="s">
        <v>1155</v>
      </c>
      <c r="E1156">
        <v>13356886</v>
      </c>
      <c r="F1156">
        <v>8634689853</v>
      </c>
      <c r="G1156" s="1">
        <v>45805.122291666667</v>
      </c>
      <c r="H1156" s="1">
        <v>45805.622986111113</v>
      </c>
      <c r="I1156" t="s">
        <v>52</v>
      </c>
      <c r="J1156" t="s">
        <v>59</v>
      </c>
      <c r="K1156" t="s">
        <v>47</v>
      </c>
      <c r="L1156" t="s">
        <v>21</v>
      </c>
      <c r="M1156">
        <v>19</v>
      </c>
      <c r="N1156">
        <v>721</v>
      </c>
      <c r="O1156">
        <v>0</v>
      </c>
      <c r="P1156" t="s">
        <v>61</v>
      </c>
      <c r="Q1156">
        <v>825</v>
      </c>
      <c r="R1156" t="s">
        <v>39</v>
      </c>
      <c r="S1156">
        <f>IF(support_tickets[[#This Row],[status_cleaned]]="closed",1,0)</f>
        <v>1</v>
      </c>
      <c r="T1156" t="str">
        <f>TEXT(support_tickets[[#This Row],[opened_at]],"mmm yyyy")</f>
        <v>May 2025</v>
      </c>
      <c r="U1156">
        <f>YEAR(support_tickets[[#This Row],[opened_at]])*100+MONTH(support_tickets[[#This Row],[opened_at]])</f>
        <v>202505</v>
      </c>
      <c r="V1156" s="29">
        <f>DATE(YEAR(support_tickets[[#This Row],[opened_at]]),MONTH(support_tickets[[#This Row],[opened_at]]),1)</f>
        <v>45778</v>
      </c>
    </row>
    <row r="1157" spans="1:22">
      <c r="A1157">
        <v>5683391352</v>
      </c>
      <c r="B1157">
        <v>768737754</v>
      </c>
      <c r="C1157" t="s">
        <v>622</v>
      </c>
      <c r="D1157" t="s">
        <v>623</v>
      </c>
      <c r="E1157">
        <v>42868828</v>
      </c>
      <c r="G1157" s="1">
        <v>45861.800405092596</v>
      </c>
      <c r="H1157" s="1">
        <v>45862.078182870369</v>
      </c>
      <c r="I1157" t="s">
        <v>18</v>
      </c>
      <c r="J1157" t="s">
        <v>38</v>
      </c>
      <c r="K1157" t="s">
        <v>47</v>
      </c>
      <c r="L1157" t="s">
        <v>21</v>
      </c>
      <c r="M1157">
        <v>22</v>
      </c>
      <c r="N1157">
        <v>400</v>
      </c>
      <c r="O1157">
        <v>0</v>
      </c>
      <c r="P1157" t="s">
        <v>40</v>
      </c>
      <c r="Q1157">
        <v>834</v>
      </c>
      <c r="R1157" t="s">
        <v>39</v>
      </c>
      <c r="S1157">
        <f>IF(support_tickets[[#This Row],[status_cleaned]]="closed",1,0)</f>
        <v>1</v>
      </c>
      <c r="T1157" t="str">
        <f>TEXT(support_tickets[[#This Row],[opened_at]],"mmm yyyy")</f>
        <v>Jul 2025</v>
      </c>
      <c r="U1157">
        <f>YEAR(support_tickets[[#This Row],[opened_at]])*100+MONTH(support_tickets[[#This Row],[opened_at]])</f>
        <v>202507</v>
      </c>
      <c r="V1157" s="29">
        <f>DATE(YEAR(support_tickets[[#This Row],[opened_at]]),MONTH(support_tickets[[#This Row],[opened_at]]),1)</f>
        <v>45839</v>
      </c>
    </row>
    <row r="1158" spans="1:22">
      <c r="A1158">
        <v>5737160587</v>
      </c>
      <c r="B1158">
        <v>230833665</v>
      </c>
      <c r="C1158" t="s">
        <v>1022</v>
      </c>
      <c r="D1158" t="s">
        <v>1023</v>
      </c>
      <c r="E1158">
        <v>78387461</v>
      </c>
      <c r="G1158" s="1">
        <v>46026.662129629629</v>
      </c>
      <c r="H1158" s="1">
        <v>46027.016296296293</v>
      </c>
      <c r="I1158" t="s">
        <v>43</v>
      </c>
      <c r="J1158" t="s">
        <v>38</v>
      </c>
      <c r="K1158" t="s">
        <v>47</v>
      </c>
      <c r="L1158" t="s">
        <v>21</v>
      </c>
      <c r="M1158">
        <v>43</v>
      </c>
      <c r="N1158">
        <v>510</v>
      </c>
      <c r="O1158">
        <v>0</v>
      </c>
      <c r="P1158" t="s">
        <v>40</v>
      </c>
      <c r="Q1158">
        <v>842</v>
      </c>
      <c r="R1158" t="s">
        <v>39</v>
      </c>
      <c r="S1158">
        <f>IF(support_tickets[[#This Row],[status_cleaned]]="closed",1,0)</f>
        <v>1</v>
      </c>
      <c r="T1158" t="str">
        <f>TEXT(support_tickets[[#This Row],[opened_at]],"mmm yyyy")</f>
        <v>Jan 2026</v>
      </c>
      <c r="U1158">
        <f>YEAR(support_tickets[[#This Row],[opened_at]])*100+MONTH(support_tickets[[#This Row],[opened_at]])</f>
        <v>202601</v>
      </c>
      <c r="V1158" s="29">
        <f>DATE(YEAR(support_tickets[[#This Row],[opened_at]]),MONTH(support_tickets[[#This Row],[opened_at]]),1)</f>
        <v>46023</v>
      </c>
    </row>
    <row r="1159" spans="1:22">
      <c r="A1159">
        <v>5769303937</v>
      </c>
      <c r="B1159">
        <v>912477810</v>
      </c>
      <c r="C1159" t="s">
        <v>1166</v>
      </c>
      <c r="D1159" t="s">
        <v>1167</v>
      </c>
      <c r="E1159">
        <v>25014631</v>
      </c>
      <c r="G1159" s="1">
        <v>45738.297314814816</v>
      </c>
      <c r="H1159" s="1">
        <v>45738.610509259262</v>
      </c>
      <c r="I1159" t="s">
        <v>3</v>
      </c>
      <c r="J1159" t="s">
        <v>59</v>
      </c>
      <c r="K1159" t="s">
        <v>47</v>
      </c>
      <c r="L1159" t="s">
        <v>21</v>
      </c>
      <c r="M1159">
        <v>10</v>
      </c>
      <c r="N1159">
        <v>451</v>
      </c>
      <c r="O1159">
        <v>0</v>
      </c>
      <c r="P1159" t="s">
        <v>61</v>
      </c>
      <c r="Q1159">
        <v>848</v>
      </c>
      <c r="R1159" t="s">
        <v>39</v>
      </c>
      <c r="S1159">
        <f>IF(support_tickets[[#This Row],[status_cleaned]]="closed",1,0)</f>
        <v>1</v>
      </c>
      <c r="T1159" t="str">
        <f>TEXT(support_tickets[[#This Row],[opened_at]],"mmm yyyy")</f>
        <v>Mar 2025</v>
      </c>
      <c r="U1159">
        <f>YEAR(support_tickets[[#This Row],[opened_at]])*100+MONTH(support_tickets[[#This Row],[opened_at]])</f>
        <v>202503</v>
      </c>
      <c r="V1159" s="29">
        <f>DATE(YEAR(support_tickets[[#This Row],[opened_at]]),MONTH(support_tickets[[#This Row],[opened_at]]),1)</f>
        <v>45717</v>
      </c>
    </row>
    <row r="1160" spans="1:22">
      <c r="A1160">
        <v>5770287032</v>
      </c>
      <c r="B1160">
        <v>694018597</v>
      </c>
      <c r="C1160" t="s">
        <v>1168</v>
      </c>
      <c r="D1160" t="s">
        <v>1169</v>
      </c>
      <c r="E1160">
        <v>17774584</v>
      </c>
      <c r="F1160">
        <v>8621906659</v>
      </c>
      <c r="G1160" s="1">
        <v>45542.962824074071</v>
      </c>
      <c r="H1160" s="1">
        <v>45543.347546296296</v>
      </c>
      <c r="I1160" t="s">
        <v>52</v>
      </c>
      <c r="J1160" t="s">
        <v>38</v>
      </c>
      <c r="K1160" t="s">
        <v>47</v>
      </c>
      <c r="L1160" t="s">
        <v>21</v>
      </c>
      <c r="M1160">
        <v>44</v>
      </c>
      <c r="N1160">
        <v>554</v>
      </c>
      <c r="O1160">
        <v>0</v>
      </c>
      <c r="P1160" t="s">
        <v>40</v>
      </c>
      <c r="Q1160">
        <v>849</v>
      </c>
      <c r="R1160" t="s">
        <v>39</v>
      </c>
      <c r="S1160">
        <f>IF(support_tickets[[#This Row],[status_cleaned]]="closed",1,0)</f>
        <v>1</v>
      </c>
      <c r="T1160" t="str">
        <f>TEXT(support_tickets[[#This Row],[opened_at]],"mmm yyyy")</f>
        <v>Sep 2024</v>
      </c>
      <c r="U1160">
        <f>YEAR(support_tickets[[#This Row],[opened_at]])*100+MONTH(support_tickets[[#This Row],[opened_at]])</f>
        <v>202409</v>
      </c>
      <c r="V1160" s="29">
        <f>DATE(YEAR(support_tickets[[#This Row],[opened_at]]),MONTH(support_tickets[[#This Row],[opened_at]]),1)</f>
        <v>45536</v>
      </c>
    </row>
    <row r="1161" spans="1:22">
      <c r="A1161">
        <v>5779301737</v>
      </c>
      <c r="B1161">
        <v>253308283</v>
      </c>
      <c r="C1161" t="s">
        <v>614</v>
      </c>
      <c r="D1161" t="s">
        <v>615</v>
      </c>
      <c r="E1161">
        <v>12614124</v>
      </c>
      <c r="F1161">
        <v>1446939534</v>
      </c>
      <c r="G1161" s="1">
        <v>45385.189849537041</v>
      </c>
      <c r="H1161" s="1">
        <v>45385.544016203705</v>
      </c>
      <c r="I1161" t="s">
        <v>18</v>
      </c>
      <c r="J1161" t="s">
        <v>30</v>
      </c>
      <c r="K1161" t="s">
        <v>47</v>
      </c>
      <c r="L1161" t="s">
        <v>21</v>
      </c>
      <c r="M1161">
        <v>51</v>
      </c>
      <c r="N1161">
        <v>510</v>
      </c>
      <c r="O1161">
        <v>0</v>
      </c>
      <c r="P1161" t="s">
        <v>31</v>
      </c>
      <c r="Q1161">
        <v>853</v>
      </c>
      <c r="R1161" t="s">
        <v>39</v>
      </c>
      <c r="S1161">
        <f>IF(support_tickets[[#This Row],[status_cleaned]]="closed",1,0)</f>
        <v>1</v>
      </c>
      <c r="T1161" t="str">
        <f>TEXT(support_tickets[[#This Row],[opened_at]],"mmm yyyy")</f>
        <v>Apr 2024</v>
      </c>
      <c r="U1161">
        <f>YEAR(support_tickets[[#This Row],[opened_at]])*100+MONTH(support_tickets[[#This Row],[opened_at]])</f>
        <v>202404</v>
      </c>
      <c r="V1161" s="29">
        <f>DATE(YEAR(support_tickets[[#This Row],[opened_at]]),MONTH(support_tickets[[#This Row],[opened_at]]),1)</f>
        <v>45383</v>
      </c>
    </row>
    <row r="1162" spans="1:22">
      <c r="A1162">
        <v>5853407612</v>
      </c>
      <c r="B1162">
        <v>271784435</v>
      </c>
      <c r="C1162" t="s">
        <v>686</v>
      </c>
      <c r="D1162" t="s">
        <v>687</v>
      </c>
      <c r="E1162">
        <v>30513739</v>
      </c>
      <c r="F1162">
        <v>8206651996</v>
      </c>
      <c r="G1162" s="1">
        <v>45645.402511574073</v>
      </c>
      <c r="H1162" s="1">
        <v>45645.749039351853</v>
      </c>
      <c r="I1162" t="s">
        <v>46</v>
      </c>
      <c r="J1162" t="s">
        <v>86</v>
      </c>
      <c r="K1162" t="s">
        <v>47</v>
      </c>
      <c r="L1162" t="s">
        <v>21</v>
      </c>
      <c r="M1162">
        <v>47</v>
      </c>
      <c r="N1162">
        <v>499</v>
      </c>
      <c r="O1162">
        <v>0</v>
      </c>
      <c r="P1162" t="s">
        <v>87</v>
      </c>
      <c r="Q1162">
        <v>862</v>
      </c>
      <c r="R1162" t="s">
        <v>39</v>
      </c>
      <c r="S1162">
        <f>IF(support_tickets[[#This Row],[status_cleaned]]="closed",1,0)</f>
        <v>1</v>
      </c>
      <c r="T1162" t="str">
        <f>TEXT(support_tickets[[#This Row],[opened_at]],"mmm yyyy")</f>
        <v>Dec 2024</v>
      </c>
      <c r="U1162">
        <f>YEAR(support_tickets[[#This Row],[opened_at]])*100+MONTH(support_tickets[[#This Row],[opened_at]])</f>
        <v>202412</v>
      </c>
      <c r="V1162" s="29">
        <f>DATE(YEAR(support_tickets[[#This Row],[opened_at]]),MONTH(support_tickets[[#This Row],[opened_at]]),1)</f>
        <v>45627</v>
      </c>
    </row>
    <row r="1163" spans="1:22">
      <c r="A1163">
        <v>5872391496</v>
      </c>
      <c r="B1163">
        <v>636954564</v>
      </c>
      <c r="C1163" t="s">
        <v>1190</v>
      </c>
      <c r="D1163" t="s">
        <v>1191</v>
      </c>
      <c r="E1163">
        <v>77827638</v>
      </c>
      <c r="G1163" s="1">
        <v>45311.529733796298</v>
      </c>
      <c r="H1163" s="1">
        <v>45312.238761574074</v>
      </c>
      <c r="I1163" t="s">
        <v>46</v>
      </c>
      <c r="J1163" t="s">
        <v>38</v>
      </c>
      <c r="K1163" t="s">
        <v>47</v>
      </c>
      <c r="L1163" t="s">
        <v>21</v>
      </c>
      <c r="M1163">
        <v>23</v>
      </c>
      <c r="N1163">
        <v>1021</v>
      </c>
      <c r="O1163">
        <v>0</v>
      </c>
      <c r="P1163" t="s">
        <v>40</v>
      </c>
      <c r="Q1163">
        <v>866</v>
      </c>
      <c r="R1163" t="s">
        <v>39</v>
      </c>
      <c r="S1163">
        <f>IF(support_tickets[[#This Row],[status_cleaned]]="closed",1,0)</f>
        <v>1</v>
      </c>
      <c r="T1163" t="str">
        <f>TEXT(support_tickets[[#This Row],[opened_at]],"mmm yyyy")</f>
        <v>Jan 2024</v>
      </c>
      <c r="U1163">
        <f>YEAR(support_tickets[[#This Row],[opened_at]])*100+MONTH(support_tickets[[#This Row],[opened_at]])</f>
        <v>202401</v>
      </c>
      <c r="V1163" s="29">
        <f>DATE(YEAR(support_tickets[[#This Row],[opened_at]]),MONTH(support_tickets[[#This Row],[opened_at]]),1)</f>
        <v>45292</v>
      </c>
    </row>
    <row r="1164" spans="1:22">
      <c r="A1164">
        <v>5907901744</v>
      </c>
      <c r="B1164">
        <v>546270451</v>
      </c>
      <c r="C1164" t="s">
        <v>580</v>
      </c>
      <c r="D1164" t="s">
        <v>581</v>
      </c>
      <c r="E1164">
        <v>84252722</v>
      </c>
      <c r="G1164" s="1">
        <v>45298.36414351852</v>
      </c>
      <c r="H1164" s="1">
        <v>45298.734282407408</v>
      </c>
      <c r="I1164" t="s">
        <v>37</v>
      </c>
      <c r="J1164" t="s">
        <v>25</v>
      </c>
      <c r="K1164" t="s">
        <v>47</v>
      </c>
      <c r="L1164" t="s">
        <v>21</v>
      </c>
      <c r="M1164">
        <v>40</v>
      </c>
      <c r="N1164">
        <v>533</v>
      </c>
      <c r="O1164">
        <v>0</v>
      </c>
      <c r="P1164" t="s">
        <v>27</v>
      </c>
      <c r="Q1164">
        <v>875</v>
      </c>
      <c r="R1164" t="s">
        <v>39</v>
      </c>
      <c r="S1164">
        <f>IF(support_tickets[[#This Row],[status_cleaned]]="closed",1,0)</f>
        <v>1</v>
      </c>
      <c r="T1164" t="str">
        <f>TEXT(support_tickets[[#This Row],[opened_at]],"mmm yyyy")</f>
        <v>Jan 2024</v>
      </c>
      <c r="U1164">
        <f>YEAR(support_tickets[[#This Row],[opened_at]])*100+MONTH(support_tickets[[#This Row],[opened_at]])</f>
        <v>202401</v>
      </c>
      <c r="V1164" s="29">
        <f>DATE(YEAR(support_tickets[[#This Row],[opened_at]]),MONTH(support_tickets[[#This Row],[opened_at]]),1)</f>
        <v>45292</v>
      </c>
    </row>
    <row r="1165" spans="1:22">
      <c r="A1165">
        <v>5911579270</v>
      </c>
      <c r="B1165">
        <v>233654018</v>
      </c>
      <c r="C1165" t="s">
        <v>294</v>
      </c>
      <c r="D1165" t="s">
        <v>295</v>
      </c>
      <c r="E1165">
        <v>94374605</v>
      </c>
      <c r="G1165" s="1">
        <v>45563.732824074075</v>
      </c>
      <c r="H1165" s="1">
        <v>45564.161296296297</v>
      </c>
      <c r="I1165" t="s">
        <v>37</v>
      </c>
      <c r="J1165" t="s">
        <v>59</v>
      </c>
      <c r="K1165" t="s">
        <v>47</v>
      </c>
      <c r="L1165" t="s">
        <v>21</v>
      </c>
      <c r="M1165">
        <v>2</v>
      </c>
      <c r="N1165">
        <v>617</v>
      </c>
      <c r="O1165">
        <v>0</v>
      </c>
      <c r="P1165" t="s">
        <v>61</v>
      </c>
      <c r="Q1165">
        <v>876</v>
      </c>
      <c r="R1165" t="s">
        <v>39</v>
      </c>
      <c r="S1165">
        <f>IF(support_tickets[[#This Row],[status_cleaned]]="closed",1,0)</f>
        <v>1</v>
      </c>
      <c r="T1165" t="str">
        <f>TEXT(support_tickets[[#This Row],[opened_at]],"mmm yyyy")</f>
        <v>Sep 2024</v>
      </c>
      <c r="U1165">
        <f>YEAR(support_tickets[[#This Row],[opened_at]])*100+MONTH(support_tickets[[#This Row],[opened_at]])</f>
        <v>202409</v>
      </c>
      <c r="V1165" s="29">
        <f>DATE(YEAR(support_tickets[[#This Row],[opened_at]]),MONTH(support_tickets[[#This Row],[opened_at]]),1)</f>
        <v>45536</v>
      </c>
    </row>
    <row r="1166" spans="1:22">
      <c r="A1166">
        <v>5927294039</v>
      </c>
      <c r="B1166">
        <v>478918222</v>
      </c>
      <c r="C1166" t="s">
        <v>1132</v>
      </c>
      <c r="D1166" t="s">
        <v>1133</v>
      </c>
      <c r="E1166">
        <v>15831819</v>
      </c>
      <c r="F1166">
        <v>3217337132</v>
      </c>
      <c r="G1166" s="1">
        <v>45549.272604166668</v>
      </c>
      <c r="H1166" s="1">
        <v>45549.579548611109</v>
      </c>
      <c r="I1166" t="s">
        <v>3</v>
      </c>
      <c r="J1166" t="s">
        <v>38</v>
      </c>
      <c r="K1166" t="s">
        <v>47</v>
      </c>
      <c r="L1166" t="s">
        <v>21</v>
      </c>
      <c r="M1166">
        <v>20</v>
      </c>
      <c r="N1166">
        <v>442</v>
      </c>
      <c r="O1166">
        <v>0</v>
      </c>
      <c r="P1166" t="s">
        <v>40</v>
      </c>
      <c r="Q1166">
        <v>877</v>
      </c>
      <c r="R1166" t="s">
        <v>39</v>
      </c>
      <c r="S1166">
        <f>IF(support_tickets[[#This Row],[status_cleaned]]="closed",1,0)</f>
        <v>1</v>
      </c>
      <c r="T1166" t="str">
        <f>TEXT(support_tickets[[#This Row],[opened_at]],"mmm yyyy")</f>
        <v>Sep 2024</v>
      </c>
      <c r="U1166">
        <f>YEAR(support_tickets[[#This Row],[opened_at]])*100+MONTH(support_tickets[[#This Row],[opened_at]])</f>
        <v>202409</v>
      </c>
      <c r="V1166" s="29">
        <f>DATE(YEAR(support_tickets[[#This Row],[opened_at]]),MONTH(support_tickets[[#This Row],[opened_at]]),1)</f>
        <v>45536</v>
      </c>
    </row>
    <row r="1167" spans="1:22">
      <c r="A1167">
        <v>5965308273</v>
      </c>
      <c r="B1167">
        <v>523625992</v>
      </c>
      <c r="C1167" t="s">
        <v>78</v>
      </c>
      <c r="D1167" t="s">
        <v>79</v>
      </c>
      <c r="E1167">
        <v>52339391</v>
      </c>
      <c r="G1167" s="1">
        <v>45766.032789351855</v>
      </c>
      <c r="H1167" s="1">
        <v>45766.05431712963</v>
      </c>
      <c r="I1167" t="s">
        <v>56</v>
      </c>
      <c r="J1167" t="s">
        <v>86</v>
      </c>
      <c r="K1167" t="s">
        <v>47</v>
      </c>
      <c r="L1167" t="s">
        <v>21</v>
      </c>
      <c r="M1167">
        <v>26</v>
      </c>
      <c r="N1167">
        <v>31</v>
      </c>
      <c r="O1167">
        <v>0</v>
      </c>
      <c r="P1167" t="s">
        <v>87</v>
      </c>
      <c r="Q1167">
        <v>883</v>
      </c>
      <c r="R1167" t="s">
        <v>39</v>
      </c>
      <c r="S1167">
        <f>IF(support_tickets[[#This Row],[status_cleaned]]="closed",1,0)</f>
        <v>1</v>
      </c>
      <c r="T1167" t="str">
        <f>TEXT(support_tickets[[#This Row],[opened_at]],"mmm yyyy")</f>
        <v>Apr 2025</v>
      </c>
      <c r="U1167">
        <f>YEAR(support_tickets[[#This Row],[opened_at]])*100+MONTH(support_tickets[[#This Row],[opened_at]])</f>
        <v>202504</v>
      </c>
      <c r="V1167" s="29">
        <f>DATE(YEAR(support_tickets[[#This Row],[opened_at]]),MONTH(support_tickets[[#This Row],[opened_at]]),1)</f>
        <v>45748</v>
      </c>
    </row>
    <row r="1168" spans="1:22">
      <c r="A1168">
        <v>5969504517</v>
      </c>
      <c r="B1168">
        <v>768737754</v>
      </c>
      <c r="C1168" t="s">
        <v>622</v>
      </c>
      <c r="D1168" t="s">
        <v>623</v>
      </c>
      <c r="E1168">
        <v>75579548</v>
      </c>
      <c r="G1168" s="1">
        <v>45629.033391203702</v>
      </c>
      <c r="H1168" s="1">
        <v>45629.175752314812</v>
      </c>
      <c r="I1168" t="s">
        <v>18</v>
      </c>
      <c r="J1168" t="s">
        <v>38</v>
      </c>
      <c r="K1168" t="s">
        <v>47</v>
      </c>
      <c r="L1168" t="s">
        <v>21</v>
      </c>
      <c r="M1168">
        <v>67</v>
      </c>
      <c r="N1168">
        <v>205</v>
      </c>
      <c r="O1168">
        <v>0</v>
      </c>
      <c r="P1168" t="s">
        <v>40</v>
      </c>
      <c r="Q1168">
        <v>885</v>
      </c>
      <c r="R1168" t="s">
        <v>39</v>
      </c>
      <c r="S1168">
        <f>IF(support_tickets[[#This Row],[status_cleaned]]="closed",1,0)</f>
        <v>1</v>
      </c>
      <c r="T1168" t="str">
        <f>TEXT(support_tickets[[#This Row],[opened_at]],"mmm yyyy")</f>
        <v>Dec 2024</v>
      </c>
      <c r="U1168">
        <f>YEAR(support_tickets[[#This Row],[opened_at]])*100+MONTH(support_tickets[[#This Row],[opened_at]])</f>
        <v>202412</v>
      </c>
      <c r="V1168" s="29">
        <f>DATE(YEAR(support_tickets[[#This Row],[opened_at]]),MONTH(support_tickets[[#This Row],[opened_at]]),1)</f>
        <v>45627</v>
      </c>
    </row>
    <row r="1169" spans="1:22">
      <c r="A1169">
        <v>5980276724</v>
      </c>
      <c r="B1169">
        <v>495521185</v>
      </c>
      <c r="C1169" t="s">
        <v>1202</v>
      </c>
      <c r="D1169" t="s">
        <v>1203</v>
      </c>
      <c r="E1169">
        <v>60992979</v>
      </c>
      <c r="G1169" s="1">
        <v>45448.878657407404</v>
      </c>
      <c r="H1169" s="1">
        <v>45449.512685185182</v>
      </c>
      <c r="I1169" t="s">
        <v>52</v>
      </c>
      <c r="J1169" t="s">
        <v>86</v>
      </c>
      <c r="K1169" t="s">
        <v>47</v>
      </c>
      <c r="L1169" t="s">
        <v>21</v>
      </c>
      <c r="M1169">
        <v>45</v>
      </c>
      <c r="N1169">
        <v>913</v>
      </c>
      <c r="O1169">
        <v>0</v>
      </c>
      <c r="P1169" t="s">
        <v>87</v>
      </c>
      <c r="Q1169">
        <v>887</v>
      </c>
      <c r="R1169" t="s">
        <v>39</v>
      </c>
      <c r="S1169">
        <f>IF(support_tickets[[#This Row],[status_cleaned]]="closed",1,0)</f>
        <v>1</v>
      </c>
      <c r="T1169" t="str">
        <f>TEXT(support_tickets[[#This Row],[opened_at]],"mmm yyyy")</f>
        <v>Jun 2024</v>
      </c>
      <c r="U1169">
        <f>YEAR(support_tickets[[#This Row],[opened_at]])*100+MONTH(support_tickets[[#This Row],[opened_at]])</f>
        <v>202406</v>
      </c>
      <c r="V1169" s="29">
        <f>DATE(YEAR(support_tickets[[#This Row],[opened_at]]),MONTH(support_tickets[[#This Row],[opened_at]]),1)</f>
        <v>45444</v>
      </c>
    </row>
    <row r="1170" spans="1:22">
      <c r="A1170">
        <v>6055318806</v>
      </c>
      <c r="B1170">
        <v>442648079</v>
      </c>
      <c r="C1170" t="s">
        <v>1206</v>
      </c>
      <c r="D1170" t="s">
        <v>1207</v>
      </c>
      <c r="E1170">
        <v>99949389</v>
      </c>
      <c r="G1170" s="1">
        <v>45914.421157407407</v>
      </c>
      <c r="H1170" s="1">
        <v>45914.489212962966</v>
      </c>
      <c r="I1170" t="s">
        <v>18</v>
      </c>
      <c r="J1170" t="s">
        <v>19</v>
      </c>
      <c r="K1170" t="s">
        <v>47</v>
      </c>
      <c r="L1170" t="s">
        <v>21</v>
      </c>
      <c r="M1170">
        <v>36</v>
      </c>
      <c r="N1170">
        <v>98</v>
      </c>
      <c r="O1170">
        <v>0</v>
      </c>
      <c r="P1170" t="s">
        <v>22</v>
      </c>
      <c r="Q1170">
        <v>896</v>
      </c>
      <c r="R1170" t="s">
        <v>39</v>
      </c>
      <c r="S1170">
        <f>IF(support_tickets[[#This Row],[status_cleaned]]="closed",1,0)</f>
        <v>1</v>
      </c>
      <c r="T1170" t="str">
        <f>TEXT(support_tickets[[#This Row],[opened_at]],"mmm yyyy")</f>
        <v>Sep 2025</v>
      </c>
      <c r="U1170">
        <f>YEAR(support_tickets[[#This Row],[opened_at]])*100+MONTH(support_tickets[[#This Row],[opened_at]])</f>
        <v>202509</v>
      </c>
      <c r="V1170" s="29">
        <f>DATE(YEAR(support_tickets[[#This Row],[opened_at]]),MONTH(support_tickets[[#This Row],[opened_at]]),1)</f>
        <v>45901</v>
      </c>
    </row>
    <row r="1171" spans="1:22">
      <c r="A1171">
        <v>6073103831</v>
      </c>
      <c r="B1171">
        <v>208599066</v>
      </c>
      <c r="C1171" t="s">
        <v>122</v>
      </c>
      <c r="D1171" t="s">
        <v>123</v>
      </c>
      <c r="E1171">
        <v>42329237</v>
      </c>
      <c r="G1171" s="1">
        <v>45476.970381944448</v>
      </c>
      <c r="H1171" s="1">
        <v>45477.434965277775</v>
      </c>
      <c r="I1171" t="s">
        <v>52</v>
      </c>
      <c r="J1171" t="s">
        <v>30</v>
      </c>
      <c r="K1171" t="s">
        <v>47</v>
      </c>
      <c r="L1171" t="s">
        <v>21</v>
      </c>
      <c r="M1171">
        <v>38</v>
      </c>
      <c r="N1171">
        <v>669</v>
      </c>
      <c r="O1171">
        <v>0</v>
      </c>
      <c r="P1171" t="s">
        <v>31</v>
      </c>
      <c r="Q1171">
        <v>904</v>
      </c>
      <c r="R1171" t="s">
        <v>39</v>
      </c>
      <c r="S1171">
        <f>IF(support_tickets[[#This Row],[status_cleaned]]="closed",1,0)</f>
        <v>1</v>
      </c>
      <c r="T1171" t="str">
        <f>TEXT(support_tickets[[#This Row],[opened_at]],"mmm yyyy")</f>
        <v>Jul 2024</v>
      </c>
      <c r="U1171">
        <f>YEAR(support_tickets[[#This Row],[opened_at]])*100+MONTH(support_tickets[[#This Row],[opened_at]])</f>
        <v>202407</v>
      </c>
      <c r="V1171" s="29">
        <f>DATE(YEAR(support_tickets[[#This Row],[opened_at]]),MONTH(support_tickets[[#This Row],[opened_at]]),1)</f>
        <v>45474</v>
      </c>
    </row>
    <row r="1172" spans="1:22">
      <c r="A1172">
        <v>6139331578</v>
      </c>
      <c r="B1172">
        <v>831424323</v>
      </c>
      <c r="C1172" t="s">
        <v>882</v>
      </c>
      <c r="D1172" t="s">
        <v>883</v>
      </c>
      <c r="E1172">
        <v>99949389</v>
      </c>
      <c r="G1172" s="1">
        <v>45297.688483796293</v>
      </c>
      <c r="H1172" s="1">
        <v>45298.016261574077</v>
      </c>
      <c r="I1172" t="s">
        <v>52</v>
      </c>
      <c r="J1172" t="s">
        <v>59</v>
      </c>
      <c r="K1172" t="s">
        <v>47</v>
      </c>
      <c r="L1172" t="s">
        <v>21</v>
      </c>
      <c r="M1172">
        <v>3</v>
      </c>
      <c r="N1172">
        <v>472</v>
      </c>
      <c r="O1172">
        <v>0</v>
      </c>
      <c r="P1172" t="s">
        <v>61</v>
      </c>
      <c r="Q1172">
        <v>915</v>
      </c>
      <c r="R1172" t="s">
        <v>39</v>
      </c>
      <c r="S1172">
        <f>IF(support_tickets[[#This Row],[status_cleaned]]="closed",1,0)</f>
        <v>1</v>
      </c>
      <c r="T1172" t="str">
        <f>TEXT(support_tickets[[#This Row],[opened_at]],"mmm yyyy")</f>
        <v>Jan 2024</v>
      </c>
      <c r="U1172">
        <f>YEAR(support_tickets[[#This Row],[opened_at]])*100+MONTH(support_tickets[[#This Row],[opened_at]])</f>
        <v>202401</v>
      </c>
      <c r="V1172" s="29">
        <f>DATE(YEAR(support_tickets[[#This Row],[opened_at]]),MONTH(support_tickets[[#This Row],[opened_at]]),1)</f>
        <v>45292</v>
      </c>
    </row>
    <row r="1173" spans="1:22">
      <c r="A1173">
        <v>6160832745</v>
      </c>
      <c r="B1173">
        <v>369085407</v>
      </c>
      <c r="C1173" t="s">
        <v>1232</v>
      </c>
      <c r="D1173" t="s">
        <v>1233</v>
      </c>
      <c r="E1173">
        <v>32162965</v>
      </c>
      <c r="F1173">
        <v>6427666706</v>
      </c>
      <c r="G1173" s="1">
        <v>45367.205937500003</v>
      </c>
      <c r="H1173" s="1">
        <v>45367.54760416667</v>
      </c>
      <c r="I1173" t="s">
        <v>43</v>
      </c>
      <c r="J1173" t="s">
        <v>38</v>
      </c>
      <c r="K1173" t="s">
        <v>47</v>
      </c>
      <c r="L1173" t="s">
        <v>21</v>
      </c>
      <c r="M1173">
        <v>75</v>
      </c>
      <c r="N1173">
        <v>492</v>
      </c>
      <c r="O1173">
        <v>0</v>
      </c>
      <c r="P1173" t="s">
        <v>40</v>
      </c>
      <c r="Q1173">
        <v>919</v>
      </c>
      <c r="R1173" t="s">
        <v>39</v>
      </c>
      <c r="S1173">
        <f>IF(support_tickets[[#This Row],[status_cleaned]]="closed",1,0)</f>
        <v>1</v>
      </c>
      <c r="T1173" t="str">
        <f>TEXT(support_tickets[[#This Row],[opened_at]],"mmm yyyy")</f>
        <v>Mar 2024</v>
      </c>
      <c r="U1173">
        <f>YEAR(support_tickets[[#This Row],[opened_at]])*100+MONTH(support_tickets[[#This Row],[opened_at]])</f>
        <v>202403</v>
      </c>
      <c r="V1173" s="29">
        <f>DATE(YEAR(support_tickets[[#This Row],[opened_at]]),MONTH(support_tickets[[#This Row],[opened_at]]),1)</f>
        <v>45352</v>
      </c>
    </row>
    <row r="1174" spans="1:22">
      <c r="A1174">
        <v>6174309086</v>
      </c>
      <c r="B1174">
        <v>193133974</v>
      </c>
      <c r="C1174" t="s">
        <v>432</v>
      </c>
      <c r="D1174" t="s">
        <v>433</v>
      </c>
      <c r="E1174">
        <v>39476249</v>
      </c>
      <c r="F1174">
        <v>2431229740</v>
      </c>
      <c r="G1174" s="1">
        <v>45592.446585648147</v>
      </c>
      <c r="H1174" s="1">
        <v>45592.80978009259</v>
      </c>
      <c r="I1174" t="s">
        <v>43</v>
      </c>
      <c r="J1174" t="s">
        <v>59</v>
      </c>
      <c r="K1174" t="s">
        <v>47</v>
      </c>
      <c r="L1174" t="s">
        <v>21</v>
      </c>
      <c r="M1174">
        <v>53</v>
      </c>
      <c r="N1174">
        <v>523</v>
      </c>
      <c r="O1174">
        <v>0</v>
      </c>
      <c r="P1174" t="s">
        <v>61</v>
      </c>
      <c r="Q1174">
        <v>921</v>
      </c>
      <c r="R1174" t="s">
        <v>39</v>
      </c>
      <c r="S1174">
        <f>IF(support_tickets[[#This Row],[status_cleaned]]="closed",1,0)</f>
        <v>1</v>
      </c>
      <c r="T1174" t="str">
        <f>TEXT(support_tickets[[#This Row],[opened_at]],"mmm yyyy")</f>
        <v>Oct 2024</v>
      </c>
      <c r="U1174">
        <f>YEAR(support_tickets[[#This Row],[opened_at]])*100+MONTH(support_tickets[[#This Row],[opened_at]])</f>
        <v>202410</v>
      </c>
      <c r="V1174" s="29">
        <f>DATE(YEAR(support_tickets[[#This Row],[opened_at]]),MONTH(support_tickets[[#This Row],[opened_at]]),1)</f>
        <v>45566</v>
      </c>
    </row>
    <row r="1175" spans="1:22">
      <c r="A1175">
        <v>6235669481</v>
      </c>
      <c r="B1175">
        <v>581682167</v>
      </c>
      <c r="C1175" t="s">
        <v>1094</v>
      </c>
      <c r="D1175" t="s">
        <v>1095</v>
      </c>
      <c r="E1175">
        <v>72043515</v>
      </c>
      <c r="G1175" s="1">
        <v>45658.670925925922</v>
      </c>
      <c r="H1175" s="1">
        <v>45658.912592592591</v>
      </c>
      <c r="I1175" t="s">
        <v>3</v>
      </c>
      <c r="J1175" t="s">
        <v>25</v>
      </c>
      <c r="K1175" t="s">
        <v>47</v>
      </c>
      <c r="L1175" t="s">
        <v>21</v>
      </c>
      <c r="M1175">
        <v>76</v>
      </c>
      <c r="N1175">
        <v>348</v>
      </c>
      <c r="O1175">
        <v>0</v>
      </c>
      <c r="P1175" t="s">
        <v>27</v>
      </c>
      <c r="Q1175">
        <v>927</v>
      </c>
      <c r="R1175" t="s">
        <v>39</v>
      </c>
      <c r="S1175">
        <f>IF(support_tickets[[#This Row],[status_cleaned]]="closed",1,0)</f>
        <v>1</v>
      </c>
      <c r="T1175" t="str">
        <f>TEXT(support_tickets[[#This Row],[opened_at]],"mmm yyyy")</f>
        <v>Jan 2025</v>
      </c>
      <c r="U1175">
        <f>YEAR(support_tickets[[#This Row],[opened_at]])*100+MONTH(support_tickets[[#This Row],[opened_at]])</f>
        <v>202501</v>
      </c>
      <c r="V1175" s="29">
        <f>DATE(YEAR(support_tickets[[#This Row],[opened_at]]),MONTH(support_tickets[[#This Row],[opened_at]]),1)</f>
        <v>45658</v>
      </c>
    </row>
    <row r="1176" spans="1:22">
      <c r="A1176">
        <v>6241468593</v>
      </c>
      <c r="B1176">
        <v>356805216</v>
      </c>
      <c r="C1176" t="s">
        <v>538</v>
      </c>
      <c r="D1176" t="s">
        <v>539</v>
      </c>
      <c r="E1176">
        <v>80823176</v>
      </c>
      <c r="G1176" s="1">
        <v>45466.376562500001</v>
      </c>
      <c r="H1176" s="1">
        <v>45466.725868055553</v>
      </c>
      <c r="I1176" t="s">
        <v>37</v>
      </c>
      <c r="J1176" t="s">
        <v>59</v>
      </c>
      <c r="K1176" t="s">
        <v>47</v>
      </c>
      <c r="L1176" t="s">
        <v>21</v>
      </c>
      <c r="M1176">
        <v>37</v>
      </c>
      <c r="N1176">
        <v>503</v>
      </c>
      <c r="O1176">
        <v>0</v>
      </c>
      <c r="P1176" t="s">
        <v>61</v>
      </c>
      <c r="Q1176">
        <v>929</v>
      </c>
      <c r="R1176" t="s">
        <v>39</v>
      </c>
      <c r="S1176">
        <f>IF(support_tickets[[#This Row],[status_cleaned]]="closed",1,0)</f>
        <v>1</v>
      </c>
      <c r="T1176" t="str">
        <f>TEXT(support_tickets[[#This Row],[opened_at]],"mmm yyyy")</f>
        <v>Jun 2024</v>
      </c>
      <c r="U1176">
        <f>YEAR(support_tickets[[#This Row],[opened_at]])*100+MONTH(support_tickets[[#This Row],[opened_at]])</f>
        <v>202406</v>
      </c>
      <c r="V1176" s="29">
        <f>DATE(YEAR(support_tickets[[#This Row],[opened_at]]),MONTH(support_tickets[[#This Row],[opened_at]]),1)</f>
        <v>45444</v>
      </c>
    </row>
    <row r="1177" spans="1:22">
      <c r="A1177">
        <v>6262297731</v>
      </c>
      <c r="B1177">
        <v>423358638</v>
      </c>
      <c r="C1177" t="s">
        <v>658</v>
      </c>
      <c r="D1177" t="s">
        <v>659</v>
      </c>
      <c r="E1177">
        <v>76238574</v>
      </c>
      <c r="G1177" s="1">
        <v>46097.713761574072</v>
      </c>
      <c r="H1177" s="1">
        <v>46097.817233796297</v>
      </c>
      <c r="I1177" t="s">
        <v>3</v>
      </c>
      <c r="J1177" t="s">
        <v>86</v>
      </c>
      <c r="K1177" t="s">
        <v>47</v>
      </c>
      <c r="L1177" t="s">
        <v>21</v>
      </c>
      <c r="M1177">
        <v>58</v>
      </c>
      <c r="N1177">
        <v>149</v>
      </c>
      <c r="O1177">
        <v>0</v>
      </c>
      <c r="P1177" t="s">
        <v>87</v>
      </c>
      <c r="Q1177">
        <v>932</v>
      </c>
      <c r="R1177" t="s">
        <v>39</v>
      </c>
      <c r="S1177">
        <f>IF(support_tickets[[#This Row],[status_cleaned]]="closed",1,0)</f>
        <v>1</v>
      </c>
      <c r="T1177" t="str">
        <f>TEXT(support_tickets[[#This Row],[opened_at]],"mmm yyyy")</f>
        <v>Mar 2026</v>
      </c>
      <c r="U1177">
        <f>YEAR(support_tickets[[#This Row],[opened_at]])*100+MONTH(support_tickets[[#This Row],[opened_at]])</f>
        <v>202603</v>
      </c>
      <c r="V1177" s="29">
        <f>DATE(YEAR(support_tickets[[#This Row],[opened_at]]),MONTH(support_tickets[[#This Row],[opened_at]]),1)</f>
        <v>46082</v>
      </c>
    </row>
    <row r="1178" spans="1:22">
      <c r="A1178">
        <v>6296431102</v>
      </c>
      <c r="B1178">
        <v>893158610</v>
      </c>
      <c r="C1178" t="s">
        <v>1250</v>
      </c>
      <c r="D1178" t="s">
        <v>1251</v>
      </c>
      <c r="E1178">
        <v>94214382</v>
      </c>
      <c r="G1178" s="1">
        <v>45756.54042824074</v>
      </c>
      <c r="H1178" s="1">
        <v>45756.655706018515</v>
      </c>
      <c r="I1178" t="s">
        <v>43</v>
      </c>
      <c r="J1178" t="s">
        <v>59</v>
      </c>
      <c r="K1178" t="s">
        <v>47</v>
      </c>
      <c r="L1178" t="s">
        <v>21</v>
      </c>
      <c r="M1178">
        <v>38</v>
      </c>
      <c r="N1178">
        <v>166</v>
      </c>
      <c r="O1178">
        <v>0</v>
      </c>
      <c r="P1178" t="s">
        <v>61</v>
      </c>
      <c r="Q1178">
        <v>939</v>
      </c>
      <c r="R1178" t="s">
        <v>39</v>
      </c>
      <c r="S1178">
        <f>IF(support_tickets[[#This Row],[status_cleaned]]="closed",1,0)</f>
        <v>1</v>
      </c>
      <c r="T1178" t="str">
        <f>TEXT(support_tickets[[#This Row],[opened_at]],"mmm yyyy")</f>
        <v>Apr 2025</v>
      </c>
      <c r="U1178">
        <f>YEAR(support_tickets[[#This Row],[opened_at]])*100+MONTH(support_tickets[[#This Row],[opened_at]])</f>
        <v>202504</v>
      </c>
      <c r="V1178" s="29">
        <f>DATE(YEAR(support_tickets[[#This Row],[opened_at]]),MONTH(support_tickets[[#This Row],[opened_at]]),1)</f>
        <v>45748</v>
      </c>
    </row>
    <row r="1179" spans="1:22">
      <c r="A1179">
        <v>6370353498</v>
      </c>
      <c r="B1179">
        <v>480412754</v>
      </c>
      <c r="C1179" t="s">
        <v>314</v>
      </c>
      <c r="D1179" t="s">
        <v>315</v>
      </c>
      <c r="E1179">
        <v>43101783</v>
      </c>
      <c r="G1179" s="1">
        <v>45439.322083333333</v>
      </c>
      <c r="H1179" s="1">
        <v>45439.597777777781</v>
      </c>
      <c r="I1179" t="s">
        <v>43</v>
      </c>
      <c r="J1179" t="s">
        <v>38</v>
      </c>
      <c r="K1179" t="s">
        <v>47</v>
      </c>
      <c r="L1179" t="s">
        <v>21</v>
      </c>
      <c r="M1179">
        <v>42</v>
      </c>
      <c r="N1179">
        <v>397</v>
      </c>
      <c r="O1179">
        <v>0</v>
      </c>
      <c r="P1179" t="s">
        <v>40</v>
      </c>
      <c r="Q1179">
        <v>953</v>
      </c>
      <c r="R1179" t="s">
        <v>39</v>
      </c>
      <c r="S1179">
        <f>IF(support_tickets[[#This Row],[status_cleaned]]="closed",1,0)</f>
        <v>1</v>
      </c>
      <c r="T1179" t="str">
        <f>TEXT(support_tickets[[#This Row],[opened_at]],"mmm yyyy")</f>
        <v>May 2024</v>
      </c>
      <c r="U1179">
        <f>YEAR(support_tickets[[#This Row],[opened_at]])*100+MONTH(support_tickets[[#This Row],[opened_at]])</f>
        <v>202405</v>
      </c>
      <c r="V1179" s="29">
        <f>DATE(YEAR(support_tickets[[#This Row],[opened_at]]),MONTH(support_tickets[[#This Row],[opened_at]]),1)</f>
        <v>45413</v>
      </c>
    </row>
    <row r="1180" spans="1:22">
      <c r="A1180">
        <v>6380145199</v>
      </c>
      <c r="B1180">
        <v>881155839</v>
      </c>
      <c r="C1180" t="s">
        <v>1262</v>
      </c>
      <c r="D1180" t="s">
        <v>1263</v>
      </c>
      <c r="E1180">
        <v>22981052</v>
      </c>
      <c r="G1180" s="1">
        <v>45354.53702546296</v>
      </c>
      <c r="H1180" s="1">
        <v>45354.623831018522</v>
      </c>
      <c r="I1180" t="s">
        <v>46</v>
      </c>
      <c r="J1180" t="s">
        <v>30</v>
      </c>
      <c r="K1180" t="s">
        <v>47</v>
      </c>
      <c r="L1180" t="s">
        <v>21</v>
      </c>
      <c r="M1180">
        <v>61</v>
      </c>
      <c r="N1180">
        <v>125</v>
      </c>
      <c r="O1180">
        <v>0</v>
      </c>
      <c r="P1180" t="s">
        <v>31</v>
      </c>
      <c r="Q1180">
        <v>956</v>
      </c>
      <c r="R1180" t="s">
        <v>39</v>
      </c>
      <c r="S1180">
        <f>IF(support_tickets[[#This Row],[status_cleaned]]="closed",1,0)</f>
        <v>1</v>
      </c>
      <c r="T1180" t="str">
        <f>TEXT(support_tickets[[#This Row],[opened_at]],"mmm yyyy")</f>
        <v>Mar 2024</v>
      </c>
      <c r="U1180">
        <f>YEAR(support_tickets[[#This Row],[opened_at]])*100+MONTH(support_tickets[[#This Row],[opened_at]])</f>
        <v>202403</v>
      </c>
      <c r="V1180" s="29">
        <f>DATE(YEAR(support_tickets[[#This Row],[opened_at]]),MONTH(support_tickets[[#This Row],[opened_at]]),1)</f>
        <v>45352</v>
      </c>
    </row>
    <row r="1181" spans="1:22">
      <c r="A1181">
        <v>6398066617</v>
      </c>
      <c r="B1181">
        <v>288000513</v>
      </c>
      <c r="C1181" t="s">
        <v>1112</v>
      </c>
      <c r="D1181" t="s">
        <v>1113</v>
      </c>
      <c r="E1181">
        <v>38317637</v>
      </c>
      <c r="F1181">
        <v>5513609342</v>
      </c>
      <c r="G1181" s="1">
        <v>45432.677789351852</v>
      </c>
      <c r="H1181" s="1">
        <v>45432.993067129632</v>
      </c>
      <c r="I1181" t="s">
        <v>43</v>
      </c>
      <c r="J1181" t="s">
        <v>19</v>
      </c>
      <c r="K1181" t="s">
        <v>47</v>
      </c>
      <c r="L1181" t="s">
        <v>21</v>
      </c>
      <c r="M1181">
        <v>63</v>
      </c>
      <c r="N1181">
        <v>454</v>
      </c>
      <c r="O1181">
        <v>0</v>
      </c>
      <c r="P1181" t="s">
        <v>22</v>
      </c>
      <c r="Q1181">
        <v>960</v>
      </c>
      <c r="R1181" t="s">
        <v>39</v>
      </c>
      <c r="S1181">
        <f>IF(support_tickets[[#This Row],[status_cleaned]]="closed",1,0)</f>
        <v>1</v>
      </c>
      <c r="T1181" t="str">
        <f>TEXT(support_tickets[[#This Row],[opened_at]],"mmm yyyy")</f>
        <v>May 2024</v>
      </c>
      <c r="U1181">
        <f>YEAR(support_tickets[[#This Row],[opened_at]])*100+MONTH(support_tickets[[#This Row],[opened_at]])</f>
        <v>202405</v>
      </c>
      <c r="V1181" s="29">
        <f>DATE(YEAR(support_tickets[[#This Row],[opened_at]]),MONTH(support_tickets[[#This Row],[opened_at]]),1)</f>
        <v>45413</v>
      </c>
    </row>
    <row r="1182" spans="1:22">
      <c r="A1182">
        <v>6413591995</v>
      </c>
      <c r="B1182">
        <v>676267306</v>
      </c>
      <c r="C1182" t="s">
        <v>1268</v>
      </c>
      <c r="D1182" t="s">
        <v>1269</v>
      </c>
      <c r="E1182">
        <v>72043515</v>
      </c>
      <c r="G1182" s="1">
        <v>45477.667002314818</v>
      </c>
      <c r="H1182" s="1">
        <v>45477.946863425925</v>
      </c>
      <c r="I1182" t="s">
        <v>3</v>
      </c>
      <c r="J1182" t="s">
        <v>30</v>
      </c>
      <c r="K1182" t="s">
        <v>47</v>
      </c>
      <c r="L1182" t="s">
        <v>21</v>
      </c>
      <c r="M1182">
        <v>80</v>
      </c>
      <c r="N1182">
        <v>403</v>
      </c>
      <c r="O1182">
        <v>0</v>
      </c>
      <c r="P1182" t="s">
        <v>31</v>
      </c>
      <c r="Q1182">
        <v>964</v>
      </c>
      <c r="R1182" t="s">
        <v>39</v>
      </c>
      <c r="S1182">
        <f>IF(support_tickets[[#This Row],[status_cleaned]]="closed",1,0)</f>
        <v>1</v>
      </c>
      <c r="T1182" t="str">
        <f>TEXT(support_tickets[[#This Row],[opened_at]],"mmm yyyy")</f>
        <v>Jul 2024</v>
      </c>
      <c r="U1182">
        <f>YEAR(support_tickets[[#This Row],[opened_at]])*100+MONTH(support_tickets[[#This Row],[opened_at]])</f>
        <v>202407</v>
      </c>
      <c r="V1182" s="29">
        <f>DATE(YEAR(support_tickets[[#This Row],[opened_at]]),MONTH(support_tickets[[#This Row],[opened_at]]),1)</f>
        <v>45474</v>
      </c>
    </row>
    <row r="1183" spans="1:22">
      <c r="A1183">
        <v>6434083257</v>
      </c>
      <c r="B1183">
        <v>695016134</v>
      </c>
      <c r="C1183" t="s">
        <v>1270</v>
      </c>
      <c r="D1183" t="s">
        <v>1271</v>
      </c>
      <c r="E1183">
        <v>81498611</v>
      </c>
      <c r="F1183">
        <v>9667651430</v>
      </c>
      <c r="G1183" s="1">
        <v>45877.645138888889</v>
      </c>
      <c r="H1183" s="1">
        <v>45877.8125</v>
      </c>
      <c r="I1183" t="s">
        <v>43</v>
      </c>
      <c r="J1183" t="s">
        <v>19</v>
      </c>
      <c r="K1183" t="s">
        <v>47</v>
      </c>
      <c r="L1183" t="s">
        <v>21</v>
      </c>
      <c r="M1183">
        <v>43</v>
      </c>
      <c r="N1183">
        <v>241</v>
      </c>
      <c r="O1183">
        <v>0</v>
      </c>
      <c r="P1183" t="s">
        <v>22</v>
      </c>
      <c r="Q1183">
        <v>965</v>
      </c>
      <c r="R1183" t="s">
        <v>39</v>
      </c>
      <c r="S1183">
        <f>IF(support_tickets[[#This Row],[status_cleaned]]="closed",1,0)</f>
        <v>1</v>
      </c>
      <c r="T1183" t="str">
        <f>TEXT(support_tickets[[#This Row],[opened_at]],"mmm yyyy")</f>
        <v>Aug 2025</v>
      </c>
      <c r="U1183">
        <f>YEAR(support_tickets[[#This Row],[opened_at]])*100+MONTH(support_tickets[[#This Row],[opened_at]])</f>
        <v>202508</v>
      </c>
      <c r="V1183" s="29">
        <f>DATE(YEAR(support_tickets[[#This Row],[opened_at]]),MONTH(support_tickets[[#This Row],[opened_at]]),1)</f>
        <v>45870</v>
      </c>
    </row>
    <row r="1184" spans="1:22">
      <c r="A1184">
        <v>6460522214</v>
      </c>
      <c r="B1184">
        <v>605288784</v>
      </c>
      <c r="C1184" t="s">
        <v>1138</v>
      </c>
      <c r="D1184" t="s">
        <v>1139</v>
      </c>
      <c r="E1184">
        <v>41227216</v>
      </c>
      <c r="G1184" s="1">
        <v>45411.15861111111</v>
      </c>
      <c r="H1184" s="1">
        <v>45411.512083333335</v>
      </c>
      <c r="I1184" t="s">
        <v>52</v>
      </c>
      <c r="J1184" t="s">
        <v>19</v>
      </c>
      <c r="K1184" t="s">
        <v>47</v>
      </c>
      <c r="L1184" t="s">
        <v>21</v>
      </c>
      <c r="M1184">
        <v>57</v>
      </c>
      <c r="N1184">
        <v>509</v>
      </c>
      <c r="O1184">
        <v>0</v>
      </c>
      <c r="P1184" t="s">
        <v>22</v>
      </c>
      <c r="Q1184">
        <v>971</v>
      </c>
      <c r="R1184" t="s">
        <v>39</v>
      </c>
      <c r="S1184">
        <f>IF(support_tickets[[#This Row],[status_cleaned]]="closed",1,0)</f>
        <v>1</v>
      </c>
      <c r="T1184" t="str">
        <f>TEXT(support_tickets[[#This Row],[opened_at]],"mmm yyyy")</f>
        <v>Apr 2024</v>
      </c>
      <c r="U1184">
        <f>YEAR(support_tickets[[#This Row],[opened_at]])*100+MONTH(support_tickets[[#This Row],[opened_at]])</f>
        <v>202404</v>
      </c>
      <c r="V1184" s="29">
        <f>DATE(YEAR(support_tickets[[#This Row],[opened_at]]),MONTH(support_tickets[[#This Row],[opened_at]]),1)</f>
        <v>45383</v>
      </c>
    </row>
    <row r="1185" spans="1:22">
      <c r="A1185">
        <v>6498979427</v>
      </c>
      <c r="B1185">
        <v>685698675</v>
      </c>
      <c r="C1185" t="s">
        <v>1278</v>
      </c>
      <c r="D1185" t="s">
        <v>1279</v>
      </c>
      <c r="E1185">
        <v>22575562</v>
      </c>
      <c r="F1185">
        <v>5993358302</v>
      </c>
      <c r="G1185" s="1">
        <v>45843.588854166665</v>
      </c>
      <c r="H1185" s="1">
        <v>45844.075659722221</v>
      </c>
      <c r="I1185" t="s">
        <v>56</v>
      </c>
      <c r="J1185" t="s">
        <v>86</v>
      </c>
      <c r="K1185" t="s">
        <v>47</v>
      </c>
      <c r="L1185" t="s">
        <v>21</v>
      </c>
      <c r="M1185">
        <v>68</v>
      </c>
      <c r="N1185">
        <v>701</v>
      </c>
      <c r="O1185">
        <v>0</v>
      </c>
      <c r="P1185" t="s">
        <v>87</v>
      </c>
      <c r="Q1185">
        <v>974</v>
      </c>
      <c r="R1185" t="s">
        <v>39</v>
      </c>
      <c r="S1185">
        <f>IF(support_tickets[[#This Row],[status_cleaned]]="closed",1,0)</f>
        <v>1</v>
      </c>
      <c r="T1185" t="str">
        <f>TEXT(support_tickets[[#This Row],[opened_at]],"mmm yyyy")</f>
        <v>Jul 2025</v>
      </c>
      <c r="U1185">
        <f>YEAR(support_tickets[[#This Row],[opened_at]])*100+MONTH(support_tickets[[#This Row],[opened_at]])</f>
        <v>202507</v>
      </c>
      <c r="V1185" s="29">
        <f>DATE(YEAR(support_tickets[[#This Row],[opened_at]]),MONTH(support_tickets[[#This Row],[opened_at]]),1)</f>
        <v>45839</v>
      </c>
    </row>
    <row r="1186" spans="1:22">
      <c r="A1186">
        <v>6543950854</v>
      </c>
      <c r="B1186">
        <v>741288486</v>
      </c>
      <c r="C1186" t="s">
        <v>726</v>
      </c>
      <c r="D1186" t="s">
        <v>727</v>
      </c>
      <c r="E1186">
        <v>30868105</v>
      </c>
      <c r="G1186" s="1">
        <v>46054.951192129629</v>
      </c>
      <c r="H1186" s="1">
        <v>46055.161608796298</v>
      </c>
      <c r="I1186" t="s">
        <v>3</v>
      </c>
      <c r="J1186" t="s">
        <v>30</v>
      </c>
      <c r="K1186" t="s">
        <v>47</v>
      </c>
      <c r="L1186" t="s">
        <v>21</v>
      </c>
      <c r="M1186">
        <v>6</v>
      </c>
      <c r="N1186">
        <v>303</v>
      </c>
      <c r="O1186">
        <v>0</v>
      </c>
      <c r="P1186" t="s">
        <v>31</v>
      </c>
      <c r="Q1186">
        <v>978</v>
      </c>
      <c r="R1186" t="s">
        <v>39</v>
      </c>
      <c r="S1186">
        <f>IF(support_tickets[[#This Row],[status_cleaned]]="closed",1,0)</f>
        <v>1</v>
      </c>
      <c r="T1186" t="str">
        <f>TEXT(support_tickets[[#This Row],[opened_at]],"mmm yyyy")</f>
        <v>Feb 2026</v>
      </c>
      <c r="U1186">
        <f>YEAR(support_tickets[[#This Row],[opened_at]])*100+MONTH(support_tickets[[#This Row],[opened_at]])</f>
        <v>202602</v>
      </c>
      <c r="V1186" s="29">
        <f>DATE(YEAR(support_tickets[[#This Row],[opened_at]]),MONTH(support_tickets[[#This Row],[opened_at]]),1)</f>
        <v>46054</v>
      </c>
    </row>
    <row r="1187" spans="1:22">
      <c r="A1187">
        <v>6635240019</v>
      </c>
      <c r="B1187">
        <v>411612760</v>
      </c>
      <c r="C1187" t="s">
        <v>1290</v>
      </c>
      <c r="D1187" t="s">
        <v>1291</v>
      </c>
      <c r="E1187">
        <v>63551839</v>
      </c>
      <c r="G1187" s="1">
        <v>45718.999722222223</v>
      </c>
      <c r="H1187" s="1">
        <v>45719.062916666669</v>
      </c>
      <c r="I1187" t="s">
        <v>3</v>
      </c>
      <c r="J1187" t="s">
        <v>86</v>
      </c>
      <c r="K1187" t="s">
        <v>47</v>
      </c>
      <c r="L1187" t="s">
        <v>21</v>
      </c>
      <c r="M1187">
        <v>22</v>
      </c>
      <c r="N1187">
        <v>91</v>
      </c>
      <c r="O1187">
        <v>0</v>
      </c>
      <c r="P1187" t="s">
        <v>87</v>
      </c>
      <c r="Q1187">
        <v>989</v>
      </c>
      <c r="R1187" t="s">
        <v>39</v>
      </c>
      <c r="S1187">
        <f>IF(support_tickets[[#This Row],[status_cleaned]]="closed",1,0)</f>
        <v>1</v>
      </c>
      <c r="T1187" t="str">
        <f>TEXT(support_tickets[[#This Row],[opened_at]],"mmm yyyy")</f>
        <v>Mar 2025</v>
      </c>
      <c r="U1187">
        <f>YEAR(support_tickets[[#This Row],[opened_at]])*100+MONTH(support_tickets[[#This Row],[opened_at]])</f>
        <v>202503</v>
      </c>
      <c r="V1187" s="29">
        <f>DATE(YEAR(support_tickets[[#This Row],[opened_at]]),MONTH(support_tickets[[#This Row],[opened_at]]),1)</f>
        <v>45717</v>
      </c>
    </row>
    <row r="1188" spans="1:22">
      <c r="A1188">
        <v>6654463618</v>
      </c>
      <c r="B1188">
        <v>318927025</v>
      </c>
      <c r="C1188" t="s">
        <v>1292</v>
      </c>
      <c r="D1188" t="s">
        <v>1293</v>
      </c>
      <c r="E1188">
        <v>45264581</v>
      </c>
      <c r="F1188">
        <v>9682559090</v>
      </c>
      <c r="G1188" s="1">
        <v>46048.828356481485</v>
      </c>
      <c r="H1188" s="1">
        <v>46049.090162037035</v>
      </c>
      <c r="I1188" t="s">
        <v>46</v>
      </c>
      <c r="J1188" t="s">
        <v>19</v>
      </c>
      <c r="K1188" t="s">
        <v>47</v>
      </c>
      <c r="L1188" t="s">
        <v>21</v>
      </c>
      <c r="M1188">
        <v>27</v>
      </c>
      <c r="N1188">
        <v>377</v>
      </c>
      <c r="O1188">
        <v>0</v>
      </c>
      <c r="P1188" t="s">
        <v>22</v>
      </c>
      <c r="Q1188">
        <v>991</v>
      </c>
      <c r="R1188" t="s">
        <v>39</v>
      </c>
      <c r="S1188">
        <f>IF(support_tickets[[#This Row],[status_cleaned]]="closed",1,0)</f>
        <v>1</v>
      </c>
      <c r="T1188" t="str">
        <f>TEXT(support_tickets[[#This Row],[opened_at]],"mmm yyyy")</f>
        <v>Jan 2026</v>
      </c>
      <c r="U1188">
        <f>YEAR(support_tickets[[#This Row],[opened_at]])*100+MONTH(support_tickets[[#This Row],[opened_at]])</f>
        <v>202601</v>
      </c>
      <c r="V1188" s="29">
        <f>DATE(YEAR(support_tickets[[#This Row],[opened_at]]),MONTH(support_tickets[[#This Row],[opened_at]]),1)</f>
        <v>46023</v>
      </c>
    </row>
    <row r="1189" spans="1:22">
      <c r="A1189">
        <v>6669602939</v>
      </c>
      <c r="B1189">
        <v>874305759</v>
      </c>
      <c r="C1189" t="s">
        <v>1296</v>
      </c>
      <c r="D1189" t="s">
        <v>1297</v>
      </c>
      <c r="E1189">
        <v>45833156</v>
      </c>
      <c r="G1189" s="1">
        <v>45823.13821759259</v>
      </c>
      <c r="H1189" s="1">
        <v>45823.369467592594</v>
      </c>
      <c r="I1189" t="s">
        <v>52</v>
      </c>
      <c r="J1189" t="s">
        <v>30</v>
      </c>
      <c r="K1189" t="s">
        <v>47</v>
      </c>
      <c r="L1189" t="s">
        <v>21</v>
      </c>
      <c r="M1189">
        <v>50</v>
      </c>
      <c r="N1189">
        <v>333</v>
      </c>
      <c r="O1189">
        <v>0</v>
      </c>
      <c r="P1189" t="s">
        <v>31</v>
      </c>
      <c r="Q1189">
        <v>993</v>
      </c>
      <c r="R1189" t="s">
        <v>39</v>
      </c>
      <c r="S1189">
        <f>IF(support_tickets[[#This Row],[status_cleaned]]="closed",1,0)</f>
        <v>1</v>
      </c>
      <c r="T1189" t="str">
        <f>TEXT(support_tickets[[#This Row],[opened_at]],"mmm yyyy")</f>
        <v>Jun 2025</v>
      </c>
      <c r="U1189">
        <f>YEAR(support_tickets[[#This Row],[opened_at]])*100+MONTH(support_tickets[[#This Row],[opened_at]])</f>
        <v>202506</v>
      </c>
      <c r="V1189" s="29">
        <f>DATE(YEAR(support_tickets[[#This Row],[opened_at]]),MONTH(support_tickets[[#This Row],[opened_at]]),1)</f>
        <v>45809</v>
      </c>
    </row>
    <row r="1190" spans="1:22">
      <c r="A1190">
        <v>6693753548</v>
      </c>
      <c r="B1190">
        <v>416779880</v>
      </c>
      <c r="C1190" t="s">
        <v>710</v>
      </c>
      <c r="D1190" t="s">
        <v>711</v>
      </c>
      <c r="E1190">
        <v>41227216</v>
      </c>
      <c r="G1190" s="1">
        <v>45608.161458333336</v>
      </c>
      <c r="H1190" s="1">
        <v>45608.508680555555</v>
      </c>
      <c r="I1190" t="s">
        <v>18</v>
      </c>
      <c r="J1190" t="s">
        <v>19</v>
      </c>
      <c r="K1190" t="s">
        <v>47</v>
      </c>
      <c r="L1190" t="s">
        <v>21</v>
      </c>
      <c r="M1190">
        <v>56</v>
      </c>
      <c r="N1190">
        <v>500</v>
      </c>
      <c r="O1190">
        <v>0</v>
      </c>
      <c r="P1190" t="s">
        <v>22</v>
      </c>
      <c r="Q1190">
        <v>998</v>
      </c>
      <c r="R1190" t="s">
        <v>39</v>
      </c>
      <c r="S1190">
        <f>IF(support_tickets[[#This Row],[status_cleaned]]="closed",1,0)</f>
        <v>1</v>
      </c>
      <c r="T1190" t="str">
        <f>TEXT(support_tickets[[#This Row],[opened_at]],"mmm yyyy")</f>
        <v>Nov 2024</v>
      </c>
      <c r="U1190">
        <f>YEAR(support_tickets[[#This Row],[opened_at]])*100+MONTH(support_tickets[[#This Row],[opened_at]])</f>
        <v>202411</v>
      </c>
      <c r="V1190" s="29">
        <f>DATE(YEAR(support_tickets[[#This Row],[opened_at]]),MONTH(support_tickets[[#This Row],[opened_at]]),1)</f>
        <v>45597</v>
      </c>
    </row>
    <row r="1191" spans="1:22">
      <c r="A1191">
        <v>6778236202</v>
      </c>
      <c r="B1191">
        <v>426551245</v>
      </c>
      <c r="C1191" t="s">
        <v>562</v>
      </c>
      <c r="D1191" t="s">
        <v>563</v>
      </c>
      <c r="E1191">
        <v>63843426</v>
      </c>
      <c r="F1191">
        <v>8607593563</v>
      </c>
      <c r="G1191" s="1">
        <v>45683.487893518519</v>
      </c>
      <c r="H1191" s="1">
        <v>45683.687199074076</v>
      </c>
      <c r="I1191" t="s">
        <v>43</v>
      </c>
      <c r="J1191" t="s">
        <v>86</v>
      </c>
      <c r="K1191" t="s">
        <v>47</v>
      </c>
      <c r="L1191" t="s">
        <v>21</v>
      </c>
      <c r="M1191">
        <v>23</v>
      </c>
      <c r="N1191">
        <v>287</v>
      </c>
      <c r="O1191">
        <v>0</v>
      </c>
      <c r="P1191" t="s">
        <v>87</v>
      </c>
      <c r="Q1191">
        <v>1006</v>
      </c>
      <c r="R1191" t="s">
        <v>39</v>
      </c>
      <c r="S1191">
        <f>IF(support_tickets[[#This Row],[status_cleaned]]="closed",1,0)</f>
        <v>1</v>
      </c>
      <c r="T1191" t="str">
        <f>TEXT(support_tickets[[#This Row],[opened_at]],"mmm yyyy")</f>
        <v>Jan 2025</v>
      </c>
      <c r="U1191">
        <f>YEAR(support_tickets[[#This Row],[opened_at]])*100+MONTH(support_tickets[[#This Row],[opened_at]])</f>
        <v>202501</v>
      </c>
      <c r="V1191" s="29">
        <f>DATE(YEAR(support_tickets[[#This Row],[opened_at]]),MONTH(support_tickets[[#This Row],[opened_at]]),1)</f>
        <v>45658</v>
      </c>
    </row>
    <row r="1192" spans="1:22">
      <c r="A1192">
        <v>6885851229</v>
      </c>
      <c r="B1192">
        <v>610778600</v>
      </c>
      <c r="C1192" t="s">
        <v>412</v>
      </c>
      <c r="D1192" t="s">
        <v>413</v>
      </c>
      <c r="E1192">
        <v>21496211</v>
      </c>
      <c r="G1192" s="1">
        <v>45773.907604166663</v>
      </c>
      <c r="H1192" s="1">
        <v>45774.09579861111</v>
      </c>
      <c r="I1192" t="s">
        <v>37</v>
      </c>
      <c r="J1192" t="s">
        <v>38</v>
      </c>
      <c r="K1192" t="s">
        <v>47</v>
      </c>
      <c r="L1192" t="s">
        <v>21</v>
      </c>
      <c r="M1192">
        <v>51</v>
      </c>
      <c r="N1192">
        <v>271</v>
      </c>
      <c r="O1192">
        <v>0</v>
      </c>
      <c r="P1192" t="s">
        <v>40</v>
      </c>
      <c r="Q1192">
        <v>1017</v>
      </c>
      <c r="R1192" t="s">
        <v>39</v>
      </c>
      <c r="S1192">
        <f>IF(support_tickets[[#This Row],[status_cleaned]]="closed",1,0)</f>
        <v>1</v>
      </c>
      <c r="T1192" t="str">
        <f>TEXT(support_tickets[[#This Row],[opened_at]],"mmm yyyy")</f>
        <v>Apr 2025</v>
      </c>
      <c r="U1192">
        <f>YEAR(support_tickets[[#This Row],[opened_at]])*100+MONTH(support_tickets[[#This Row],[opened_at]])</f>
        <v>202504</v>
      </c>
      <c r="V1192" s="29">
        <f>DATE(YEAR(support_tickets[[#This Row],[opened_at]]),MONTH(support_tickets[[#This Row],[opened_at]]),1)</f>
        <v>45748</v>
      </c>
    </row>
    <row r="1193" spans="1:22">
      <c r="A1193">
        <v>6919368238</v>
      </c>
      <c r="B1193">
        <v>774585778</v>
      </c>
      <c r="C1193" t="s">
        <v>372</v>
      </c>
      <c r="D1193" t="s">
        <v>373</v>
      </c>
      <c r="E1193">
        <v>22448136</v>
      </c>
      <c r="F1193">
        <v>2690591366</v>
      </c>
      <c r="G1193" s="1">
        <v>45584.223483796297</v>
      </c>
      <c r="H1193" s="1">
        <v>45584.946400462963</v>
      </c>
      <c r="I1193" t="s">
        <v>46</v>
      </c>
      <c r="J1193" t="s">
        <v>19</v>
      </c>
      <c r="K1193" t="s">
        <v>47</v>
      </c>
      <c r="L1193" t="s">
        <v>21</v>
      </c>
      <c r="M1193">
        <v>31</v>
      </c>
      <c r="N1193">
        <v>1041</v>
      </c>
      <c r="O1193">
        <v>0</v>
      </c>
      <c r="P1193" t="s">
        <v>22</v>
      </c>
      <c r="Q1193">
        <v>1019</v>
      </c>
      <c r="R1193" t="s">
        <v>39</v>
      </c>
      <c r="S1193">
        <f>IF(support_tickets[[#This Row],[status_cleaned]]="closed",1,0)</f>
        <v>1</v>
      </c>
      <c r="T1193" t="str">
        <f>TEXT(support_tickets[[#This Row],[opened_at]],"mmm yyyy")</f>
        <v>Oct 2024</v>
      </c>
      <c r="U1193">
        <f>YEAR(support_tickets[[#This Row],[opened_at]])*100+MONTH(support_tickets[[#This Row],[opened_at]])</f>
        <v>202410</v>
      </c>
      <c r="V1193" s="29">
        <f>DATE(YEAR(support_tickets[[#This Row],[opened_at]]),MONTH(support_tickets[[#This Row],[opened_at]]),1)</f>
        <v>45566</v>
      </c>
    </row>
    <row r="1194" spans="1:22">
      <c r="A1194">
        <v>7027153899</v>
      </c>
      <c r="B1194">
        <v>409883716</v>
      </c>
      <c r="C1194" t="s">
        <v>35</v>
      </c>
      <c r="D1194" t="s">
        <v>36</v>
      </c>
      <c r="E1194">
        <v>42857966</v>
      </c>
      <c r="F1194">
        <v>6361566970</v>
      </c>
      <c r="G1194" s="1">
        <v>45838.68787037037</v>
      </c>
      <c r="H1194" s="1">
        <v>45838.938564814816</v>
      </c>
      <c r="I1194" t="s">
        <v>18</v>
      </c>
      <c r="J1194" t="s">
        <v>59</v>
      </c>
      <c r="K1194" t="s">
        <v>47</v>
      </c>
      <c r="L1194" t="s">
        <v>21</v>
      </c>
      <c r="M1194">
        <v>31</v>
      </c>
      <c r="N1194">
        <v>361</v>
      </c>
      <c r="O1194">
        <v>0</v>
      </c>
      <c r="P1194" t="s">
        <v>61</v>
      </c>
      <c r="Q1194">
        <v>1036</v>
      </c>
      <c r="R1194" t="s">
        <v>39</v>
      </c>
      <c r="S1194">
        <f>IF(support_tickets[[#This Row],[status_cleaned]]="closed",1,0)</f>
        <v>1</v>
      </c>
      <c r="T1194" t="str">
        <f>TEXT(support_tickets[[#This Row],[opened_at]],"mmm yyyy")</f>
        <v>Jun 2025</v>
      </c>
      <c r="U1194">
        <f>YEAR(support_tickets[[#This Row],[opened_at]])*100+MONTH(support_tickets[[#This Row],[opened_at]])</f>
        <v>202506</v>
      </c>
      <c r="V1194" s="29">
        <f>DATE(YEAR(support_tickets[[#This Row],[opened_at]]),MONTH(support_tickets[[#This Row],[opened_at]]),1)</f>
        <v>45809</v>
      </c>
    </row>
    <row r="1195" spans="1:22">
      <c r="A1195">
        <v>7032502823</v>
      </c>
      <c r="B1195">
        <v>871880418</v>
      </c>
      <c r="C1195" t="s">
        <v>992</v>
      </c>
      <c r="D1195" t="s">
        <v>993</v>
      </c>
      <c r="E1195">
        <v>58966946</v>
      </c>
      <c r="G1195" s="1">
        <v>45380.9528125</v>
      </c>
      <c r="H1195" s="1">
        <v>45381.059756944444</v>
      </c>
      <c r="I1195" t="s">
        <v>37</v>
      </c>
      <c r="J1195" t="s">
        <v>38</v>
      </c>
      <c r="K1195" t="s">
        <v>47</v>
      </c>
      <c r="L1195" t="s">
        <v>21</v>
      </c>
      <c r="M1195">
        <v>46</v>
      </c>
      <c r="N1195">
        <v>154</v>
      </c>
      <c r="O1195">
        <v>0</v>
      </c>
      <c r="P1195" t="s">
        <v>40</v>
      </c>
      <c r="Q1195">
        <v>1037</v>
      </c>
      <c r="R1195" t="s">
        <v>39</v>
      </c>
      <c r="S1195">
        <f>IF(support_tickets[[#This Row],[status_cleaned]]="closed",1,0)</f>
        <v>1</v>
      </c>
      <c r="T1195" t="str">
        <f>TEXT(support_tickets[[#This Row],[opened_at]],"mmm yyyy")</f>
        <v>Mar 2024</v>
      </c>
      <c r="U1195">
        <f>YEAR(support_tickets[[#This Row],[opened_at]])*100+MONTH(support_tickets[[#This Row],[opened_at]])</f>
        <v>202403</v>
      </c>
      <c r="V1195" s="29">
        <f>DATE(YEAR(support_tickets[[#This Row],[opened_at]]),MONTH(support_tickets[[#This Row],[opened_at]]),1)</f>
        <v>45352</v>
      </c>
    </row>
    <row r="1196" spans="1:22">
      <c r="A1196">
        <v>7033153366</v>
      </c>
      <c r="B1196">
        <v>440419907</v>
      </c>
      <c r="C1196" t="s">
        <v>724</v>
      </c>
      <c r="D1196" t="s">
        <v>725</v>
      </c>
      <c r="E1196">
        <v>89978790</v>
      </c>
      <c r="G1196" s="1">
        <v>45829.702210648145</v>
      </c>
      <c r="H1196" s="1">
        <v>45829.858460648145</v>
      </c>
      <c r="I1196" t="s">
        <v>18</v>
      </c>
      <c r="J1196" t="s">
        <v>19</v>
      </c>
      <c r="K1196" t="s">
        <v>47</v>
      </c>
      <c r="L1196" t="s">
        <v>21</v>
      </c>
      <c r="M1196">
        <v>33</v>
      </c>
      <c r="N1196">
        <v>225</v>
      </c>
      <c r="O1196">
        <v>0</v>
      </c>
      <c r="P1196" t="s">
        <v>22</v>
      </c>
      <c r="Q1196">
        <v>1038</v>
      </c>
      <c r="R1196" t="s">
        <v>39</v>
      </c>
      <c r="S1196">
        <f>IF(support_tickets[[#This Row],[status_cleaned]]="closed",1,0)</f>
        <v>1</v>
      </c>
      <c r="T1196" t="str">
        <f>TEXT(support_tickets[[#This Row],[opened_at]],"mmm yyyy")</f>
        <v>Jun 2025</v>
      </c>
      <c r="U1196">
        <f>YEAR(support_tickets[[#This Row],[opened_at]])*100+MONTH(support_tickets[[#This Row],[opened_at]])</f>
        <v>202506</v>
      </c>
      <c r="V1196" s="29">
        <f>DATE(YEAR(support_tickets[[#This Row],[opened_at]]),MONTH(support_tickets[[#This Row],[opened_at]]),1)</f>
        <v>45809</v>
      </c>
    </row>
    <row r="1197" spans="1:22">
      <c r="A1197">
        <v>7084334248</v>
      </c>
      <c r="B1197">
        <v>117439966</v>
      </c>
      <c r="C1197" t="s">
        <v>762</v>
      </c>
      <c r="D1197" t="s">
        <v>763</v>
      </c>
      <c r="E1197">
        <v>86149359</v>
      </c>
      <c r="G1197" s="1">
        <v>45884.347361111111</v>
      </c>
      <c r="H1197" s="1">
        <v>45884.720277777778</v>
      </c>
      <c r="I1197" t="s">
        <v>52</v>
      </c>
      <c r="J1197" t="s">
        <v>59</v>
      </c>
      <c r="K1197" t="s">
        <v>47</v>
      </c>
      <c r="L1197" t="s">
        <v>21</v>
      </c>
      <c r="M1197">
        <v>46</v>
      </c>
      <c r="N1197">
        <v>537</v>
      </c>
      <c r="O1197">
        <v>0</v>
      </c>
      <c r="P1197" t="s">
        <v>61</v>
      </c>
      <c r="Q1197">
        <v>1045</v>
      </c>
      <c r="R1197" t="s">
        <v>39</v>
      </c>
      <c r="S1197">
        <f>IF(support_tickets[[#This Row],[status_cleaned]]="closed",1,0)</f>
        <v>1</v>
      </c>
      <c r="T1197" t="str">
        <f>TEXT(support_tickets[[#This Row],[opened_at]],"mmm yyyy")</f>
        <v>Aug 2025</v>
      </c>
      <c r="U1197">
        <f>YEAR(support_tickets[[#This Row],[opened_at]])*100+MONTH(support_tickets[[#This Row],[opened_at]])</f>
        <v>202508</v>
      </c>
      <c r="V1197" s="29">
        <f>DATE(YEAR(support_tickets[[#This Row],[opened_at]]),MONTH(support_tickets[[#This Row],[opened_at]]),1)</f>
        <v>45870</v>
      </c>
    </row>
    <row r="1198" spans="1:22">
      <c r="A1198">
        <v>7172654918</v>
      </c>
      <c r="B1198">
        <v>872649234</v>
      </c>
      <c r="C1198" t="s">
        <v>1330</v>
      </c>
      <c r="D1198" t="s">
        <v>1331</v>
      </c>
      <c r="E1198">
        <v>42868828</v>
      </c>
      <c r="G1198" s="1">
        <v>45615.747442129628</v>
      </c>
      <c r="H1198" s="1">
        <v>45615.952997685185</v>
      </c>
      <c r="I1198" t="s">
        <v>43</v>
      </c>
      <c r="J1198" t="s">
        <v>38</v>
      </c>
      <c r="K1198" t="s">
        <v>47</v>
      </c>
      <c r="L1198" t="s">
        <v>21</v>
      </c>
      <c r="M1198">
        <v>45</v>
      </c>
      <c r="N1198">
        <v>296</v>
      </c>
      <c r="O1198">
        <v>0</v>
      </c>
      <c r="P1198" t="s">
        <v>40</v>
      </c>
      <c r="Q1198">
        <v>1058</v>
      </c>
      <c r="R1198" t="s">
        <v>39</v>
      </c>
      <c r="S1198">
        <f>IF(support_tickets[[#This Row],[status_cleaned]]="closed",1,0)</f>
        <v>1</v>
      </c>
      <c r="T1198" t="str">
        <f>TEXT(support_tickets[[#This Row],[opened_at]],"mmm yyyy")</f>
        <v>Nov 2024</v>
      </c>
      <c r="U1198">
        <f>YEAR(support_tickets[[#This Row],[opened_at]])*100+MONTH(support_tickets[[#This Row],[opened_at]])</f>
        <v>202411</v>
      </c>
      <c r="V1198" s="29">
        <f>DATE(YEAR(support_tickets[[#This Row],[opened_at]]),MONTH(support_tickets[[#This Row],[opened_at]]),1)</f>
        <v>45597</v>
      </c>
    </row>
    <row r="1199" spans="1:22">
      <c r="A1199">
        <v>7194633463</v>
      </c>
      <c r="B1199">
        <v>657162259</v>
      </c>
      <c r="C1199" t="s">
        <v>1334</v>
      </c>
      <c r="D1199" t="s">
        <v>1335</v>
      </c>
      <c r="E1199">
        <v>96028436</v>
      </c>
      <c r="F1199">
        <v>1511545211</v>
      </c>
      <c r="G1199" s="1">
        <v>45929.039849537039</v>
      </c>
      <c r="H1199" s="1">
        <v>45929.33221064815</v>
      </c>
      <c r="I1199" t="s">
        <v>18</v>
      </c>
      <c r="J1199" t="s">
        <v>30</v>
      </c>
      <c r="K1199" t="s">
        <v>47</v>
      </c>
      <c r="L1199" t="s">
        <v>21</v>
      </c>
      <c r="M1199">
        <v>12</v>
      </c>
      <c r="N1199">
        <v>421</v>
      </c>
      <c r="O1199">
        <v>0</v>
      </c>
      <c r="P1199" t="s">
        <v>31</v>
      </c>
      <c r="Q1199">
        <v>1062</v>
      </c>
      <c r="R1199" t="s">
        <v>39</v>
      </c>
      <c r="S1199">
        <f>IF(support_tickets[[#This Row],[status_cleaned]]="closed",1,0)</f>
        <v>1</v>
      </c>
      <c r="T1199" t="str">
        <f>TEXT(support_tickets[[#This Row],[opened_at]],"mmm yyyy")</f>
        <v>Sep 2025</v>
      </c>
      <c r="U1199">
        <f>YEAR(support_tickets[[#This Row],[opened_at]])*100+MONTH(support_tickets[[#This Row],[opened_at]])</f>
        <v>202509</v>
      </c>
      <c r="V1199" s="29">
        <f>DATE(YEAR(support_tickets[[#This Row],[opened_at]]),MONTH(support_tickets[[#This Row],[opened_at]]),1)</f>
        <v>45901</v>
      </c>
    </row>
    <row r="1200" spans="1:22">
      <c r="A1200">
        <v>7200220223</v>
      </c>
      <c r="B1200">
        <v>931726993</v>
      </c>
      <c r="C1200" t="s">
        <v>1336</v>
      </c>
      <c r="D1200" t="s">
        <v>1337</v>
      </c>
      <c r="E1200">
        <v>89254563</v>
      </c>
      <c r="G1200" s="1">
        <v>45460.106249999997</v>
      </c>
      <c r="H1200" s="1">
        <v>45460.568055555559</v>
      </c>
      <c r="I1200" t="s">
        <v>37</v>
      </c>
      <c r="J1200" t="s">
        <v>59</v>
      </c>
      <c r="K1200" t="s">
        <v>47</v>
      </c>
      <c r="L1200" t="s">
        <v>21</v>
      </c>
      <c r="M1200">
        <v>15</v>
      </c>
      <c r="N1200">
        <v>665</v>
      </c>
      <c r="O1200">
        <v>0</v>
      </c>
      <c r="P1200" t="s">
        <v>61</v>
      </c>
      <c r="Q1200">
        <v>1063</v>
      </c>
      <c r="R1200" t="s">
        <v>39</v>
      </c>
      <c r="S1200">
        <f>IF(support_tickets[[#This Row],[status_cleaned]]="closed",1,0)</f>
        <v>1</v>
      </c>
      <c r="T1200" t="str">
        <f>TEXT(support_tickets[[#This Row],[opened_at]],"mmm yyyy")</f>
        <v>Jun 2024</v>
      </c>
      <c r="U1200">
        <f>YEAR(support_tickets[[#This Row],[opened_at]])*100+MONTH(support_tickets[[#This Row],[opened_at]])</f>
        <v>202406</v>
      </c>
      <c r="V1200" s="29">
        <f>DATE(YEAR(support_tickets[[#This Row],[opened_at]]),MONTH(support_tickets[[#This Row],[opened_at]]),1)</f>
        <v>45444</v>
      </c>
    </row>
    <row r="1201" spans="1:22">
      <c r="A1201">
        <v>7254736171</v>
      </c>
      <c r="B1201">
        <v>140048684</v>
      </c>
      <c r="C1201" t="s">
        <v>1344</v>
      </c>
      <c r="D1201" t="s">
        <v>1345</v>
      </c>
      <c r="E1201">
        <v>11540956</v>
      </c>
      <c r="G1201" s="1">
        <v>45926.902291666665</v>
      </c>
      <c r="H1201" s="1">
        <v>45927.179375</v>
      </c>
      <c r="I1201" t="s">
        <v>37</v>
      </c>
      <c r="J1201" t="s">
        <v>25</v>
      </c>
      <c r="K1201" t="s">
        <v>47</v>
      </c>
      <c r="L1201" t="s">
        <v>21</v>
      </c>
      <c r="M1201">
        <v>51</v>
      </c>
      <c r="N1201">
        <v>399</v>
      </c>
      <c r="O1201">
        <v>0</v>
      </c>
      <c r="P1201" t="s">
        <v>27</v>
      </c>
      <c r="Q1201">
        <v>1071</v>
      </c>
      <c r="R1201" t="s">
        <v>39</v>
      </c>
      <c r="S1201">
        <f>IF(support_tickets[[#This Row],[status_cleaned]]="closed",1,0)</f>
        <v>1</v>
      </c>
      <c r="T1201" t="str">
        <f>TEXT(support_tickets[[#This Row],[opened_at]],"mmm yyyy")</f>
        <v>Sep 2025</v>
      </c>
      <c r="U1201">
        <f>YEAR(support_tickets[[#This Row],[opened_at]])*100+MONTH(support_tickets[[#This Row],[opened_at]])</f>
        <v>202509</v>
      </c>
      <c r="V1201" s="29">
        <f>DATE(YEAR(support_tickets[[#This Row],[opened_at]]),MONTH(support_tickets[[#This Row],[opened_at]]),1)</f>
        <v>45901</v>
      </c>
    </row>
    <row r="1202" spans="1:22">
      <c r="A1202">
        <v>7284887617</v>
      </c>
      <c r="B1202">
        <v>717452511</v>
      </c>
      <c r="C1202" t="s">
        <v>352</v>
      </c>
      <c r="D1202" t="s">
        <v>353</v>
      </c>
      <c r="E1202">
        <v>88461803</v>
      </c>
      <c r="F1202">
        <v>1595132228</v>
      </c>
      <c r="G1202" s="1">
        <v>45453.652175925927</v>
      </c>
      <c r="H1202" s="1">
        <v>45453.783425925925</v>
      </c>
      <c r="I1202" t="s">
        <v>37</v>
      </c>
      <c r="J1202" t="s">
        <v>86</v>
      </c>
      <c r="K1202" t="s">
        <v>47</v>
      </c>
      <c r="L1202" t="s">
        <v>21</v>
      </c>
      <c r="M1202">
        <v>57</v>
      </c>
      <c r="N1202">
        <v>189</v>
      </c>
      <c r="O1202">
        <v>0</v>
      </c>
      <c r="P1202" t="s">
        <v>87</v>
      </c>
      <c r="Q1202">
        <v>1073</v>
      </c>
      <c r="R1202" t="s">
        <v>39</v>
      </c>
      <c r="S1202">
        <f>IF(support_tickets[[#This Row],[status_cleaned]]="closed",1,0)</f>
        <v>1</v>
      </c>
      <c r="T1202" t="str">
        <f>TEXT(support_tickets[[#This Row],[opened_at]],"mmm yyyy")</f>
        <v>Jun 2024</v>
      </c>
      <c r="U1202">
        <f>YEAR(support_tickets[[#This Row],[opened_at]])*100+MONTH(support_tickets[[#This Row],[opened_at]])</f>
        <v>202406</v>
      </c>
      <c r="V1202" s="29">
        <f>DATE(YEAR(support_tickets[[#This Row],[opened_at]]),MONTH(support_tickets[[#This Row],[opened_at]]),1)</f>
        <v>45444</v>
      </c>
    </row>
    <row r="1203" spans="1:22">
      <c r="A1203">
        <v>7291467110</v>
      </c>
      <c r="B1203">
        <v>549661921</v>
      </c>
      <c r="C1203" t="s">
        <v>118</v>
      </c>
      <c r="D1203" t="s">
        <v>119</v>
      </c>
      <c r="E1203">
        <v>50056581</v>
      </c>
      <c r="F1203">
        <v>6817218959</v>
      </c>
      <c r="G1203" s="1">
        <v>45420.776736111111</v>
      </c>
      <c r="H1203" s="1">
        <v>45420.817708333336</v>
      </c>
      <c r="I1203" t="s">
        <v>43</v>
      </c>
      <c r="J1203" t="s">
        <v>19</v>
      </c>
      <c r="K1203" t="s">
        <v>47</v>
      </c>
      <c r="L1203" t="s">
        <v>21</v>
      </c>
      <c r="M1203">
        <v>53</v>
      </c>
      <c r="N1203">
        <v>59</v>
      </c>
      <c r="O1203">
        <v>0</v>
      </c>
      <c r="P1203" t="s">
        <v>22</v>
      </c>
      <c r="Q1203">
        <v>1075</v>
      </c>
      <c r="R1203" t="s">
        <v>39</v>
      </c>
      <c r="S1203">
        <f>IF(support_tickets[[#This Row],[status_cleaned]]="closed",1,0)</f>
        <v>1</v>
      </c>
      <c r="T1203" t="str">
        <f>TEXT(support_tickets[[#This Row],[opened_at]],"mmm yyyy")</f>
        <v>May 2024</v>
      </c>
      <c r="U1203">
        <f>YEAR(support_tickets[[#This Row],[opened_at]])*100+MONTH(support_tickets[[#This Row],[opened_at]])</f>
        <v>202405</v>
      </c>
      <c r="V1203" s="29">
        <f>DATE(YEAR(support_tickets[[#This Row],[opened_at]]),MONTH(support_tickets[[#This Row],[opened_at]]),1)</f>
        <v>45413</v>
      </c>
    </row>
    <row r="1204" spans="1:22">
      <c r="A1204">
        <v>7363499049</v>
      </c>
      <c r="B1204">
        <v>635844374</v>
      </c>
      <c r="C1204" t="s">
        <v>1352</v>
      </c>
      <c r="D1204" t="s">
        <v>1353</v>
      </c>
      <c r="E1204">
        <v>95225343</v>
      </c>
      <c r="G1204" s="1">
        <v>46098.971643518518</v>
      </c>
      <c r="H1204" s="1">
        <v>46099.078587962962</v>
      </c>
      <c r="I1204" t="s">
        <v>46</v>
      </c>
      <c r="J1204" t="s">
        <v>25</v>
      </c>
      <c r="K1204" t="s">
        <v>47</v>
      </c>
      <c r="L1204" t="s">
        <v>21</v>
      </c>
      <c r="M1204">
        <v>110</v>
      </c>
      <c r="N1204">
        <v>154</v>
      </c>
      <c r="O1204">
        <v>0</v>
      </c>
      <c r="P1204" t="s">
        <v>27</v>
      </c>
      <c r="Q1204">
        <v>1084</v>
      </c>
      <c r="R1204" t="s">
        <v>39</v>
      </c>
      <c r="S1204">
        <f>IF(support_tickets[[#This Row],[status_cleaned]]="closed",1,0)</f>
        <v>1</v>
      </c>
      <c r="T1204" t="str">
        <f>TEXT(support_tickets[[#This Row],[opened_at]],"mmm yyyy")</f>
        <v>Mar 2026</v>
      </c>
      <c r="U1204">
        <f>YEAR(support_tickets[[#This Row],[opened_at]])*100+MONTH(support_tickets[[#This Row],[opened_at]])</f>
        <v>202603</v>
      </c>
      <c r="V1204" s="29">
        <f>DATE(YEAR(support_tickets[[#This Row],[opened_at]]),MONTH(support_tickets[[#This Row],[opened_at]]),1)</f>
        <v>46082</v>
      </c>
    </row>
    <row r="1205" spans="1:22">
      <c r="A1205">
        <v>7366337616</v>
      </c>
      <c r="B1205">
        <v>470838810</v>
      </c>
      <c r="C1205" t="s">
        <v>364</v>
      </c>
      <c r="D1205" t="s">
        <v>365</v>
      </c>
      <c r="E1205">
        <v>25374874</v>
      </c>
      <c r="G1205" s="1">
        <v>45408.922222222223</v>
      </c>
      <c r="H1205" s="1">
        <v>45409.148611111108</v>
      </c>
      <c r="I1205" t="s">
        <v>46</v>
      </c>
      <c r="J1205" t="s">
        <v>30</v>
      </c>
      <c r="K1205" t="s">
        <v>47</v>
      </c>
      <c r="L1205" t="s">
        <v>21</v>
      </c>
      <c r="M1205">
        <v>36</v>
      </c>
      <c r="N1205">
        <v>326</v>
      </c>
      <c r="O1205">
        <v>0</v>
      </c>
      <c r="P1205" t="s">
        <v>31</v>
      </c>
      <c r="Q1205">
        <v>1085</v>
      </c>
      <c r="R1205" t="s">
        <v>39</v>
      </c>
      <c r="S1205">
        <f>IF(support_tickets[[#This Row],[status_cleaned]]="closed",1,0)</f>
        <v>1</v>
      </c>
      <c r="T1205" t="str">
        <f>TEXT(support_tickets[[#This Row],[opened_at]],"mmm yyyy")</f>
        <v>Apr 2024</v>
      </c>
      <c r="U1205">
        <f>YEAR(support_tickets[[#This Row],[opened_at]])*100+MONTH(support_tickets[[#This Row],[opened_at]])</f>
        <v>202404</v>
      </c>
      <c r="V1205" s="29">
        <f>DATE(YEAR(support_tickets[[#This Row],[opened_at]]),MONTH(support_tickets[[#This Row],[opened_at]]),1)</f>
        <v>45383</v>
      </c>
    </row>
    <row r="1206" spans="1:22">
      <c r="A1206">
        <v>7367149900</v>
      </c>
      <c r="B1206">
        <v>265564833</v>
      </c>
      <c r="C1206" t="s">
        <v>1354</v>
      </c>
      <c r="D1206" t="s">
        <v>1355</v>
      </c>
      <c r="E1206">
        <v>88320463</v>
      </c>
      <c r="G1206" s="1">
        <v>45957.16202546296</v>
      </c>
      <c r="H1206" s="1">
        <v>45957.487025462964</v>
      </c>
      <c r="I1206" t="s">
        <v>43</v>
      </c>
      <c r="J1206" t="s">
        <v>38</v>
      </c>
      <c r="K1206" t="s">
        <v>47</v>
      </c>
      <c r="L1206" t="s">
        <v>21</v>
      </c>
      <c r="M1206">
        <v>32</v>
      </c>
      <c r="N1206">
        <v>468</v>
      </c>
      <c r="O1206">
        <v>0</v>
      </c>
      <c r="P1206" t="s">
        <v>40</v>
      </c>
      <c r="Q1206">
        <v>1086</v>
      </c>
      <c r="R1206" t="s">
        <v>39</v>
      </c>
      <c r="S1206">
        <f>IF(support_tickets[[#This Row],[status_cleaned]]="closed",1,0)</f>
        <v>1</v>
      </c>
      <c r="T1206" t="str">
        <f>TEXT(support_tickets[[#This Row],[opened_at]],"mmm yyyy")</f>
        <v>Oct 2025</v>
      </c>
      <c r="U1206">
        <f>YEAR(support_tickets[[#This Row],[opened_at]])*100+MONTH(support_tickets[[#This Row],[opened_at]])</f>
        <v>202510</v>
      </c>
      <c r="V1206" s="29">
        <f>DATE(YEAR(support_tickets[[#This Row],[opened_at]]),MONTH(support_tickets[[#This Row],[opened_at]]),1)</f>
        <v>45931</v>
      </c>
    </row>
    <row r="1207" spans="1:22">
      <c r="A1207">
        <v>7385224704</v>
      </c>
      <c r="B1207">
        <v>855663125</v>
      </c>
      <c r="C1207" t="s">
        <v>1164</v>
      </c>
      <c r="D1207" t="s">
        <v>1165</v>
      </c>
      <c r="E1207">
        <v>22448136</v>
      </c>
      <c r="F1207">
        <v>2023176784</v>
      </c>
      <c r="G1207" s="1">
        <v>45322.670104166667</v>
      </c>
      <c r="H1207" s="1">
        <v>45323.088159722225</v>
      </c>
      <c r="I1207" t="s">
        <v>52</v>
      </c>
      <c r="J1207" t="s">
        <v>86</v>
      </c>
      <c r="K1207" t="s">
        <v>47</v>
      </c>
      <c r="L1207" t="s">
        <v>21</v>
      </c>
      <c r="M1207">
        <v>14</v>
      </c>
      <c r="N1207">
        <v>602</v>
      </c>
      <c r="O1207">
        <v>0</v>
      </c>
      <c r="P1207" t="s">
        <v>87</v>
      </c>
      <c r="Q1207">
        <v>1089</v>
      </c>
      <c r="R1207" t="s">
        <v>39</v>
      </c>
      <c r="S1207">
        <f>IF(support_tickets[[#This Row],[status_cleaned]]="closed",1,0)</f>
        <v>1</v>
      </c>
      <c r="T1207" t="str">
        <f>TEXT(support_tickets[[#This Row],[opened_at]],"mmm yyyy")</f>
        <v>Jan 2024</v>
      </c>
      <c r="U1207">
        <f>YEAR(support_tickets[[#This Row],[opened_at]])*100+MONTH(support_tickets[[#This Row],[opened_at]])</f>
        <v>202401</v>
      </c>
      <c r="V1207" s="29">
        <f>DATE(YEAR(support_tickets[[#This Row],[opened_at]]),MONTH(support_tickets[[#This Row],[opened_at]]),1)</f>
        <v>45292</v>
      </c>
    </row>
    <row r="1208" spans="1:22">
      <c r="A1208">
        <v>7427044790</v>
      </c>
      <c r="B1208">
        <v>478278218</v>
      </c>
      <c r="C1208" t="s">
        <v>1362</v>
      </c>
      <c r="D1208" t="s">
        <v>1363</v>
      </c>
      <c r="E1208">
        <v>95822412</v>
      </c>
      <c r="G1208" s="1">
        <v>45430.26059027778</v>
      </c>
      <c r="H1208" s="1">
        <v>45430.575868055559</v>
      </c>
      <c r="I1208" t="s">
        <v>46</v>
      </c>
      <c r="J1208" t="s">
        <v>30</v>
      </c>
      <c r="K1208" t="s">
        <v>47</v>
      </c>
      <c r="L1208" t="s">
        <v>21</v>
      </c>
      <c r="M1208">
        <v>8</v>
      </c>
      <c r="N1208">
        <v>454</v>
      </c>
      <c r="O1208">
        <v>0</v>
      </c>
      <c r="P1208" t="s">
        <v>31</v>
      </c>
      <c r="Q1208">
        <v>1093</v>
      </c>
      <c r="R1208" t="s">
        <v>39</v>
      </c>
      <c r="S1208">
        <f>IF(support_tickets[[#This Row],[status_cleaned]]="closed",1,0)</f>
        <v>1</v>
      </c>
      <c r="T1208" t="str">
        <f>TEXT(support_tickets[[#This Row],[opened_at]],"mmm yyyy")</f>
        <v>May 2024</v>
      </c>
      <c r="U1208">
        <f>YEAR(support_tickets[[#This Row],[opened_at]])*100+MONTH(support_tickets[[#This Row],[opened_at]])</f>
        <v>202405</v>
      </c>
      <c r="V1208" s="29">
        <f>DATE(YEAR(support_tickets[[#This Row],[opened_at]]),MONTH(support_tickets[[#This Row],[opened_at]]),1)</f>
        <v>45413</v>
      </c>
    </row>
    <row r="1209" spans="1:22">
      <c r="A1209">
        <v>7437743422</v>
      </c>
      <c r="B1209">
        <v>865975088</v>
      </c>
      <c r="C1209" t="s">
        <v>1368</v>
      </c>
      <c r="D1209" t="s">
        <v>1369</v>
      </c>
      <c r="E1209">
        <v>23756669</v>
      </c>
      <c r="F1209">
        <v>2442364344</v>
      </c>
      <c r="G1209" s="1">
        <v>45325.345914351848</v>
      </c>
      <c r="H1209" s="1">
        <v>45325.368136574078</v>
      </c>
      <c r="I1209" t="s">
        <v>18</v>
      </c>
      <c r="J1209" t="s">
        <v>19</v>
      </c>
      <c r="K1209" t="s">
        <v>47</v>
      </c>
      <c r="L1209" t="s">
        <v>21</v>
      </c>
      <c r="M1209">
        <v>18</v>
      </c>
      <c r="N1209">
        <v>32</v>
      </c>
      <c r="O1209">
        <v>0</v>
      </c>
      <c r="P1209" t="s">
        <v>22</v>
      </c>
      <c r="Q1209">
        <v>1097</v>
      </c>
      <c r="R1209" t="s">
        <v>39</v>
      </c>
      <c r="S1209">
        <f>IF(support_tickets[[#This Row],[status_cleaned]]="closed",1,0)</f>
        <v>1</v>
      </c>
      <c r="T1209" t="str">
        <f>TEXT(support_tickets[[#This Row],[opened_at]],"mmm yyyy")</f>
        <v>Feb 2024</v>
      </c>
      <c r="U1209">
        <f>YEAR(support_tickets[[#This Row],[opened_at]])*100+MONTH(support_tickets[[#This Row],[opened_at]])</f>
        <v>202402</v>
      </c>
      <c r="V1209" s="29">
        <f>DATE(YEAR(support_tickets[[#This Row],[opened_at]]),MONTH(support_tickets[[#This Row],[opened_at]]),1)</f>
        <v>45323</v>
      </c>
    </row>
    <row r="1210" spans="1:22">
      <c r="A1210">
        <v>7509957922</v>
      </c>
      <c r="B1210">
        <v>880862406</v>
      </c>
      <c r="C1210" t="s">
        <v>162</v>
      </c>
      <c r="D1210" t="s">
        <v>163</v>
      </c>
      <c r="E1210">
        <v>45812670</v>
      </c>
      <c r="G1210" s="1">
        <v>45787.491863425923</v>
      </c>
      <c r="H1210" s="1">
        <v>45788.056446759256</v>
      </c>
      <c r="I1210" t="s">
        <v>56</v>
      </c>
      <c r="J1210" t="s">
        <v>30</v>
      </c>
      <c r="K1210" t="s">
        <v>47</v>
      </c>
      <c r="L1210" t="s">
        <v>21</v>
      </c>
      <c r="M1210">
        <v>12</v>
      </c>
      <c r="N1210">
        <v>813</v>
      </c>
      <c r="O1210">
        <v>0</v>
      </c>
      <c r="P1210" t="s">
        <v>31</v>
      </c>
      <c r="Q1210">
        <v>1108</v>
      </c>
      <c r="R1210" t="s">
        <v>39</v>
      </c>
      <c r="S1210">
        <f>IF(support_tickets[[#This Row],[status_cleaned]]="closed",1,0)</f>
        <v>1</v>
      </c>
      <c r="T1210" t="str">
        <f>TEXT(support_tickets[[#This Row],[opened_at]],"mmm yyyy")</f>
        <v>May 2025</v>
      </c>
      <c r="U1210">
        <f>YEAR(support_tickets[[#This Row],[opened_at]])*100+MONTH(support_tickets[[#This Row],[opened_at]])</f>
        <v>202505</v>
      </c>
      <c r="V1210" s="29">
        <f>DATE(YEAR(support_tickets[[#This Row],[opened_at]]),MONTH(support_tickets[[#This Row],[opened_at]]),1)</f>
        <v>45778</v>
      </c>
    </row>
    <row r="1211" spans="1:22">
      <c r="A1211">
        <v>7539303689</v>
      </c>
      <c r="B1211">
        <v>847508242</v>
      </c>
      <c r="C1211" t="s">
        <v>438</v>
      </c>
      <c r="D1211" t="s">
        <v>439</v>
      </c>
      <c r="E1211">
        <v>98550256</v>
      </c>
      <c r="F1211">
        <v>2949306060</v>
      </c>
      <c r="G1211" s="1">
        <v>45685.086550925924</v>
      </c>
      <c r="H1211" s="1">
        <v>45685.324050925927</v>
      </c>
      <c r="I1211" t="s">
        <v>46</v>
      </c>
      <c r="J1211" t="s">
        <v>59</v>
      </c>
      <c r="K1211" t="s">
        <v>47</v>
      </c>
      <c r="L1211" t="s">
        <v>21</v>
      </c>
      <c r="M1211">
        <v>25</v>
      </c>
      <c r="N1211">
        <v>342</v>
      </c>
      <c r="O1211">
        <v>0</v>
      </c>
      <c r="P1211" t="s">
        <v>61</v>
      </c>
      <c r="Q1211">
        <v>1114</v>
      </c>
      <c r="R1211" t="s">
        <v>39</v>
      </c>
      <c r="S1211">
        <f>IF(support_tickets[[#This Row],[status_cleaned]]="closed",1,0)</f>
        <v>1</v>
      </c>
      <c r="T1211" t="str">
        <f>TEXT(support_tickets[[#This Row],[opened_at]],"mmm yyyy")</f>
        <v>Jan 2025</v>
      </c>
      <c r="U1211">
        <f>YEAR(support_tickets[[#This Row],[opened_at]])*100+MONTH(support_tickets[[#This Row],[opened_at]])</f>
        <v>202501</v>
      </c>
      <c r="V1211" s="29">
        <f>DATE(YEAR(support_tickets[[#This Row],[opened_at]]),MONTH(support_tickets[[#This Row],[opened_at]]),1)</f>
        <v>45658</v>
      </c>
    </row>
    <row r="1212" spans="1:22">
      <c r="A1212">
        <v>7567064362</v>
      </c>
      <c r="B1212">
        <v>802506364</v>
      </c>
      <c r="C1212" t="s">
        <v>1152</v>
      </c>
      <c r="D1212" t="s">
        <v>1153</v>
      </c>
      <c r="E1212">
        <v>52339391</v>
      </c>
      <c r="G1212" s="1">
        <v>45311.970925925925</v>
      </c>
      <c r="H1212" s="1">
        <v>45311.993842592594</v>
      </c>
      <c r="I1212" t="s">
        <v>37</v>
      </c>
      <c r="J1212" t="s">
        <v>38</v>
      </c>
      <c r="K1212" t="s">
        <v>47</v>
      </c>
      <c r="L1212" t="s">
        <v>21</v>
      </c>
      <c r="M1212">
        <v>28</v>
      </c>
      <c r="N1212">
        <v>33</v>
      </c>
      <c r="O1212">
        <v>0</v>
      </c>
      <c r="P1212" t="s">
        <v>40</v>
      </c>
      <c r="Q1212">
        <v>1119</v>
      </c>
      <c r="R1212" t="s">
        <v>39</v>
      </c>
      <c r="S1212">
        <f>IF(support_tickets[[#This Row],[status_cleaned]]="closed",1,0)</f>
        <v>1</v>
      </c>
      <c r="T1212" t="str">
        <f>TEXT(support_tickets[[#This Row],[opened_at]],"mmm yyyy")</f>
        <v>Jan 2024</v>
      </c>
      <c r="U1212">
        <f>YEAR(support_tickets[[#This Row],[opened_at]])*100+MONTH(support_tickets[[#This Row],[opened_at]])</f>
        <v>202401</v>
      </c>
      <c r="V1212" s="29">
        <f>DATE(YEAR(support_tickets[[#This Row],[opened_at]]),MONTH(support_tickets[[#This Row],[opened_at]]),1)</f>
        <v>45292</v>
      </c>
    </row>
    <row r="1213" spans="1:22">
      <c r="A1213">
        <v>7596148343</v>
      </c>
      <c r="B1213">
        <v>139711044</v>
      </c>
      <c r="C1213" t="s">
        <v>154</v>
      </c>
      <c r="D1213" t="s">
        <v>155</v>
      </c>
      <c r="E1213">
        <v>71662963</v>
      </c>
      <c r="G1213" s="1">
        <v>45644.404988425929</v>
      </c>
      <c r="H1213" s="1">
        <v>45644.859849537039</v>
      </c>
      <c r="I1213" t="s">
        <v>43</v>
      </c>
      <c r="J1213" t="s">
        <v>59</v>
      </c>
      <c r="K1213" t="s">
        <v>47</v>
      </c>
      <c r="L1213" t="s">
        <v>21</v>
      </c>
      <c r="M1213">
        <v>16</v>
      </c>
      <c r="N1213">
        <v>655</v>
      </c>
      <c r="O1213">
        <v>0</v>
      </c>
      <c r="P1213" t="s">
        <v>61</v>
      </c>
      <c r="Q1213">
        <v>1124</v>
      </c>
      <c r="R1213" t="s">
        <v>39</v>
      </c>
      <c r="S1213">
        <f>IF(support_tickets[[#This Row],[status_cleaned]]="closed",1,0)</f>
        <v>1</v>
      </c>
      <c r="T1213" t="str">
        <f>TEXT(support_tickets[[#This Row],[opened_at]],"mmm yyyy")</f>
        <v>Dec 2024</v>
      </c>
      <c r="U1213">
        <f>YEAR(support_tickets[[#This Row],[opened_at]])*100+MONTH(support_tickets[[#This Row],[opened_at]])</f>
        <v>202412</v>
      </c>
      <c r="V1213" s="29">
        <f>DATE(YEAR(support_tickets[[#This Row],[opened_at]]),MONTH(support_tickets[[#This Row],[opened_at]]),1)</f>
        <v>45627</v>
      </c>
    </row>
    <row r="1214" spans="1:22">
      <c r="A1214">
        <v>7619334263</v>
      </c>
      <c r="B1214">
        <v>761962359</v>
      </c>
      <c r="C1214" t="s">
        <v>1384</v>
      </c>
      <c r="D1214" t="s">
        <v>1385</v>
      </c>
      <c r="E1214">
        <v>28728463</v>
      </c>
      <c r="F1214">
        <v>7032536684</v>
      </c>
      <c r="G1214" s="1">
        <v>45343.125891203701</v>
      </c>
      <c r="H1214" s="1">
        <v>45343.452974537038</v>
      </c>
      <c r="I1214" t="s">
        <v>46</v>
      </c>
      <c r="J1214" t="s">
        <v>19</v>
      </c>
      <c r="K1214" t="s">
        <v>47</v>
      </c>
      <c r="L1214" t="s">
        <v>21</v>
      </c>
      <c r="M1214">
        <v>65</v>
      </c>
      <c r="N1214">
        <v>471</v>
      </c>
      <c r="O1214">
        <v>0</v>
      </c>
      <c r="P1214" t="s">
        <v>22</v>
      </c>
      <c r="Q1214">
        <v>1129</v>
      </c>
      <c r="R1214" t="s">
        <v>39</v>
      </c>
      <c r="S1214">
        <f>IF(support_tickets[[#This Row],[status_cleaned]]="closed",1,0)</f>
        <v>1</v>
      </c>
      <c r="T1214" t="str">
        <f>TEXT(support_tickets[[#This Row],[opened_at]],"mmm yyyy")</f>
        <v>Feb 2024</v>
      </c>
      <c r="U1214">
        <f>YEAR(support_tickets[[#This Row],[opened_at]])*100+MONTH(support_tickets[[#This Row],[opened_at]])</f>
        <v>202402</v>
      </c>
      <c r="V1214" s="29">
        <f>DATE(YEAR(support_tickets[[#This Row],[opened_at]]),MONTH(support_tickets[[#This Row],[opened_at]]),1)</f>
        <v>45323</v>
      </c>
    </row>
    <row r="1215" spans="1:22">
      <c r="A1215">
        <v>7629023772</v>
      </c>
      <c r="B1215">
        <v>893158610</v>
      </c>
      <c r="C1215" t="s">
        <v>1250</v>
      </c>
      <c r="D1215" t="s">
        <v>1251</v>
      </c>
      <c r="E1215">
        <v>82340307</v>
      </c>
      <c r="G1215" s="1">
        <v>45350.969490740739</v>
      </c>
      <c r="H1215" s="1">
        <v>45351.135462962964</v>
      </c>
      <c r="I1215" t="s">
        <v>56</v>
      </c>
      <c r="J1215" t="s">
        <v>59</v>
      </c>
      <c r="K1215" t="s">
        <v>47</v>
      </c>
      <c r="L1215" t="s">
        <v>21</v>
      </c>
      <c r="M1215">
        <v>69</v>
      </c>
      <c r="N1215">
        <v>239</v>
      </c>
      <c r="O1215">
        <v>0</v>
      </c>
      <c r="P1215" t="s">
        <v>61</v>
      </c>
      <c r="Q1215">
        <v>1131</v>
      </c>
      <c r="R1215" t="s">
        <v>39</v>
      </c>
      <c r="S1215">
        <f>IF(support_tickets[[#This Row],[status_cleaned]]="closed",1,0)</f>
        <v>1</v>
      </c>
      <c r="T1215" t="str">
        <f>TEXT(support_tickets[[#This Row],[opened_at]],"mmm yyyy")</f>
        <v>Feb 2024</v>
      </c>
      <c r="U1215">
        <f>YEAR(support_tickets[[#This Row],[opened_at]])*100+MONTH(support_tickets[[#This Row],[opened_at]])</f>
        <v>202402</v>
      </c>
      <c r="V1215" s="29">
        <f>DATE(YEAR(support_tickets[[#This Row],[opened_at]]),MONTH(support_tickets[[#This Row],[opened_at]]),1)</f>
        <v>45323</v>
      </c>
    </row>
    <row r="1216" spans="1:22">
      <c r="A1216">
        <v>7663581771</v>
      </c>
      <c r="B1216">
        <v>322631460</v>
      </c>
      <c r="C1216" t="s">
        <v>1388</v>
      </c>
      <c r="D1216" t="s">
        <v>1389</v>
      </c>
      <c r="E1216">
        <v>85329037</v>
      </c>
      <c r="F1216">
        <v>8094961855</v>
      </c>
      <c r="G1216" s="1">
        <v>45474.59642361111</v>
      </c>
      <c r="H1216" s="1">
        <v>45474.787395833337</v>
      </c>
      <c r="I1216" t="s">
        <v>52</v>
      </c>
      <c r="J1216" t="s">
        <v>25</v>
      </c>
      <c r="K1216" t="s">
        <v>47</v>
      </c>
      <c r="L1216" t="s">
        <v>21</v>
      </c>
      <c r="M1216">
        <v>38</v>
      </c>
      <c r="N1216">
        <v>275</v>
      </c>
      <c r="O1216">
        <v>0</v>
      </c>
      <c r="P1216" t="s">
        <v>27</v>
      </c>
      <c r="Q1216">
        <v>1137</v>
      </c>
      <c r="R1216" t="s">
        <v>39</v>
      </c>
      <c r="S1216">
        <f>IF(support_tickets[[#This Row],[status_cleaned]]="closed",1,0)</f>
        <v>1</v>
      </c>
      <c r="T1216" t="str">
        <f>TEXT(support_tickets[[#This Row],[opened_at]],"mmm yyyy")</f>
        <v>Jul 2024</v>
      </c>
      <c r="U1216">
        <f>YEAR(support_tickets[[#This Row],[opened_at]])*100+MONTH(support_tickets[[#This Row],[opened_at]])</f>
        <v>202407</v>
      </c>
      <c r="V1216" s="29">
        <f>DATE(YEAR(support_tickets[[#This Row],[opened_at]]),MONTH(support_tickets[[#This Row],[opened_at]]),1)</f>
        <v>45474</v>
      </c>
    </row>
    <row r="1217" spans="1:22">
      <c r="A1217">
        <v>7674824067</v>
      </c>
      <c r="B1217">
        <v>387195524</v>
      </c>
      <c r="C1217" t="s">
        <v>730</v>
      </c>
      <c r="D1217" t="s">
        <v>731</v>
      </c>
      <c r="E1217">
        <v>55176955</v>
      </c>
      <c r="G1217" s="1">
        <v>45930.915555555555</v>
      </c>
      <c r="H1217" s="1">
        <v>45931.085694444446</v>
      </c>
      <c r="I1217" t="s">
        <v>37</v>
      </c>
      <c r="J1217" t="s">
        <v>59</v>
      </c>
      <c r="K1217" t="s">
        <v>47</v>
      </c>
      <c r="L1217" t="s">
        <v>21</v>
      </c>
      <c r="M1217">
        <v>11</v>
      </c>
      <c r="N1217">
        <v>245</v>
      </c>
      <c r="O1217">
        <v>0</v>
      </c>
      <c r="P1217" t="s">
        <v>61</v>
      </c>
      <c r="Q1217">
        <v>1141</v>
      </c>
      <c r="R1217" t="s">
        <v>39</v>
      </c>
      <c r="S1217">
        <f>IF(support_tickets[[#This Row],[status_cleaned]]="closed",1,0)</f>
        <v>1</v>
      </c>
      <c r="T1217" t="str">
        <f>TEXT(support_tickets[[#This Row],[opened_at]],"mmm yyyy")</f>
        <v>Sep 2025</v>
      </c>
      <c r="U1217">
        <f>YEAR(support_tickets[[#This Row],[opened_at]])*100+MONTH(support_tickets[[#This Row],[opened_at]])</f>
        <v>202509</v>
      </c>
      <c r="V1217" s="29">
        <f>DATE(YEAR(support_tickets[[#This Row],[opened_at]]),MONTH(support_tickets[[#This Row],[opened_at]]),1)</f>
        <v>45901</v>
      </c>
    </row>
    <row r="1218" spans="1:22">
      <c r="A1218">
        <v>7691379296</v>
      </c>
      <c r="B1218">
        <v>786111573</v>
      </c>
      <c r="C1218" t="s">
        <v>666</v>
      </c>
      <c r="D1218" t="s">
        <v>667</v>
      </c>
      <c r="E1218">
        <v>75228535</v>
      </c>
      <c r="F1218">
        <v>7124949160</v>
      </c>
      <c r="G1218" s="1">
        <v>46083.827719907407</v>
      </c>
      <c r="H1218" s="1">
        <v>46083.888831018521</v>
      </c>
      <c r="I1218" t="s">
        <v>52</v>
      </c>
      <c r="J1218" t="s">
        <v>30</v>
      </c>
      <c r="K1218" t="s">
        <v>47</v>
      </c>
      <c r="L1218" t="s">
        <v>21</v>
      </c>
      <c r="M1218">
        <v>83</v>
      </c>
      <c r="N1218">
        <v>88</v>
      </c>
      <c r="O1218">
        <v>0</v>
      </c>
      <c r="P1218" t="s">
        <v>31</v>
      </c>
      <c r="Q1218">
        <v>1144</v>
      </c>
      <c r="R1218" t="s">
        <v>39</v>
      </c>
      <c r="S1218">
        <f>IF(support_tickets[[#This Row],[status_cleaned]]="closed",1,0)</f>
        <v>1</v>
      </c>
      <c r="T1218" t="str">
        <f>TEXT(support_tickets[[#This Row],[opened_at]],"mmm yyyy")</f>
        <v>Mar 2026</v>
      </c>
      <c r="U1218">
        <f>YEAR(support_tickets[[#This Row],[opened_at]])*100+MONTH(support_tickets[[#This Row],[opened_at]])</f>
        <v>202603</v>
      </c>
      <c r="V1218" s="29">
        <f>DATE(YEAR(support_tickets[[#This Row],[opened_at]]),MONTH(support_tickets[[#This Row],[opened_at]]),1)</f>
        <v>46082</v>
      </c>
    </row>
    <row r="1219" spans="1:22">
      <c r="A1219">
        <v>7776215031</v>
      </c>
      <c r="B1219">
        <v>478833337</v>
      </c>
      <c r="C1219" t="s">
        <v>1398</v>
      </c>
      <c r="D1219" t="s">
        <v>1399</v>
      </c>
      <c r="E1219">
        <v>57683626</v>
      </c>
      <c r="G1219" s="1">
        <v>45580.029178240744</v>
      </c>
      <c r="H1219" s="1">
        <v>45580.422233796293</v>
      </c>
      <c r="I1219" t="s">
        <v>56</v>
      </c>
      <c r="J1219" t="s">
        <v>86</v>
      </c>
      <c r="K1219" t="s">
        <v>47</v>
      </c>
      <c r="L1219" t="s">
        <v>21</v>
      </c>
      <c r="M1219">
        <v>55</v>
      </c>
      <c r="N1219">
        <v>566</v>
      </c>
      <c r="O1219">
        <v>0</v>
      </c>
      <c r="P1219" t="s">
        <v>87</v>
      </c>
      <c r="Q1219">
        <v>1155</v>
      </c>
      <c r="R1219" t="s">
        <v>39</v>
      </c>
      <c r="S1219">
        <f>IF(support_tickets[[#This Row],[status_cleaned]]="closed",1,0)</f>
        <v>1</v>
      </c>
      <c r="T1219" t="str">
        <f>TEXT(support_tickets[[#This Row],[opened_at]],"mmm yyyy")</f>
        <v>Oct 2024</v>
      </c>
      <c r="U1219">
        <f>YEAR(support_tickets[[#This Row],[opened_at]])*100+MONTH(support_tickets[[#This Row],[opened_at]])</f>
        <v>202410</v>
      </c>
      <c r="V1219" s="29">
        <f>DATE(YEAR(support_tickets[[#This Row],[opened_at]]),MONTH(support_tickets[[#This Row],[opened_at]]),1)</f>
        <v>45566</v>
      </c>
    </row>
    <row r="1220" spans="1:22">
      <c r="A1220">
        <v>7800397988</v>
      </c>
      <c r="B1220">
        <v>874364348</v>
      </c>
      <c r="C1220" t="s">
        <v>1400</v>
      </c>
      <c r="D1220" t="s">
        <v>1401</v>
      </c>
      <c r="E1220">
        <v>55667651</v>
      </c>
      <c r="G1220" s="1">
        <v>45720.734780092593</v>
      </c>
      <c r="H1220" s="1">
        <v>45721.149363425924</v>
      </c>
      <c r="I1220" t="s">
        <v>43</v>
      </c>
      <c r="J1220" t="s">
        <v>59</v>
      </c>
      <c r="K1220" t="s">
        <v>47</v>
      </c>
      <c r="L1220" t="s">
        <v>21</v>
      </c>
      <c r="M1220">
        <v>15</v>
      </c>
      <c r="N1220">
        <v>597</v>
      </c>
      <c r="O1220">
        <v>0</v>
      </c>
      <c r="P1220" t="s">
        <v>61</v>
      </c>
      <c r="Q1220">
        <v>1157</v>
      </c>
      <c r="R1220" t="s">
        <v>39</v>
      </c>
      <c r="S1220">
        <f>IF(support_tickets[[#This Row],[status_cleaned]]="closed",1,0)</f>
        <v>1</v>
      </c>
      <c r="T1220" t="str">
        <f>TEXT(support_tickets[[#This Row],[opened_at]],"mmm yyyy")</f>
        <v>Mar 2025</v>
      </c>
      <c r="U1220">
        <f>YEAR(support_tickets[[#This Row],[opened_at]])*100+MONTH(support_tickets[[#This Row],[opened_at]])</f>
        <v>202503</v>
      </c>
      <c r="V1220" s="29">
        <f>DATE(YEAR(support_tickets[[#This Row],[opened_at]]),MONTH(support_tickets[[#This Row],[opened_at]]),1)</f>
        <v>45717</v>
      </c>
    </row>
    <row r="1221" spans="1:22">
      <c r="A1221">
        <v>7819176070</v>
      </c>
      <c r="B1221">
        <v>799145494</v>
      </c>
      <c r="C1221" t="s">
        <v>1402</v>
      </c>
      <c r="D1221" t="s">
        <v>1403</v>
      </c>
      <c r="E1221">
        <v>42138745</v>
      </c>
      <c r="G1221" s="1">
        <v>45297.966828703706</v>
      </c>
      <c r="H1221" s="1">
        <v>45298.321689814817</v>
      </c>
      <c r="I1221" t="s">
        <v>43</v>
      </c>
      <c r="J1221" t="s">
        <v>86</v>
      </c>
      <c r="K1221" t="s">
        <v>47</v>
      </c>
      <c r="L1221" t="s">
        <v>21</v>
      </c>
      <c r="M1221">
        <v>32</v>
      </c>
      <c r="N1221">
        <v>511</v>
      </c>
      <c r="O1221">
        <v>0</v>
      </c>
      <c r="P1221" t="s">
        <v>87</v>
      </c>
      <c r="Q1221">
        <v>1161</v>
      </c>
      <c r="R1221" t="s">
        <v>39</v>
      </c>
      <c r="S1221">
        <f>IF(support_tickets[[#This Row],[status_cleaned]]="closed",1,0)</f>
        <v>1</v>
      </c>
      <c r="T1221" t="str">
        <f>TEXT(support_tickets[[#This Row],[opened_at]],"mmm yyyy")</f>
        <v>Jan 2024</v>
      </c>
      <c r="U1221">
        <f>YEAR(support_tickets[[#This Row],[opened_at]])*100+MONTH(support_tickets[[#This Row],[opened_at]])</f>
        <v>202401</v>
      </c>
      <c r="V1221" s="29">
        <f>DATE(YEAR(support_tickets[[#This Row],[opened_at]]),MONTH(support_tickets[[#This Row],[opened_at]]),1)</f>
        <v>45292</v>
      </c>
    </row>
    <row r="1222" spans="1:22">
      <c r="A1222">
        <v>7837492049</v>
      </c>
      <c r="B1222">
        <v>192573170</v>
      </c>
      <c r="C1222" t="s">
        <v>1404</v>
      </c>
      <c r="D1222" t="s">
        <v>1405</v>
      </c>
      <c r="E1222">
        <v>33978249</v>
      </c>
      <c r="G1222" s="1">
        <v>45969.094513888886</v>
      </c>
      <c r="H1222" s="1">
        <v>45969.534791666665</v>
      </c>
      <c r="I1222" t="s">
        <v>43</v>
      </c>
      <c r="J1222" t="s">
        <v>30</v>
      </c>
      <c r="K1222" t="s">
        <v>47</v>
      </c>
      <c r="L1222" t="s">
        <v>21</v>
      </c>
      <c r="M1222">
        <v>52</v>
      </c>
      <c r="N1222">
        <v>634</v>
      </c>
      <c r="O1222">
        <v>0</v>
      </c>
      <c r="P1222" t="s">
        <v>31</v>
      </c>
      <c r="Q1222">
        <v>1163</v>
      </c>
      <c r="R1222" t="s">
        <v>39</v>
      </c>
      <c r="S1222">
        <f>IF(support_tickets[[#This Row],[status_cleaned]]="closed",1,0)</f>
        <v>1</v>
      </c>
      <c r="T1222" t="str">
        <f>TEXT(support_tickets[[#This Row],[opened_at]],"mmm yyyy")</f>
        <v>Nov 2025</v>
      </c>
      <c r="U1222">
        <f>YEAR(support_tickets[[#This Row],[opened_at]])*100+MONTH(support_tickets[[#This Row],[opened_at]])</f>
        <v>202511</v>
      </c>
      <c r="V1222" s="29">
        <f>DATE(YEAR(support_tickets[[#This Row],[opened_at]]),MONTH(support_tickets[[#This Row],[opened_at]]),1)</f>
        <v>45962</v>
      </c>
    </row>
    <row r="1223" spans="1:22">
      <c r="A1223">
        <v>7856658554</v>
      </c>
      <c r="B1223">
        <v>755064741</v>
      </c>
      <c r="C1223" t="s">
        <v>654</v>
      </c>
      <c r="D1223" t="s">
        <v>655</v>
      </c>
      <c r="E1223">
        <v>81498611</v>
      </c>
      <c r="G1223" s="1">
        <v>45784.241527777776</v>
      </c>
      <c r="H1223" s="1">
        <v>45784.505416666667</v>
      </c>
      <c r="I1223" t="s">
        <v>3</v>
      </c>
      <c r="J1223" t="s">
        <v>86</v>
      </c>
      <c r="K1223" t="s">
        <v>47</v>
      </c>
      <c r="L1223" t="s">
        <v>21</v>
      </c>
      <c r="M1223">
        <v>37</v>
      </c>
      <c r="N1223">
        <v>380</v>
      </c>
      <c r="O1223">
        <v>0</v>
      </c>
      <c r="P1223" t="s">
        <v>87</v>
      </c>
      <c r="Q1223">
        <v>1167</v>
      </c>
      <c r="R1223" t="s">
        <v>39</v>
      </c>
      <c r="S1223">
        <f>IF(support_tickets[[#This Row],[status_cleaned]]="closed",1,0)</f>
        <v>1</v>
      </c>
      <c r="T1223" t="str">
        <f>TEXT(support_tickets[[#This Row],[opened_at]],"mmm yyyy")</f>
        <v>May 2025</v>
      </c>
      <c r="U1223">
        <f>YEAR(support_tickets[[#This Row],[opened_at]])*100+MONTH(support_tickets[[#This Row],[opened_at]])</f>
        <v>202505</v>
      </c>
      <c r="V1223" s="29">
        <f>DATE(YEAR(support_tickets[[#This Row],[opened_at]]),MONTH(support_tickets[[#This Row],[opened_at]]),1)</f>
        <v>45778</v>
      </c>
    </row>
    <row r="1224" spans="1:22">
      <c r="A1224">
        <v>8053938684</v>
      </c>
      <c r="B1224">
        <v>835172306</v>
      </c>
      <c r="C1224" t="s">
        <v>192</v>
      </c>
      <c r="D1224" t="s">
        <v>193</v>
      </c>
      <c r="E1224">
        <v>59684848</v>
      </c>
      <c r="F1224">
        <v>7519795910</v>
      </c>
      <c r="G1224" s="1">
        <v>45674.062372685185</v>
      </c>
      <c r="H1224" s="1">
        <v>45674.446400462963</v>
      </c>
      <c r="I1224" t="s">
        <v>43</v>
      </c>
      <c r="J1224" t="s">
        <v>86</v>
      </c>
      <c r="K1224" t="s">
        <v>47</v>
      </c>
      <c r="L1224" t="s">
        <v>21</v>
      </c>
      <c r="M1224">
        <v>57</v>
      </c>
      <c r="N1224">
        <v>553</v>
      </c>
      <c r="O1224">
        <v>0</v>
      </c>
      <c r="P1224" t="s">
        <v>87</v>
      </c>
      <c r="Q1224">
        <v>1190</v>
      </c>
      <c r="R1224" t="s">
        <v>39</v>
      </c>
      <c r="S1224">
        <f>IF(support_tickets[[#This Row],[status_cleaned]]="closed",1,0)</f>
        <v>1</v>
      </c>
      <c r="T1224" t="str">
        <f>TEXT(support_tickets[[#This Row],[opened_at]],"mmm yyyy")</f>
        <v>Jan 2025</v>
      </c>
      <c r="U1224">
        <f>YEAR(support_tickets[[#This Row],[opened_at]])*100+MONTH(support_tickets[[#This Row],[opened_at]])</f>
        <v>202501</v>
      </c>
      <c r="V1224" s="29">
        <f>DATE(YEAR(support_tickets[[#This Row],[opened_at]]),MONTH(support_tickets[[#This Row],[opened_at]]),1)</f>
        <v>45658</v>
      </c>
    </row>
    <row r="1225" spans="1:22">
      <c r="A1225">
        <v>8077873290</v>
      </c>
      <c r="B1225">
        <v>847401602</v>
      </c>
      <c r="C1225" t="s">
        <v>1427</v>
      </c>
      <c r="D1225" t="s">
        <v>1428</v>
      </c>
      <c r="E1225">
        <v>45575298</v>
      </c>
      <c r="F1225">
        <v>3546395964</v>
      </c>
      <c r="G1225" s="1">
        <v>45927.213993055557</v>
      </c>
      <c r="H1225" s="1">
        <v>45927.368159722224</v>
      </c>
      <c r="I1225" t="s">
        <v>3</v>
      </c>
      <c r="J1225" t="s">
        <v>59</v>
      </c>
      <c r="K1225" t="s">
        <v>47</v>
      </c>
      <c r="L1225" t="s">
        <v>21</v>
      </c>
      <c r="M1225">
        <v>55</v>
      </c>
      <c r="N1225">
        <v>222</v>
      </c>
      <c r="O1225">
        <v>0</v>
      </c>
      <c r="P1225" t="s">
        <v>61</v>
      </c>
      <c r="Q1225">
        <v>1192</v>
      </c>
      <c r="R1225" t="s">
        <v>39</v>
      </c>
      <c r="S1225">
        <f>IF(support_tickets[[#This Row],[status_cleaned]]="closed",1,0)</f>
        <v>1</v>
      </c>
      <c r="T1225" t="str">
        <f>TEXT(support_tickets[[#This Row],[opened_at]],"mmm yyyy")</f>
        <v>Sep 2025</v>
      </c>
      <c r="U1225">
        <f>YEAR(support_tickets[[#This Row],[opened_at]])*100+MONTH(support_tickets[[#This Row],[opened_at]])</f>
        <v>202509</v>
      </c>
      <c r="V1225" s="29">
        <f>DATE(YEAR(support_tickets[[#This Row],[opened_at]]),MONTH(support_tickets[[#This Row],[opened_at]]),1)</f>
        <v>45901</v>
      </c>
    </row>
    <row r="1226" spans="1:22">
      <c r="A1226">
        <v>8092416273</v>
      </c>
      <c r="B1226">
        <v>530121245</v>
      </c>
      <c r="C1226" t="s">
        <v>472</v>
      </c>
      <c r="D1226" t="s">
        <v>473</v>
      </c>
      <c r="E1226">
        <v>35808537</v>
      </c>
      <c r="G1226" s="1">
        <v>45529.067604166667</v>
      </c>
      <c r="H1226" s="1">
        <v>45529.320381944446</v>
      </c>
      <c r="I1226" t="s">
        <v>37</v>
      </c>
      <c r="J1226" t="s">
        <v>19</v>
      </c>
      <c r="K1226" t="s">
        <v>47</v>
      </c>
      <c r="L1226" t="s">
        <v>21</v>
      </c>
      <c r="M1226">
        <v>1</v>
      </c>
      <c r="N1226">
        <v>364</v>
      </c>
      <c r="O1226">
        <v>0</v>
      </c>
      <c r="P1226" t="s">
        <v>22</v>
      </c>
      <c r="Q1226">
        <v>1195</v>
      </c>
      <c r="R1226" t="s">
        <v>39</v>
      </c>
      <c r="S1226">
        <f>IF(support_tickets[[#This Row],[status_cleaned]]="closed",1,0)</f>
        <v>1</v>
      </c>
      <c r="T1226" t="str">
        <f>TEXT(support_tickets[[#This Row],[opened_at]],"mmm yyyy")</f>
        <v>Aug 2024</v>
      </c>
      <c r="U1226">
        <f>YEAR(support_tickets[[#This Row],[opened_at]])*100+MONTH(support_tickets[[#This Row],[opened_at]])</f>
        <v>202408</v>
      </c>
      <c r="V1226" s="29">
        <f>DATE(YEAR(support_tickets[[#This Row],[opened_at]]),MONTH(support_tickets[[#This Row],[opened_at]]),1)</f>
        <v>45505</v>
      </c>
    </row>
    <row r="1227" spans="1:22">
      <c r="A1227">
        <v>8104390575</v>
      </c>
      <c r="B1227">
        <v>673390109</v>
      </c>
      <c r="C1227" t="s">
        <v>1429</v>
      </c>
      <c r="D1227" t="s">
        <v>1430</v>
      </c>
      <c r="E1227">
        <v>87490893</v>
      </c>
      <c r="G1227" s="1">
        <v>45981.212916666664</v>
      </c>
      <c r="H1227" s="1">
        <v>45981.399722222224</v>
      </c>
      <c r="I1227" t="s">
        <v>37</v>
      </c>
      <c r="J1227" t="s">
        <v>59</v>
      </c>
      <c r="K1227" t="s">
        <v>47</v>
      </c>
      <c r="L1227" t="s">
        <v>21</v>
      </c>
      <c r="M1227">
        <v>47</v>
      </c>
      <c r="N1227">
        <v>269</v>
      </c>
      <c r="O1227">
        <v>0</v>
      </c>
      <c r="P1227" t="s">
        <v>61</v>
      </c>
      <c r="Q1227">
        <v>1196</v>
      </c>
      <c r="R1227" t="s">
        <v>39</v>
      </c>
      <c r="S1227">
        <f>IF(support_tickets[[#This Row],[status_cleaned]]="closed",1,0)</f>
        <v>1</v>
      </c>
      <c r="T1227" t="str">
        <f>TEXT(support_tickets[[#This Row],[opened_at]],"mmm yyyy")</f>
        <v>Nov 2025</v>
      </c>
      <c r="U1227">
        <f>YEAR(support_tickets[[#This Row],[opened_at]])*100+MONTH(support_tickets[[#This Row],[opened_at]])</f>
        <v>202511</v>
      </c>
      <c r="V1227" s="29">
        <f>DATE(YEAR(support_tickets[[#This Row],[opened_at]]),MONTH(support_tickets[[#This Row],[opened_at]]),1)</f>
        <v>45962</v>
      </c>
    </row>
    <row r="1228" spans="1:22">
      <c r="A1228">
        <v>8152259379</v>
      </c>
      <c r="B1228">
        <v>341449138</v>
      </c>
      <c r="C1228" t="s">
        <v>470</v>
      </c>
      <c r="D1228" t="s">
        <v>471</v>
      </c>
      <c r="E1228">
        <v>91030736</v>
      </c>
      <c r="G1228" s="1">
        <v>46083.316712962966</v>
      </c>
      <c r="H1228" s="1">
        <v>46083.766018518516</v>
      </c>
      <c r="I1228" t="s">
        <v>56</v>
      </c>
      <c r="J1228" t="s">
        <v>38</v>
      </c>
      <c r="K1228" t="s">
        <v>47</v>
      </c>
      <c r="L1228" t="s">
        <v>21</v>
      </c>
      <c r="M1228">
        <v>54</v>
      </c>
      <c r="N1228">
        <v>647</v>
      </c>
      <c r="O1228">
        <v>0</v>
      </c>
      <c r="P1228" t="s">
        <v>40</v>
      </c>
      <c r="Q1228">
        <v>1202</v>
      </c>
      <c r="R1228" t="s">
        <v>39</v>
      </c>
      <c r="S1228">
        <f>IF(support_tickets[[#This Row],[status_cleaned]]="closed",1,0)</f>
        <v>1</v>
      </c>
      <c r="T1228" t="str">
        <f>TEXT(support_tickets[[#This Row],[opened_at]],"mmm yyyy")</f>
        <v>Mar 2026</v>
      </c>
      <c r="U1228">
        <f>YEAR(support_tickets[[#This Row],[opened_at]])*100+MONTH(support_tickets[[#This Row],[opened_at]])</f>
        <v>202603</v>
      </c>
      <c r="V1228" s="29">
        <f>DATE(YEAR(support_tickets[[#This Row],[opened_at]]),MONTH(support_tickets[[#This Row],[opened_at]]),1)</f>
        <v>46082</v>
      </c>
    </row>
    <row r="1229" spans="1:22">
      <c r="A1229">
        <v>8191770328</v>
      </c>
      <c r="B1229">
        <v>605547798</v>
      </c>
      <c r="C1229" t="s">
        <v>772</v>
      </c>
      <c r="D1229" t="s">
        <v>773</v>
      </c>
      <c r="E1229">
        <v>10076758</v>
      </c>
      <c r="G1229" s="1">
        <v>46007.096828703703</v>
      </c>
      <c r="H1229" s="1">
        <v>46007.47252314815</v>
      </c>
      <c r="I1229" t="s">
        <v>56</v>
      </c>
      <c r="J1229" t="s">
        <v>38</v>
      </c>
      <c r="K1229" t="s">
        <v>47</v>
      </c>
      <c r="L1229" t="s">
        <v>21</v>
      </c>
      <c r="M1229">
        <v>63</v>
      </c>
      <c r="N1229">
        <v>541</v>
      </c>
      <c r="O1229">
        <v>0</v>
      </c>
      <c r="P1229" t="s">
        <v>40</v>
      </c>
      <c r="Q1229">
        <v>1209</v>
      </c>
      <c r="R1229" t="s">
        <v>39</v>
      </c>
      <c r="S1229">
        <f>IF(support_tickets[[#This Row],[status_cleaned]]="closed",1,0)</f>
        <v>1</v>
      </c>
      <c r="T1229" t="str">
        <f>TEXT(support_tickets[[#This Row],[opened_at]],"mmm yyyy")</f>
        <v>Dec 2025</v>
      </c>
      <c r="U1229">
        <f>YEAR(support_tickets[[#This Row],[opened_at]])*100+MONTH(support_tickets[[#This Row],[opened_at]])</f>
        <v>202512</v>
      </c>
      <c r="V1229" s="29">
        <f>DATE(YEAR(support_tickets[[#This Row],[opened_at]]),MONTH(support_tickets[[#This Row],[opened_at]]),1)</f>
        <v>45992</v>
      </c>
    </row>
    <row r="1230" spans="1:22">
      <c r="A1230">
        <v>8214323842</v>
      </c>
      <c r="B1230">
        <v>344322679</v>
      </c>
      <c r="C1230" t="s">
        <v>1443</v>
      </c>
      <c r="D1230" t="s">
        <v>1444</v>
      </c>
      <c r="E1230">
        <v>83793389</v>
      </c>
      <c r="F1230">
        <v>3939637388</v>
      </c>
      <c r="G1230" s="1">
        <v>45460.124699074076</v>
      </c>
      <c r="H1230" s="1">
        <v>45460.218449074076</v>
      </c>
      <c r="I1230" t="s">
        <v>56</v>
      </c>
      <c r="J1230" t="s">
        <v>19</v>
      </c>
      <c r="K1230" t="s">
        <v>47</v>
      </c>
      <c r="L1230" t="s">
        <v>21</v>
      </c>
      <c r="M1230">
        <v>56</v>
      </c>
      <c r="N1230">
        <v>135</v>
      </c>
      <c r="O1230">
        <v>0</v>
      </c>
      <c r="P1230" t="s">
        <v>22</v>
      </c>
      <c r="Q1230">
        <v>1216</v>
      </c>
      <c r="R1230" t="s">
        <v>39</v>
      </c>
      <c r="S1230">
        <f>IF(support_tickets[[#This Row],[status_cleaned]]="closed",1,0)</f>
        <v>1</v>
      </c>
      <c r="T1230" t="str">
        <f>TEXT(support_tickets[[#This Row],[opened_at]],"mmm yyyy")</f>
        <v>Jun 2024</v>
      </c>
      <c r="U1230">
        <f>YEAR(support_tickets[[#This Row],[opened_at]])*100+MONTH(support_tickets[[#This Row],[opened_at]])</f>
        <v>202406</v>
      </c>
      <c r="V1230" s="29">
        <f>DATE(YEAR(support_tickets[[#This Row],[opened_at]]),MONTH(support_tickets[[#This Row],[opened_at]]),1)</f>
        <v>45444</v>
      </c>
    </row>
    <row r="1231" spans="1:22">
      <c r="A1231">
        <v>8401467732</v>
      </c>
      <c r="B1231">
        <v>461971444</v>
      </c>
      <c r="C1231" t="s">
        <v>1318</v>
      </c>
      <c r="D1231" t="s">
        <v>1319</v>
      </c>
      <c r="E1231">
        <v>75579548</v>
      </c>
      <c r="F1231">
        <v>2634106492</v>
      </c>
      <c r="G1231" s="1">
        <v>45503.161944444444</v>
      </c>
      <c r="H1231" s="1">
        <v>45503.371666666666</v>
      </c>
      <c r="I1231" t="s">
        <v>52</v>
      </c>
      <c r="J1231" t="s">
        <v>25</v>
      </c>
      <c r="K1231" t="s">
        <v>47</v>
      </c>
      <c r="L1231" t="s">
        <v>21</v>
      </c>
      <c r="M1231">
        <v>57</v>
      </c>
      <c r="N1231">
        <v>302</v>
      </c>
      <c r="O1231">
        <v>0</v>
      </c>
      <c r="P1231" t="s">
        <v>27</v>
      </c>
      <c r="Q1231">
        <v>1238</v>
      </c>
      <c r="R1231" t="s">
        <v>39</v>
      </c>
      <c r="S1231">
        <f>IF(support_tickets[[#This Row],[status_cleaned]]="closed",1,0)</f>
        <v>1</v>
      </c>
      <c r="T1231" t="str">
        <f>TEXT(support_tickets[[#This Row],[opened_at]],"mmm yyyy")</f>
        <v>Jul 2024</v>
      </c>
      <c r="U1231">
        <f>YEAR(support_tickets[[#This Row],[opened_at]])*100+MONTH(support_tickets[[#This Row],[opened_at]])</f>
        <v>202407</v>
      </c>
      <c r="V1231" s="29">
        <f>DATE(YEAR(support_tickets[[#This Row],[opened_at]]),MONTH(support_tickets[[#This Row],[opened_at]]),1)</f>
        <v>45474</v>
      </c>
    </row>
    <row r="1232" spans="1:22">
      <c r="A1232">
        <v>8402405967</v>
      </c>
      <c r="B1232">
        <v>341096660</v>
      </c>
      <c r="C1232" t="s">
        <v>1048</v>
      </c>
      <c r="D1232" t="s">
        <v>1049</v>
      </c>
      <c r="E1232">
        <v>49349722</v>
      </c>
      <c r="F1232">
        <v>4910446704</v>
      </c>
      <c r="G1232" s="1">
        <v>45988.32508101852</v>
      </c>
      <c r="H1232" s="1">
        <v>45988.361886574072</v>
      </c>
      <c r="I1232" t="s">
        <v>18</v>
      </c>
      <c r="J1232" t="s">
        <v>86</v>
      </c>
      <c r="K1232" t="s">
        <v>47</v>
      </c>
      <c r="L1232" t="s">
        <v>21</v>
      </c>
      <c r="M1232">
        <v>34</v>
      </c>
      <c r="N1232">
        <v>53</v>
      </c>
      <c r="O1232">
        <v>0</v>
      </c>
      <c r="P1232" t="s">
        <v>87</v>
      </c>
      <c r="Q1232">
        <v>1239</v>
      </c>
      <c r="R1232" t="s">
        <v>39</v>
      </c>
      <c r="S1232">
        <f>IF(support_tickets[[#This Row],[status_cleaned]]="closed",1,0)</f>
        <v>1</v>
      </c>
      <c r="T1232" t="str">
        <f>TEXT(support_tickets[[#This Row],[opened_at]],"mmm yyyy")</f>
        <v>Nov 2025</v>
      </c>
      <c r="U1232">
        <f>YEAR(support_tickets[[#This Row],[opened_at]])*100+MONTH(support_tickets[[#This Row],[opened_at]])</f>
        <v>202511</v>
      </c>
      <c r="V1232" s="29">
        <f>DATE(YEAR(support_tickets[[#This Row],[opened_at]]),MONTH(support_tickets[[#This Row],[opened_at]]),1)</f>
        <v>45962</v>
      </c>
    </row>
    <row r="1233" spans="1:22">
      <c r="A1233">
        <v>8405370349</v>
      </c>
      <c r="B1233">
        <v>380016058</v>
      </c>
      <c r="C1233" t="s">
        <v>214</v>
      </c>
      <c r="D1233" t="s">
        <v>215</v>
      </c>
      <c r="E1233">
        <v>40587988</v>
      </c>
      <c r="F1233">
        <v>6816218289</v>
      </c>
      <c r="G1233" s="1">
        <v>45331.572453703702</v>
      </c>
      <c r="H1233" s="1">
        <v>45332.19259259259</v>
      </c>
      <c r="I1233" t="s">
        <v>56</v>
      </c>
      <c r="J1233" t="s">
        <v>86</v>
      </c>
      <c r="K1233" t="s">
        <v>47</v>
      </c>
      <c r="L1233" t="s">
        <v>21</v>
      </c>
      <c r="M1233">
        <v>53</v>
      </c>
      <c r="N1233">
        <v>893</v>
      </c>
      <c r="O1233">
        <v>0</v>
      </c>
      <c r="P1233" t="s">
        <v>87</v>
      </c>
      <c r="Q1233">
        <v>1240</v>
      </c>
      <c r="R1233" t="s">
        <v>39</v>
      </c>
      <c r="S1233">
        <f>IF(support_tickets[[#This Row],[status_cleaned]]="closed",1,0)</f>
        <v>1</v>
      </c>
      <c r="T1233" t="str">
        <f>TEXT(support_tickets[[#This Row],[opened_at]],"mmm yyyy")</f>
        <v>Feb 2024</v>
      </c>
      <c r="U1233">
        <f>YEAR(support_tickets[[#This Row],[opened_at]])*100+MONTH(support_tickets[[#This Row],[opened_at]])</f>
        <v>202402</v>
      </c>
      <c r="V1233" s="29">
        <f>DATE(YEAR(support_tickets[[#This Row],[opened_at]]),MONTH(support_tickets[[#This Row],[opened_at]]),1)</f>
        <v>45323</v>
      </c>
    </row>
    <row r="1234" spans="1:22">
      <c r="A1234">
        <v>8459264626</v>
      </c>
      <c r="B1234">
        <v>746879296</v>
      </c>
      <c r="C1234" t="s">
        <v>1457</v>
      </c>
      <c r="D1234" t="s">
        <v>1458</v>
      </c>
      <c r="E1234">
        <v>95225343</v>
      </c>
      <c r="G1234" s="1">
        <v>45610.020937499998</v>
      </c>
      <c r="H1234" s="1">
        <v>45610.803576388891</v>
      </c>
      <c r="I1234" t="s">
        <v>52</v>
      </c>
      <c r="J1234" t="s">
        <v>25</v>
      </c>
      <c r="K1234" t="s">
        <v>47</v>
      </c>
      <c r="L1234" t="s">
        <v>21</v>
      </c>
      <c r="M1234">
        <v>53</v>
      </c>
      <c r="N1234">
        <v>1127</v>
      </c>
      <c r="O1234">
        <v>0</v>
      </c>
      <c r="P1234" t="s">
        <v>27</v>
      </c>
      <c r="Q1234">
        <v>1248</v>
      </c>
      <c r="R1234" t="s">
        <v>39</v>
      </c>
      <c r="S1234">
        <f>IF(support_tickets[[#This Row],[status_cleaned]]="closed",1,0)</f>
        <v>1</v>
      </c>
      <c r="T1234" t="str">
        <f>TEXT(support_tickets[[#This Row],[opened_at]],"mmm yyyy")</f>
        <v>Nov 2024</v>
      </c>
      <c r="U1234">
        <f>YEAR(support_tickets[[#This Row],[opened_at]])*100+MONTH(support_tickets[[#This Row],[opened_at]])</f>
        <v>202411</v>
      </c>
      <c r="V1234" s="29">
        <f>DATE(YEAR(support_tickets[[#This Row],[opened_at]]),MONTH(support_tickets[[#This Row],[opened_at]]),1)</f>
        <v>45597</v>
      </c>
    </row>
    <row r="1235" spans="1:22">
      <c r="A1235">
        <v>8527611302</v>
      </c>
      <c r="B1235">
        <v>507693523</v>
      </c>
      <c r="C1235" t="s">
        <v>16</v>
      </c>
      <c r="D1235" t="s">
        <v>17</v>
      </c>
      <c r="E1235">
        <v>45833156</v>
      </c>
      <c r="G1235" s="1">
        <v>45627.741238425922</v>
      </c>
      <c r="H1235" s="1">
        <v>45627.930821759262</v>
      </c>
      <c r="I1235" t="s">
        <v>46</v>
      </c>
      <c r="J1235" t="s">
        <v>25</v>
      </c>
      <c r="K1235" t="s">
        <v>47</v>
      </c>
      <c r="L1235" t="s">
        <v>21</v>
      </c>
      <c r="M1235">
        <v>23</v>
      </c>
      <c r="N1235">
        <v>273</v>
      </c>
      <c r="O1235">
        <v>0</v>
      </c>
      <c r="P1235" t="s">
        <v>27</v>
      </c>
      <c r="Q1235">
        <v>1264</v>
      </c>
      <c r="R1235" t="s">
        <v>39</v>
      </c>
      <c r="S1235">
        <f>IF(support_tickets[[#This Row],[status_cleaned]]="closed",1,0)</f>
        <v>1</v>
      </c>
      <c r="T1235" t="str">
        <f>TEXT(support_tickets[[#This Row],[opened_at]],"mmm yyyy")</f>
        <v>Dec 2024</v>
      </c>
      <c r="U1235">
        <f>YEAR(support_tickets[[#This Row],[opened_at]])*100+MONTH(support_tickets[[#This Row],[opened_at]])</f>
        <v>202412</v>
      </c>
      <c r="V1235" s="29">
        <f>DATE(YEAR(support_tickets[[#This Row],[opened_at]]),MONTH(support_tickets[[#This Row],[opened_at]]),1)</f>
        <v>45627</v>
      </c>
    </row>
    <row r="1236" spans="1:22">
      <c r="A1236">
        <v>8558831076</v>
      </c>
      <c r="B1236">
        <v>975535611</v>
      </c>
      <c r="C1236" t="s">
        <v>678</v>
      </c>
      <c r="D1236" t="s">
        <v>679</v>
      </c>
      <c r="E1236">
        <v>17774584</v>
      </c>
      <c r="G1236" s="1">
        <v>45492.098379629628</v>
      </c>
      <c r="H1236" s="1">
        <v>45492.275462962964</v>
      </c>
      <c r="I1236" t="s">
        <v>37</v>
      </c>
      <c r="J1236" t="s">
        <v>30</v>
      </c>
      <c r="K1236" t="s">
        <v>47</v>
      </c>
      <c r="L1236" t="s">
        <v>21</v>
      </c>
      <c r="M1236">
        <v>34</v>
      </c>
      <c r="N1236">
        <v>255</v>
      </c>
      <c r="O1236">
        <v>0</v>
      </c>
      <c r="P1236" t="s">
        <v>31</v>
      </c>
      <c r="Q1236">
        <v>1271</v>
      </c>
      <c r="R1236" t="s">
        <v>39</v>
      </c>
      <c r="S1236">
        <f>IF(support_tickets[[#This Row],[status_cleaned]]="closed",1,0)</f>
        <v>1</v>
      </c>
      <c r="T1236" t="str">
        <f>TEXT(support_tickets[[#This Row],[opened_at]],"mmm yyyy")</f>
        <v>Jul 2024</v>
      </c>
      <c r="U1236">
        <f>YEAR(support_tickets[[#This Row],[opened_at]])*100+MONTH(support_tickets[[#This Row],[opened_at]])</f>
        <v>202407</v>
      </c>
      <c r="V1236" s="29">
        <f>DATE(YEAR(support_tickets[[#This Row],[opened_at]]),MONTH(support_tickets[[#This Row],[opened_at]]),1)</f>
        <v>45474</v>
      </c>
    </row>
    <row r="1237" spans="1:22">
      <c r="A1237">
        <v>8561199922</v>
      </c>
      <c r="B1237">
        <v>146744734</v>
      </c>
      <c r="C1237" t="s">
        <v>254</v>
      </c>
      <c r="D1237" t="s">
        <v>255</v>
      </c>
      <c r="E1237">
        <v>31682744</v>
      </c>
      <c r="F1237">
        <v>2433400257</v>
      </c>
      <c r="G1237" s="1">
        <v>45359.497719907406</v>
      </c>
      <c r="H1237" s="1">
        <v>45359.644247685188</v>
      </c>
      <c r="I1237" t="s">
        <v>56</v>
      </c>
      <c r="J1237" t="s">
        <v>38</v>
      </c>
      <c r="K1237" t="s">
        <v>47</v>
      </c>
      <c r="L1237" t="s">
        <v>21</v>
      </c>
      <c r="M1237">
        <v>48</v>
      </c>
      <c r="N1237">
        <v>211</v>
      </c>
      <c r="O1237">
        <v>0</v>
      </c>
      <c r="P1237" t="s">
        <v>40</v>
      </c>
      <c r="Q1237">
        <v>1272</v>
      </c>
      <c r="R1237" t="s">
        <v>39</v>
      </c>
      <c r="S1237">
        <f>IF(support_tickets[[#This Row],[status_cleaned]]="closed",1,0)</f>
        <v>1</v>
      </c>
      <c r="T1237" t="str">
        <f>TEXT(support_tickets[[#This Row],[opened_at]],"mmm yyyy")</f>
        <v>Mar 2024</v>
      </c>
      <c r="U1237">
        <f>YEAR(support_tickets[[#This Row],[opened_at]])*100+MONTH(support_tickets[[#This Row],[opened_at]])</f>
        <v>202403</v>
      </c>
      <c r="V1237" s="29">
        <f>DATE(YEAR(support_tickets[[#This Row],[opened_at]]),MONTH(support_tickets[[#This Row],[opened_at]]),1)</f>
        <v>45352</v>
      </c>
    </row>
    <row r="1238" spans="1:22">
      <c r="A1238">
        <v>8579267656</v>
      </c>
      <c r="B1238">
        <v>581682167</v>
      </c>
      <c r="C1238" t="s">
        <v>1094</v>
      </c>
      <c r="D1238" t="s">
        <v>1095</v>
      </c>
      <c r="E1238">
        <v>91415657</v>
      </c>
      <c r="G1238" s="1">
        <v>45687.508113425924</v>
      </c>
      <c r="H1238" s="1">
        <v>45687.897696759261</v>
      </c>
      <c r="I1238" t="s">
        <v>46</v>
      </c>
      <c r="J1238" t="s">
        <v>59</v>
      </c>
      <c r="K1238" t="s">
        <v>47</v>
      </c>
      <c r="L1238" t="s">
        <v>21</v>
      </c>
      <c r="M1238">
        <v>10</v>
      </c>
      <c r="N1238">
        <v>561</v>
      </c>
      <c r="O1238">
        <v>0</v>
      </c>
      <c r="P1238" t="s">
        <v>61</v>
      </c>
      <c r="Q1238">
        <v>1275</v>
      </c>
      <c r="R1238" t="s">
        <v>39</v>
      </c>
      <c r="S1238">
        <f>IF(support_tickets[[#This Row],[status_cleaned]]="closed",1,0)</f>
        <v>1</v>
      </c>
      <c r="T1238" t="str">
        <f>TEXT(support_tickets[[#This Row],[opened_at]],"mmm yyyy")</f>
        <v>Jan 2025</v>
      </c>
      <c r="U1238">
        <f>YEAR(support_tickets[[#This Row],[opened_at]])*100+MONTH(support_tickets[[#This Row],[opened_at]])</f>
        <v>202501</v>
      </c>
      <c r="V1238" s="29">
        <f>DATE(YEAR(support_tickets[[#This Row],[opened_at]]),MONTH(support_tickets[[#This Row],[opened_at]]),1)</f>
        <v>45658</v>
      </c>
    </row>
    <row r="1239" spans="1:22">
      <c r="A1239">
        <v>8588536155</v>
      </c>
      <c r="B1239">
        <v>910395417</v>
      </c>
      <c r="C1239" t="s">
        <v>1467</v>
      </c>
      <c r="D1239" t="s">
        <v>1468</v>
      </c>
      <c r="E1239">
        <v>19289546</v>
      </c>
      <c r="G1239" s="1">
        <v>45938.583518518521</v>
      </c>
      <c r="H1239" s="1">
        <v>45939.097407407404</v>
      </c>
      <c r="I1239" t="s">
        <v>3</v>
      </c>
      <c r="J1239" t="s">
        <v>86</v>
      </c>
      <c r="K1239" t="s">
        <v>47</v>
      </c>
      <c r="L1239" t="s">
        <v>21</v>
      </c>
      <c r="M1239">
        <v>66</v>
      </c>
      <c r="N1239">
        <v>740</v>
      </c>
      <c r="O1239">
        <v>0</v>
      </c>
      <c r="P1239" t="s">
        <v>87</v>
      </c>
      <c r="Q1239">
        <v>1276</v>
      </c>
      <c r="R1239" t="s">
        <v>39</v>
      </c>
      <c r="S1239">
        <f>IF(support_tickets[[#This Row],[status_cleaned]]="closed",1,0)</f>
        <v>1</v>
      </c>
      <c r="T1239" t="str">
        <f>TEXT(support_tickets[[#This Row],[opened_at]],"mmm yyyy")</f>
        <v>Oct 2025</v>
      </c>
      <c r="U1239">
        <f>YEAR(support_tickets[[#This Row],[opened_at]])*100+MONTH(support_tickets[[#This Row],[opened_at]])</f>
        <v>202510</v>
      </c>
      <c r="V1239" s="29">
        <f>DATE(YEAR(support_tickets[[#This Row],[opened_at]]),MONTH(support_tickets[[#This Row],[opened_at]]),1)</f>
        <v>45931</v>
      </c>
    </row>
    <row r="1240" spans="1:22">
      <c r="A1240">
        <v>8588860325</v>
      </c>
      <c r="B1240">
        <v>769200551</v>
      </c>
      <c r="C1240" t="s">
        <v>1110</v>
      </c>
      <c r="D1240" t="s">
        <v>1111</v>
      </c>
      <c r="E1240">
        <v>46913810</v>
      </c>
      <c r="F1240">
        <v>7301035934</v>
      </c>
      <c r="G1240" s="1">
        <v>46095.570300925923</v>
      </c>
      <c r="H1240" s="1">
        <v>46096.028634259259</v>
      </c>
      <c r="I1240" t="s">
        <v>46</v>
      </c>
      <c r="J1240" t="s">
        <v>30</v>
      </c>
      <c r="K1240" t="s">
        <v>47</v>
      </c>
      <c r="L1240" t="s">
        <v>21</v>
      </c>
      <c r="M1240">
        <v>1</v>
      </c>
      <c r="N1240">
        <v>660</v>
      </c>
      <c r="O1240">
        <v>0</v>
      </c>
      <c r="P1240" t="s">
        <v>31</v>
      </c>
      <c r="Q1240">
        <v>1277</v>
      </c>
      <c r="R1240" t="s">
        <v>39</v>
      </c>
      <c r="S1240">
        <f>IF(support_tickets[[#This Row],[status_cleaned]]="closed",1,0)</f>
        <v>1</v>
      </c>
      <c r="T1240" t="str">
        <f>TEXT(support_tickets[[#This Row],[opened_at]],"mmm yyyy")</f>
        <v>Mar 2026</v>
      </c>
      <c r="U1240">
        <f>YEAR(support_tickets[[#This Row],[opened_at]])*100+MONTH(support_tickets[[#This Row],[opened_at]])</f>
        <v>202603</v>
      </c>
      <c r="V1240" s="29">
        <f>DATE(YEAR(support_tickets[[#This Row],[opened_at]]),MONTH(support_tickets[[#This Row],[opened_at]]),1)</f>
        <v>46082</v>
      </c>
    </row>
    <row r="1241" spans="1:22">
      <c r="A1241">
        <v>8645367105</v>
      </c>
      <c r="B1241">
        <v>392956587</v>
      </c>
      <c r="C1241" t="s">
        <v>198</v>
      </c>
      <c r="D1241" t="s">
        <v>199</v>
      </c>
      <c r="E1241">
        <v>63843426</v>
      </c>
      <c r="G1241" s="1">
        <v>45892.466516203705</v>
      </c>
      <c r="H1241" s="1">
        <v>45892.735960648148</v>
      </c>
      <c r="I1241" t="s">
        <v>3</v>
      </c>
      <c r="J1241" t="s">
        <v>30</v>
      </c>
      <c r="K1241" t="s">
        <v>47</v>
      </c>
      <c r="L1241" t="s">
        <v>21</v>
      </c>
      <c r="M1241">
        <v>30</v>
      </c>
      <c r="N1241">
        <v>388</v>
      </c>
      <c r="O1241">
        <v>0</v>
      </c>
      <c r="P1241" t="s">
        <v>31</v>
      </c>
      <c r="Q1241">
        <v>1288</v>
      </c>
      <c r="R1241" t="s">
        <v>39</v>
      </c>
      <c r="S1241">
        <f>IF(support_tickets[[#This Row],[status_cleaned]]="closed",1,0)</f>
        <v>1</v>
      </c>
      <c r="T1241" t="str">
        <f>TEXT(support_tickets[[#This Row],[opened_at]],"mmm yyyy")</f>
        <v>Aug 2025</v>
      </c>
      <c r="U1241">
        <f>YEAR(support_tickets[[#This Row],[opened_at]])*100+MONTH(support_tickets[[#This Row],[opened_at]])</f>
        <v>202508</v>
      </c>
      <c r="V1241" s="29">
        <f>DATE(YEAR(support_tickets[[#This Row],[opened_at]]),MONTH(support_tickets[[#This Row],[opened_at]]),1)</f>
        <v>45870</v>
      </c>
    </row>
    <row r="1242" spans="1:22">
      <c r="A1242">
        <v>8648927867</v>
      </c>
      <c r="B1242">
        <v>715122372</v>
      </c>
      <c r="C1242" t="s">
        <v>1102</v>
      </c>
      <c r="D1242" t="s">
        <v>1103</v>
      </c>
      <c r="E1242">
        <v>63100814</v>
      </c>
      <c r="F1242">
        <v>3112353306</v>
      </c>
      <c r="G1242" s="1">
        <v>45685.569513888891</v>
      </c>
      <c r="H1242" s="1">
        <v>45685.909097222226</v>
      </c>
      <c r="I1242" t="s">
        <v>56</v>
      </c>
      <c r="J1242" t="s">
        <v>25</v>
      </c>
      <c r="K1242" t="s">
        <v>47</v>
      </c>
      <c r="L1242" t="s">
        <v>21</v>
      </c>
      <c r="M1242">
        <v>63</v>
      </c>
      <c r="N1242">
        <v>489</v>
      </c>
      <c r="O1242">
        <v>0</v>
      </c>
      <c r="P1242" t="s">
        <v>27</v>
      </c>
      <c r="Q1242">
        <v>1290</v>
      </c>
      <c r="R1242" t="s">
        <v>39</v>
      </c>
      <c r="S1242">
        <f>IF(support_tickets[[#This Row],[status_cleaned]]="closed",1,0)</f>
        <v>1</v>
      </c>
      <c r="T1242" t="str">
        <f>TEXT(support_tickets[[#This Row],[opened_at]],"mmm yyyy")</f>
        <v>Jan 2025</v>
      </c>
      <c r="U1242">
        <f>YEAR(support_tickets[[#This Row],[opened_at]])*100+MONTH(support_tickets[[#This Row],[opened_at]])</f>
        <v>202501</v>
      </c>
      <c r="V1242" s="29">
        <f>DATE(YEAR(support_tickets[[#This Row],[opened_at]]),MONTH(support_tickets[[#This Row],[opened_at]]),1)</f>
        <v>45658</v>
      </c>
    </row>
    <row r="1243" spans="1:22">
      <c r="A1243">
        <v>8682236820</v>
      </c>
      <c r="B1243">
        <v>415429295</v>
      </c>
      <c r="C1243" t="s">
        <v>722</v>
      </c>
      <c r="D1243" t="s">
        <v>723</v>
      </c>
      <c r="E1243">
        <v>51273847</v>
      </c>
      <c r="F1243">
        <v>6780272082</v>
      </c>
      <c r="G1243" s="1">
        <v>45334.253935185188</v>
      </c>
      <c r="H1243" s="1">
        <v>45334.835879629631</v>
      </c>
      <c r="I1243" t="s">
        <v>43</v>
      </c>
      <c r="J1243" t="s">
        <v>19</v>
      </c>
      <c r="K1243" t="s">
        <v>47</v>
      </c>
      <c r="L1243" t="s">
        <v>21</v>
      </c>
      <c r="M1243">
        <v>53</v>
      </c>
      <c r="N1243">
        <v>838</v>
      </c>
      <c r="O1243">
        <v>0</v>
      </c>
      <c r="P1243" t="s">
        <v>22</v>
      </c>
      <c r="Q1243">
        <v>1294</v>
      </c>
      <c r="R1243" t="s">
        <v>39</v>
      </c>
      <c r="S1243">
        <f>IF(support_tickets[[#This Row],[status_cleaned]]="closed",1,0)</f>
        <v>1</v>
      </c>
      <c r="T1243" t="str">
        <f>TEXT(support_tickets[[#This Row],[opened_at]],"mmm yyyy")</f>
        <v>Feb 2024</v>
      </c>
      <c r="U1243">
        <f>YEAR(support_tickets[[#This Row],[opened_at]])*100+MONTH(support_tickets[[#This Row],[opened_at]])</f>
        <v>202402</v>
      </c>
      <c r="V1243" s="29">
        <f>DATE(YEAR(support_tickets[[#This Row],[opened_at]]),MONTH(support_tickets[[#This Row],[opened_at]]),1)</f>
        <v>45323</v>
      </c>
    </row>
    <row r="1244" spans="1:22">
      <c r="A1244">
        <v>8736828459</v>
      </c>
      <c r="B1244">
        <v>492922240</v>
      </c>
      <c r="C1244" t="s">
        <v>1475</v>
      </c>
      <c r="D1244" t="s">
        <v>1476</v>
      </c>
      <c r="E1244">
        <v>49349722</v>
      </c>
      <c r="F1244">
        <v>7206735763</v>
      </c>
      <c r="G1244" s="1">
        <v>45467.057013888887</v>
      </c>
      <c r="H1244" s="1">
        <v>45467.404930555553</v>
      </c>
      <c r="I1244" t="s">
        <v>46</v>
      </c>
      <c r="J1244" t="s">
        <v>19</v>
      </c>
      <c r="K1244" t="s">
        <v>47</v>
      </c>
      <c r="L1244" t="s">
        <v>21</v>
      </c>
      <c r="M1244">
        <v>50</v>
      </c>
      <c r="N1244">
        <v>501</v>
      </c>
      <c r="O1244">
        <v>0</v>
      </c>
      <c r="P1244" t="s">
        <v>22</v>
      </c>
      <c r="Q1244">
        <v>1302</v>
      </c>
      <c r="R1244" t="s">
        <v>39</v>
      </c>
      <c r="S1244">
        <f>IF(support_tickets[[#This Row],[status_cleaned]]="closed",1,0)</f>
        <v>1</v>
      </c>
      <c r="T1244" t="str">
        <f>TEXT(support_tickets[[#This Row],[opened_at]],"mmm yyyy")</f>
        <v>Jun 2024</v>
      </c>
      <c r="U1244">
        <f>YEAR(support_tickets[[#This Row],[opened_at]])*100+MONTH(support_tickets[[#This Row],[opened_at]])</f>
        <v>202406</v>
      </c>
      <c r="V1244" s="29">
        <f>DATE(YEAR(support_tickets[[#This Row],[opened_at]]),MONTH(support_tickets[[#This Row],[opened_at]]),1)</f>
        <v>45444</v>
      </c>
    </row>
    <row r="1245" spans="1:22">
      <c r="A1245">
        <v>8772119132</v>
      </c>
      <c r="B1245">
        <v>192573170</v>
      </c>
      <c r="C1245" t="s">
        <v>1404</v>
      </c>
      <c r="D1245" t="s">
        <v>1405</v>
      </c>
      <c r="E1245">
        <v>13356886</v>
      </c>
      <c r="F1245">
        <v>6247484687</v>
      </c>
      <c r="G1245" s="1">
        <v>46003.919108796297</v>
      </c>
      <c r="H1245" s="1">
        <v>46004.412164351852</v>
      </c>
      <c r="I1245" t="s">
        <v>3</v>
      </c>
      <c r="J1245" t="s">
        <v>19</v>
      </c>
      <c r="K1245" t="s">
        <v>47</v>
      </c>
      <c r="L1245" t="s">
        <v>21</v>
      </c>
      <c r="M1245">
        <v>27</v>
      </c>
      <c r="N1245">
        <v>710</v>
      </c>
      <c r="O1245">
        <v>0</v>
      </c>
      <c r="P1245" t="s">
        <v>22</v>
      </c>
      <c r="Q1245">
        <v>1309</v>
      </c>
      <c r="R1245" t="s">
        <v>39</v>
      </c>
      <c r="S1245">
        <f>IF(support_tickets[[#This Row],[status_cleaned]]="closed",1,0)</f>
        <v>1</v>
      </c>
      <c r="T1245" t="str">
        <f>TEXT(support_tickets[[#This Row],[opened_at]],"mmm yyyy")</f>
        <v>Dec 2025</v>
      </c>
      <c r="U1245">
        <f>YEAR(support_tickets[[#This Row],[opened_at]])*100+MONTH(support_tickets[[#This Row],[opened_at]])</f>
        <v>202512</v>
      </c>
      <c r="V1245" s="29">
        <f>DATE(YEAR(support_tickets[[#This Row],[opened_at]]),MONTH(support_tickets[[#This Row],[opened_at]]),1)</f>
        <v>45992</v>
      </c>
    </row>
    <row r="1246" spans="1:22">
      <c r="A1246">
        <v>8867986271</v>
      </c>
      <c r="B1246">
        <v>657568201</v>
      </c>
      <c r="C1246" t="s">
        <v>318</v>
      </c>
      <c r="D1246" t="s">
        <v>319</v>
      </c>
      <c r="E1246">
        <v>26879290</v>
      </c>
      <c r="G1246" s="1">
        <v>45583.083402777775</v>
      </c>
      <c r="H1246" s="1">
        <v>45583.436180555553</v>
      </c>
      <c r="I1246" t="s">
        <v>52</v>
      </c>
      <c r="J1246" t="s">
        <v>38</v>
      </c>
      <c r="K1246" t="s">
        <v>47</v>
      </c>
      <c r="L1246" t="s">
        <v>21</v>
      </c>
      <c r="M1246">
        <v>6</v>
      </c>
      <c r="N1246">
        <v>508</v>
      </c>
      <c r="O1246">
        <v>0</v>
      </c>
      <c r="P1246" t="s">
        <v>40</v>
      </c>
      <c r="Q1246">
        <v>1321</v>
      </c>
      <c r="R1246" t="s">
        <v>39</v>
      </c>
      <c r="S1246">
        <f>IF(support_tickets[[#This Row],[status_cleaned]]="closed",1,0)</f>
        <v>1</v>
      </c>
      <c r="T1246" t="str">
        <f>TEXT(support_tickets[[#This Row],[opened_at]],"mmm yyyy")</f>
        <v>Oct 2024</v>
      </c>
      <c r="U1246">
        <f>YEAR(support_tickets[[#This Row],[opened_at]])*100+MONTH(support_tickets[[#This Row],[opened_at]])</f>
        <v>202410</v>
      </c>
      <c r="V1246" s="29">
        <f>DATE(YEAR(support_tickets[[#This Row],[opened_at]]),MONTH(support_tickets[[#This Row],[opened_at]]),1)</f>
        <v>45566</v>
      </c>
    </row>
    <row r="1247" spans="1:22">
      <c r="A1247">
        <v>8885201792</v>
      </c>
      <c r="B1247">
        <v>876441691</v>
      </c>
      <c r="C1247" t="s">
        <v>1491</v>
      </c>
      <c r="D1247" t="s">
        <v>1492</v>
      </c>
      <c r="E1247">
        <v>31682744</v>
      </c>
      <c r="G1247" s="1">
        <v>45383.362511574072</v>
      </c>
      <c r="H1247" s="1">
        <v>45383.727789351855</v>
      </c>
      <c r="I1247" t="s">
        <v>37</v>
      </c>
      <c r="J1247" t="s">
        <v>86</v>
      </c>
      <c r="K1247" t="s">
        <v>47</v>
      </c>
      <c r="L1247" t="s">
        <v>21</v>
      </c>
      <c r="M1247">
        <v>1</v>
      </c>
      <c r="N1247">
        <v>526</v>
      </c>
      <c r="O1247">
        <v>0</v>
      </c>
      <c r="P1247" t="s">
        <v>87</v>
      </c>
      <c r="Q1247">
        <v>1326</v>
      </c>
      <c r="R1247" t="s">
        <v>39</v>
      </c>
      <c r="S1247">
        <f>IF(support_tickets[[#This Row],[status_cleaned]]="closed",1,0)</f>
        <v>1</v>
      </c>
      <c r="T1247" t="str">
        <f>TEXT(support_tickets[[#This Row],[opened_at]],"mmm yyyy")</f>
        <v>Apr 2024</v>
      </c>
      <c r="U1247">
        <f>YEAR(support_tickets[[#This Row],[opened_at]])*100+MONTH(support_tickets[[#This Row],[opened_at]])</f>
        <v>202404</v>
      </c>
      <c r="V1247" s="29">
        <f>DATE(YEAR(support_tickets[[#This Row],[opened_at]]),MONTH(support_tickets[[#This Row],[opened_at]]),1)</f>
        <v>45383</v>
      </c>
    </row>
    <row r="1248" spans="1:22">
      <c r="A1248">
        <v>8909063683</v>
      </c>
      <c r="B1248">
        <v>294181873</v>
      </c>
      <c r="C1248" t="s">
        <v>1495</v>
      </c>
      <c r="D1248" t="s">
        <v>1496</v>
      </c>
      <c r="E1248">
        <v>66629388</v>
      </c>
      <c r="G1248" s="1">
        <v>45710.712824074071</v>
      </c>
      <c r="H1248" s="1">
        <v>45711.130185185182</v>
      </c>
      <c r="I1248" t="s">
        <v>37</v>
      </c>
      <c r="J1248" t="s">
        <v>25</v>
      </c>
      <c r="K1248" t="s">
        <v>47</v>
      </c>
      <c r="L1248" t="s">
        <v>21</v>
      </c>
      <c r="M1248">
        <v>45</v>
      </c>
      <c r="N1248">
        <v>601</v>
      </c>
      <c r="O1248">
        <v>0</v>
      </c>
      <c r="P1248" t="s">
        <v>27</v>
      </c>
      <c r="Q1248">
        <v>1331</v>
      </c>
      <c r="R1248" t="s">
        <v>39</v>
      </c>
      <c r="S1248">
        <f>IF(support_tickets[[#This Row],[status_cleaned]]="closed",1,0)</f>
        <v>1</v>
      </c>
      <c r="T1248" t="str">
        <f>TEXT(support_tickets[[#This Row],[opened_at]],"mmm yyyy")</f>
        <v>Feb 2025</v>
      </c>
      <c r="U1248">
        <f>YEAR(support_tickets[[#This Row],[opened_at]])*100+MONTH(support_tickets[[#This Row],[opened_at]])</f>
        <v>202502</v>
      </c>
      <c r="V1248" s="29">
        <f>DATE(YEAR(support_tickets[[#This Row],[opened_at]]),MONTH(support_tickets[[#This Row],[opened_at]]),1)</f>
        <v>45689</v>
      </c>
    </row>
    <row r="1249" spans="1:22">
      <c r="A1249">
        <v>8961814614</v>
      </c>
      <c r="B1249">
        <v>387195524</v>
      </c>
      <c r="C1249" t="s">
        <v>730</v>
      </c>
      <c r="D1249" t="s">
        <v>731</v>
      </c>
      <c r="E1249">
        <v>48840994</v>
      </c>
      <c r="G1249" s="1">
        <v>45303.553368055553</v>
      </c>
      <c r="H1249" s="1">
        <v>45303.838090277779</v>
      </c>
      <c r="I1249" t="s">
        <v>52</v>
      </c>
      <c r="J1249" t="s">
        <v>25</v>
      </c>
      <c r="K1249" t="s">
        <v>47</v>
      </c>
      <c r="L1249" t="s">
        <v>21</v>
      </c>
      <c r="M1249">
        <v>15</v>
      </c>
      <c r="N1249">
        <v>410</v>
      </c>
      <c r="O1249">
        <v>0</v>
      </c>
      <c r="P1249" t="s">
        <v>27</v>
      </c>
      <c r="Q1249">
        <v>1335</v>
      </c>
      <c r="R1249" t="s">
        <v>39</v>
      </c>
      <c r="S1249">
        <f>IF(support_tickets[[#This Row],[status_cleaned]]="closed",1,0)</f>
        <v>1</v>
      </c>
      <c r="T1249" t="str">
        <f>TEXT(support_tickets[[#This Row],[opened_at]],"mmm yyyy")</f>
        <v>Jan 2024</v>
      </c>
      <c r="U1249">
        <f>YEAR(support_tickets[[#This Row],[opened_at]])*100+MONTH(support_tickets[[#This Row],[opened_at]])</f>
        <v>202401</v>
      </c>
      <c r="V1249" s="29">
        <f>DATE(YEAR(support_tickets[[#This Row],[opened_at]]),MONTH(support_tickets[[#This Row],[opened_at]]),1)</f>
        <v>45292</v>
      </c>
    </row>
    <row r="1250" spans="1:22">
      <c r="A1250">
        <v>8972056714</v>
      </c>
      <c r="B1250">
        <v>432098383</v>
      </c>
      <c r="C1250" t="s">
        <v>1499</v>
      </c>
      <c r="D1250" t="s">
        <v>1500</v>
      </c>
      <c r="E1250">
        <v>12614124</v>
      </c>
      <c r="F1250">
        <v>1510253039</v>
      </c>
      <c r="G1250" s="1">
        <v>45481.789594907408</v>
      </c>
      <c r="H1250" s="1">
        <v>45481.933344907404</v>
      </c>
      <c r="I1250" t="s">
        <v>56</v>
      </c>
      <c r="J1250" t="s">
        <v>19</v>
      </c>
      <c r="K1250" t="s">
        <v>47</v>
      </c>
      <c r="L1250" t="s">
        <v>21</v>
      </c>
      <c r="M1250">
        <v>36</v>
      </c>
      <c r="N1250">
        <v>207</v>
      </c>
      <c r="O1250">
        <v>0</v>
      </c>
      <c r="P1250" t="s">
        <v>22</v>
      </c>
      <c r="Q1250">
        <v>1338</v>
      </c>
      <c r="R1250" t="s">
        <v>39</v>
      </c>
      <c r="S1250">
        <f>IF(support_tickets[[#This Row],[status_cleaned]]="closed",1,0)</f>
        <v>1</v>
      </c>
      <c r="T1250" t="str">
        <f>TEXT(support_tickets[[#This Row],[opened_at]],"mmm yyyy")</f>
        <v>Jul 2024</v>
      </c>
      <c r="U1250">
        <f>YEAR(support_tickets[[#This Row],[opened_at]])*100+MONTH(support_tickets[[#This Row],[opened_at]])</f>
        <v>202407</v>
      </c>
      <c r="V1250" s="29">
        <f>DATE(YEAR(support_tickets[[#This Row],[opened_at]]),MONTH(support_tickets[[#This Row],[opened_at]]),1)</f>
        <v>45474</v>
      </c>
    </row>
    <row r="1251" spans="1:22">
      <c r="A1251">
        <v>8989418278</v>
      </c>
      <c r="B1251">
        <v>140531056</v>
      </c>
      <c r="C1251" t="s">
        <v>1501</v>
      </c>
      <c r="D1251" t="s">
        <v>1502</v>
      </c>
      <c r="E1251">
        <v>45264581</v>
      </c>
      <c r="F1251">
        <v>4435351920</v>
      </c>
      <c r="G1251" s="1">
        <v>46059.009317129632</v>
      </c>
      <c r="H1251" s="1">
        <v>46059.321817129632</v>
      </c>
      <c r="I1251" t="s">
        <v>43</v>
      </c>
      <c r="J1251" t="s">
        <v>38</v>
      </c>
      <c r="K1251" t="s">
        <v>47</v>
      </c>
      <c r="L1251" t="s">
        <v>21</v>
      </c>
      <c r="M1251">
        <v>37</v>
      </c>
      <c r="N1251">
        <v>450</v>
      </c>
      <c r="O1251">
        <v>0</v>
      </c>
      <c r="P1251" t="s">
        <v>40</v>
      </c>
      <c r="Q1251">
        <v>1342</v>
      </c>
      <c r="R1251" t="s">
        <v>39</v>
      </c>
      <c r="S1251">
        <f>IF(support_tickets[[#This Row],[status_cleaned]]="closed",1,0)</f>
        <v>1</v>
      </c>
      <c r="T1251" t="str">
        <f>TEXT(support_tickets[[#This Row],[opened_at]],"mmm yyyy")</f>
        <v>Feb 2026</v>
      </c>
      <c r="U1251">
        <f>YEAR(support_tickets[[#This Row],[opened_at]])*100+MONTH(support_tickets[[#This Row],[opened_at]])</f>
        <v>202602</v>
      </c>
      <c r="V1251" s="29">
        <f>DATE(YEAR(support_tickets[[#This Row],[opened_at]]),MONTH(support_tickets[[#This Row],[opened_at]]),1)</f>
        <v>46054</v>
      </c>
    </row>
    <row r="1252" spans="1:22">
      <c r="A1252">
        <v>8991964239</v>
      </c>
      <c r="B1252">
        <v>405545745</v>
      </c>
      <c r="C1252" t="s">
        <v>1310</v>
      </c>
      <c r="D1252" t="s">
        <v>1311</v>
      </c>
      <c r="E1252">
        <v>84752529</v>
      </c>
      <c r="G1252" s="1">
        <v>45411.173159722224</v>
      </c>
      <c r="H1252" s="1">
        <v>45411.655798611115</v>
      </c>
      <c r="I1252" t="s">
        <v>56</v>
      </c>
      <c r="J1252" t="s">
        <v>19</v>
      </c>
      <c r="K1252" t="s">
        <v>47</v>
      </c>
      <c r="L1252" t="s">
        <v>21</v>
      </c>
      <c r="M1252">
        <v>37</v>
      </c>
      <c r="N1252">
        <v>695</v>
      </c>
      <c r="O1252">
        <v>0</v>
      </c>
      <c r="P1252" t="s">
        <v>22</v>
      </c>
      <c r="Q1252">
        <v>1343</v>
      </c>
      <c r="R1252" t="s">
        <v>39</v>
      </c>
      <c r="S1252">
        <f>IF(support_tickets[[#This Row],[status_cleaned]]="closed",1,0)</f>
        <v>1</v>
      </c>
      <c r="T1252" t="str">
        <f>TEXT(support_tickets[[#This Row],[opened_at]],"mmm yyyy")</f>
        <v>Apr 2024</v>
      </c>
      <c r="U1252">
        <f>YEAR(support_tickets[[#This Row],[opened_at]])*100+MONTH(support_tickets[[#This Row],[opened_at]])</f>
        <v>202404</v>
      </c>
      <c r="V1252" s="29">
        <f>DATE(YEAR(support_tickets[[#This Row],[opened_at]]),MONTH(support_tickets[[#This Row],[opened_at]]),1)</f>
        <v>45383</v>
      </c>
    </row>
    <row r="1253" spans="1:22">
      <c r="A1253">
        <v>9032517775</v>
      </c>
      <c r="B1253">
        <v>139321248</v>
      </c>
      <c r="C1253" t="s">
        <v>1507</v>
      </c>
      <c r="D1253" t="s">
        <v>1508</v>
      </c>
      <c r="E1253">
        <v>71586053</v>
      </c>
      <c r="G1253" s="1">
        <v>45800.928159722222</v>
      </c>
      <c r="H1253" s="1">
        <v>45801.322604166664</v>
      </c>
      <c r="I1253" t="s">
        <v>46</v>
      </c>
      <c r="J1253" t="s">
        <v>19</v>
      </c>
      <c r="K1253" t="s">
        <v>47</v>
      </c>
      <c r="L1253" t="s">
        <v>21</v>
      </c>
      <c r="M1253">
        <v>52</v>
      </c>
      <c r="N1253">
        <v>568</v>
      </c>
      <c r="O1253">
        <v>0</v>
      </c>
      <c r="P1253" t="s">
        <v>22</v>
      </c>
      <c r="Q1253">
        <v>1352</v>
      </c>
      <c r="R1253" t="s">
        <v>39</v>
      </c>
      <c r="S1253">
        <f>IF(support_tickets[[#This Row],[status_cleaned]]="closed",1,0)</f>
        <v>1</v>
      </c>
      <c r="T1253" t="str">
        <f>TEXT(support_tickets[[#This Row],[opened_at]],"mmm yyyy")</f>
        <v>May 2025</v>
      </c>
      <c r="U1253">
        <f>YEAR(support_tickets[[#This Row],[opened_at]])*100+MONTH(support_tickets[[#This Row],[opened_at]])</f>
        <v>202505</v>
      </c>
      <c r="V1253" s="29">
        <f>DATE(YEAR(support_tickets[[#This Row],[opened_at]]),MONTH(support_tickets[[#This Row],[opened_at]]),1)</f>
        <v>45778</v>
      </c>
    </row>
    <row r="1254" spans="1:22">
      <c r="A1254">
        <v>9052616591</v>
      </c>
      <c r="B1254">
        <v>419561201</v>
      </c>
      <c r="C1254" t="s">
        <v>174</v>
      </c>
      <c r="D1254" t="s">
        <v>175</v>
      </c>
      <c r="E1254">
        <v>89978790</v>
      </c>
      <c r="G1254" s="1">
        <v>45927.456458333334</v>
      </c>
      <c r="H1254" s="1">
        <v>45927.912708333337</v>
      </c>
      <c r="I1254" t="s">
        <v>18</v>
      </c>
      <c r="J1254" t="s">
        <v>59</v>
      </c>
      <c r="K1254" t="s">
        <v>47</v>
      </c>
      <c r="L1254" t="s">
        <v>21</v>
      </c>
      <c r="M1254">
        <v>73</v>
      </c>
      <c r="N1254">
        <v>657</v>
      </c>
      <c r="O1254">
        <v>0</v>
      </c>
      <c r="P1254" t="s">
        <v>61</v>
      </c>
      <c r="Q1254">
        <v>1355</v>
      </c>
      <c r="R1254" t="s">
        <v>39</v>
      </c>
      <c r="S1254">
        <f>IF(support_tickets[[#This Row],[status_cleaned]]="closed",1,0)</f>
        <v>1</v>
      </c>
      <c r="T1254" t="str">
        <f>TEXT(support_tickets[[#This Row],[opened_at]],"mmm yyyy")</f>
        <v>Sep 2025</v>
      </c>
      <c r="U1254">
        <f>YEAR(support_tickets[[#This Row],[opened_at]])*100+MONTH(support_tickets[[#This Row],[opened_at]])</f>
        <v>202509</v>
      </c>
      <c r="V1254" s="29">
        <f>DATE(YEAR(support_tickets[[#This Row],[opened_at]]),MONTH(support_tickets[[#This Row],[opened_at]]),1)</f>
        <v>45901</v>
      </c>
    </row>
    <row r="1255" spans="1:22">
      <c r="A1255">
        <v>9058814484</v>
      </c>
      <c r="B1255">
        <v>455069350</v>
      </c>
      <c r="C1255" t="s">
        <v>1509</v>
      </c>
      <c r="D1255" t="s">
        <v>1510</v>
      </c>
      <c r="E1255">
        <v>45575298</v>
      </c>
      <c r="F1255">
        <v>3811631556</v>
      </c>
      <c r="G1255" s="1">
        <v>45308.115104166667</v>
      </c>
      <c r="H1255" s="1">
        <v>45308.64565972222</v>
      </c>
      <c r="I1255" t="s">
        <v>3</v>
      </c>
      <c r="J1255" t="s">
        <v>19</v>
      </c>
      <c r="K1255" t="s">
        <v>47</v>
      </c>
      <c r="L1255" t="s">
        <v>21</v>
      </c>
      <c r="M1255">
        <v>45</v>
      </c>
      <c r="N1255">
        <v>764</v>
      </c>
      <c r="O1255">
        <v>0</v>
      </c>
      <c r="P1255" t="s">
        <v>22</v>
      </c>
      <c r="Q1255">
        <v>1358</v>
      </c>
      <c r="R1255" t="s">
        <v>39</v>
      </c>
      <c r="S1255">
        <f>IF(support_tickets[[#This Row],[status_cleaned]]="closed",1,0)</f>
        <v>1</v>
      </c>
      <c r="T1255" t="str">
        <f>TEXT(support_tickets[[#This Row],[opened_at]],"mmm yyyy")</f>
        <v>Jan 2024</v>
      </c>
      <c r="U1255">
        <f>YEAR(support_tickets[[#This Row],[opened_at]])*100+MONTH(support_tickets[[#This Row],[opened_at]])</f>
        <v>202401</v>
      </c>
      <c r="V1255" s="29">
        <f>DATE(YEAR(support_tickets[[#This Row],[opened_at]]),MONTH(support_tickets[[#This Row],[opened_at]]),1)</f>
        <v>45292</v>
      </c>
    </row>
    <row r="1256" spans="1:22">
      <c r="A1256">
        <v>9060973782</v>
      </c>
      <c r="B1256">
        <v>203810954</v>
      </c>
      <c r="C1256" t="s">
        <v>1511</v>
      </c>
      <c r="D1256" t="s">
        <v>1512</v>
      </c>
      <c r="E1256">
        <v>45503389</v>
      </c>
      <c r="G1256" s="1">
        <v>45463.911412037036</v>
      </c>
      <c r="H1256" s="1">
        <v>45464.100300925929</v>
      </c>
      <c r="I1256" t="s">
        <v>43</v>
      </c>
      <c r="J1256" t="s">
        <v>86</v>
      </c>
      <c r="K1256" t="s">
        <v>47</v>
      </c>
      <c r="L1256" t="s">
        <v>21</v>
      </c>
      <c r="M1256">
        <v>32</v>
      </c>
      <c r="N1256">
        <v>272</v>
      </c>
      <c r="O1256">
        <v>0</v>
      </c>
      <c r="P1256" t="s">
        <v>87</v>
      </c>
      <c r="Q1256">
        <v>1359</v>
      </c>
      <c r="R1256" t="s">
        <v>39</v>
      </c>
      <c r="S1256">
        <f>IF(support_tickets[[#This Row],[status_cleaned]]="closed",1,0)</f>
        <v>1</v>
      </c>
      <c r="T1256" t="str">
        <f>TEXT(support_tickets[[#This Row],[opened_at]],"mmm yyyy")</f>
        <v>Jun 2024</v>
      </c>
      <c r="U1256">
        <f>YEAR(support_tickets[[#This Row],[opened_at]])*100+MONTH(support_tickets[[#This Row],[opened_at]])</f>
        <v>202406</v>
      </c>
      <c r="V1256" s="29">
        <f>DATE(YEAR(support_tickets[[#This Row],[opened_at]]),MONTH(support_tickets[[#This Row],[opened_at]]),1)</f>
        <v>45444</v>
      </c>
    </row>
    <row r="1257" spans="1:22">
      <c r="A1257">
        <v>9079177275</v>
      </c>
      <c r="B1257">
        <v>278933456</v>
      </c>
      <c r="C1257" t="s">
        <v>1046</v>
      </c>
      <c r="D1257" t="s">
        <v>1047</v>
      </c>
      <c r="E1257">
        <v>89089901</v>
      </c>
      <c r="G1257" s="1">
        <v>45758.337673611109</v>
      </c>
      <c r="H1257" s="1">
        <v>45758.449479166666</v>
      </c>
      <c r="I1257" t="s">
        <v>56</v>
      </c>
      <c r="J1257" t="s">
        <v>59</v>
      </c>
      <c r="K1257" t="s">
        <v>47</v>
      </c>
      <c r="L1257" t="s">
        <v>21</v>
      </c>
      <c r="M1257">
        <v>70</v>
      </c>
      <c r="N1257">
        <v>161</v>
      </c>
      <c r="O1257">
        <v>0</v>
      </c>
      <c r="P1257" t="s">
        <v>61</v>
      </c>
      <c r="Q1257">
        <v>1363</v>
      </c>
      <c r="R1257" t="s">
        <v>39</v>
      </c>
      <c r="S1257">
        <f>IF(support_tickets[[#This Row],[status_cleaned]]="closed",1,0)</f>
        <v>1</v>
      </c>
      <c r="T1257" t="str">
        <f>TEXT(support_tickets[[#This Row],[opened_at]],"mmm yyyy")</f>
        <v>Apr 2025</v>
      </c>
      <c r="U1257">
        <f>YEAR(support_tickets[[#This Row],[opened_at]])*100+MONTH(support_tickets[[#This Row],[opened_at]])</f>
        <v>202504</v>
      </c>
      <c r="V1257" s="29">
        <f>DATE(YEAR(support_tickets[[#This Row],[opened_at]]),MONTH(support_tickets[[#This Row],[opened_at]]),1)</f>
        <v>45748</v>
      </c>
    </row>
    <row r="1258" spans="1:22">
      <c r="A1258">
        <v>9137930866</v>
      </c>
      <c r="B1258">
        <v>945432844</v>
      </c>
      <c r="C1258" t="s">
        <v>360</v>
      </c>
      <c r="D1258" t="s">
        <v>361</v>
      </c>
      <c r="E1258">
        <v>47295260</v>
      </c>
      <c r="G1258" s="1">
        <v>45587.310671296298</v>
      </c>
      <c r="H1258" s="1">
        <v>45587.58011574074</v>
      </c>
      <c r="I1258" t="s">
        <v>18</v>
      </c>
      <c r="J1258" t="s">
        <v>59</v>
      </c>
      <c r="K1258" t="s">
        <v>47</v>
      </c>
      <c r="L1258" t="s">
        <v>21</v>
      </c>
      <c r="M1258">
        <v>30</v>
      </c>
      <c r="N1258">
        <v>388</v>
      </c>
      <c r="O1258">
        <v>0</v>
      </c>
      <c r="P1258" t="s">
        <v>61</v>
      </c>
      <c r="Q1258">
        <v>1379</v>
      </c>
      <c r="R1258" t="s">
        <v>39</v>
      </c>
      <c r="S1258">
        <f>IF(support_tickets[[#This Row],[status_cleaned]]="closed",1,0)</f>
        <v>1</v>
      </c>
      <c r="T1258" t="str">
        <f>TEXT(support_tickets[[#This Row],[opened_at]],"mmm yyyy")</f>
        <v>Oct 2024</v>
      </c>
      <c r="U1258">
        <f>YEAR(support_tickets[[#This Row],[opened_at]])*100+MONTH(support_tickets[[#This Row],[opened_at]])</f>
        <v>202410</v>
      </c>
      <c r="V1258" s="29">
        <f>DATE(YEAR(support_tickets[[#This Row],[opened_at]]),MONTH(support_tickets[[#This Row],[opened_at]]),1)</f>
        <v>45566</v>
      </c>
    </row>
    <row r="1259" spans="1:22">
      <c r="A1259">
        <v>9178126050</v>
      </c>
      <c r="B1259">
        <v>705180256</v>
      </c>
      <c r="C1259" t="s">
        <v>1210</v>
      </c>
      <c r="D1259" t="s">
        <v>1211</v>
      </c>
      <c r="E1259">
        <v>84252722</v>
      </c>
      <c r="F1259">
        <v>3237656262</v>
      </c>
      <c r="G1259" s="1">
        <v>45693.136319444442</v>
      </c>
      <c r="H1259" s="1">
        <v>45693.439791666664</v>
      </c>
      <c r="I1259" t="s">
        <v>3</v>
      </c>
      <c r="J1259" t="s">
        <v>25</v>
      </c>
      <c r="K1259" t="s">
        <v>47</v>
      </c>
      <c r="L1259" t="s">
        <v>21</v>
      </c>
      <c r="M1259">
        <v>6</v>
      </c>
      <c r="N1259">
        <v>437</v>
      </c>
      <c r="O1259">
        <v>0</v>
      </c>
      <c r="P1259" t="s">
        <v>27</v>
      </c>
      <c r="Q1259">
        <v>1382</v>
      </c>
      <c r="R1259" t="s">
        <v>39</v>
      </c>
      <c r="S1259">
        <f>IF(support_tickets[[#This Row],[status_cleaned]]="closed",1,0)</f>
        <v>1</v>
      </c>
      <c r="T1259" t="str">
        <f>TEXT(support_tickets[[#This Row],[opened_at]],"mmm yyyy")</f>
        <v>Feb 2025</v>
      </c>
      <c r="U1259">
        <f>YEAR(support_tickets[[#This Row],[opened_at]])*100+MONTH(support_tickets[[#This Row],[opened_at]])</f>
        <v>202502</v>
      </c>
      <c r="V1259" s="29">
        <f>DATE(YEAR(support_tickets[[#This Row],[opened_at]]),MONTH(support_tickets[[#This Row],[opened_at]]),1)</f>
        <v>45689</v>
      </c>
    </row>
    <row r="1260" spans="1:22">
      <c r="A1260">
        <v>9329629303</v>
      </c>
      <c r="B1260">
        <v>522240582</v>
      </c>
      <c r="C1260" t="s">
        <v>1473</v>
      </c>
      <c r="D1260" t="s">
        <v>1474</v>
      </c>
      <c r="E1260">
        <v>31831063</v>
      </c>
      <c r="F1260">
        <v>1852808613</v>
      </c>
      <c r="G1260" s="1">
        <v>46075.55096064815</v>
      </c>
      <c r="H1260" s="1">
        <v>46075.698182870372</v>
      </c>
      <c r="I1260" t="s">
        <v>43</v>
      </c>
      <c r="J1260" t="s">
        <v>38</v>
      </c>
      <c r="K1260" t="s">
        <v>47</v>
      </c>
      <c r="L1260" t="s">
        <v>21</v>
      </c>
      <c r="M1260">
        <v>8</v>
      </c>
      <c r="N1260">
        <v>212</v>
      </c>
      <c r="O1260">
        <v>0</v>
      </c>
      <c r="P1260" t="s">
        <v>40</v>
      </c>
      <c r="Q1260">
        <v>1403</v>
      </c>
      <c r="R1260" t="s">
        <v>39</v>
      </c>
      <c r="S1260">
        <f>IF(support_tickets[[#This Row],[status_cleaned]]="closed",1,0)</f>
        <v>1</v>
      </c>
      <c r="T1260" t="str">
        <f>TEXT(support_tickets[[#This Row],[opened_at]],"mmm yyyy")</f>
        <v>Feb 2026</v>
      </c>
      <c r="U1260">
        <f>YEAR(support_tickets[[#This Row],[opened_at]])*100+MONTH(support_tickets[[#This Row],[opened_at]])</f>
        <v>202602</v>
      </c>
      <c r="V1260" s="29">
        <f>DATE(YEAR(support_tickets[[#This Row],[opened_at]]),MONTH(support_tickets[[#This Row],[opened_at]]),1)</f>
        <v>46054</v>
      </c>
    </row>
    <row r="1261" spans="1:22">
      <c r="A1261">
        <v>9331836042</v>
      </c>
      <c r="B1261">
        <v>180574838</v>
      </c>
      <c r="C1261" t="s">
        <v>736</v>
      </c>
      <c r="D1261" t="s">
        <v>737</v>
      </c>
      <c r="E1261">
        <v>81016525</v>
      </c>
      <c r="G1261" s="1">
        <v>45970.769293981481</v>
      </c>
      <c r="H1261" s="1">
        <v>45970.860266203701</v>
      </c>
      <c r="I1261" t="s">
        <v>18</v>
      </c>
      <c r="J1261" t="s">
        <v>19</v>
      </c>
      <c r="K1261" t="s">
        <v>47</v>
      </c>
      <c r="L1261" t="s">
        <v>21</v>
      </c>
      <c r="M1261">
        <v>59</v>
      </c>
      <c r="N1261">
        <v>131</v>
      </c>
      <c r="O1261">
        <v>0</v>
      </c>
      <c r="P1261" t="s">
        <v>22</v>
      </c>
      <c r="Q1261">
        <v>1405</v>
      </c>
      <c r="R1261" t="s">
        <v>39</v>
      </c>
      <c r="S1261">
        <f>IF(support_tickets[[#This Row],[status_cleaned]]="closed",1,0)</f>
        <v>1</v>
      </c>
      <c r="T1261" t="str">
        <f>TEXT(support_tickets[[#This Row],[opened_at]],"mmm yyyy")</f>
        <v>Nov 2025</v>
      </c>
      <c r="U1261">
        <f>YEAR(support_tickets[[#This Row],[opened_at]])*100+MONTH(support_tickets[[#This Row],[opened_at]])</f>
        <v>202511</v>
      </c>
      <c r="V1261" s="29">
        <f>DATE(YEAR(support_tickets[[#This Row],[opened_at]]),MONTH(support_tickets[[#This Row],[opened_at]]),1)</f>
        <v>45962</v>
      </c>
    </row>
    <row r="1262" spans="1:22">
      <c r="A1262">
        <v>9347726341</v>
      </c>
      <c r="B1262">
        <v>990949719</v>
      </c>
      <c r="C1262" t="s">
        <v>636</v>
      </c>
      <c r="D1262" t="s">
        <v>637</v>
      </c>
      <c r="E1262">
        <v>23718431</v>
      </c>
      <c r="G1262" s="1">
        <v>45446.904629629629</v>
      </c>
      <c r="H1262" s="1">
        <v>45447.277546296296</v>
      </c>
      <c r="I1262" t="s">
        <v>56</v>
      </c>
      <c r="J1262" t="s">
        <v>86</v>
      </c>
      <c r="K1262" t="s">
        <v>47</v>
      </c>
      <c r="L1262" t="s">
        <v>21</v>
      </c>
      <c r="M1262">
        <v>51</v>
      </c>
      <c r="N1262">
        <v>537</v>
      </c>
      <c r="O1262">
        <v>0</v>
      </c>
      <c r="P1262" t="s">
        <v>87</v>
      </c>
      <c r="Q1262">
        <v>1407</v>
      </c>
      <c r="R1262" t="s">
        <v>39</v>
      </c>
      <c r="S1262">
        <f>IF(support_tickets[[#This Row],[status_cleaned]]="closed",1,0)</f>
        <v>1</v>
      </c>
      <c r="T1262" t="str">
        <f>TEXT(support_tickets[[#This Row],[opened_at]],"mmm yyyy")</f>
        <v>Jun 2024</v>
      </c>
      <c r="U1262">
        <f>YEAR(support_tickets[[#This Row],[opened_at]])*100+MONTH(support_tickets[[#This Row],[opened_at]])</f>
        <v>202406</v>
      </c>
      <c r="V1262" s="29">
        <f>DATE(YEAR(support_tickets[[#This Row],[opened_at]]),MONTH(support_tickets[[#This Row],[opened_at]]),1)</f>
        <v>45444</v>
      </c>
    </row>
    <row r="1263" spans="1:22">
      <c r="A1263">
        <v>9408005266</v>
      </c>
      <c r="B1263">
        <v>230311939</v>
      </c>
      <c r="C1263" t="s">
        <v>1543</v>
      </c>
      <c r="D1263" t="s">
        <v>1544</v>
      </c>
      <c r="E1263">
        <v>15831819</v>
      </c>
      <c r="G1263" s="1">
        <v>45853.673009259262</v>
      </c>
      <c r="H1263" s="1">
        <v>45853.725092592591</v>
      </c>
      <c r="I1263" t="s">
        <v>3</v>
      </c>
      <c r="J1263" t="s">
        <v>25</v>
      </c>
      <c r="K1263" t="s">
        <v>47</v>
      </c>
      <c r="L1263" t="s">
        <v>21</v>
      </c>
      <c r="M1263">
        <v>39</v>
      </c>
      <c r="N1263">
        <v>75</v>
      </c>
      <c r="O1263">
        <v>0</v>
      </c>
      <c r="P1263" t="s">
        <v>27</v>
      </c>
      <c r="Q1263">
        <v>1419</v>
      </c>
      <c r="R1263" t="s">
        <v>39</v>
      </c>
      <c r="S1263">
        <f>IF(support_tickets[[#This Row],[status_cleaned]]="closed",1,0)</f>
        <v>1</v>
      </c>
      <c r="T1263" t="str">
        <f>TEXT(support_tickets[[#This Row],[opened_at]],"mmm yyyy")</f>
        <v>Jul 2025</v>
      </c>
      <c r="U1263">
        <f>YEAR(support_tickets[[#This Row],[opened_at]])*100+MONTH(support_tickets[[#This Row],[opened_at]])</f>
        <v>202507</v>
      </c>
      <c r="V1263" s="29">
        <f>DATE(YEAR(support_tickets[[#This Row],[opened_at]]),MONTH(support_tickets[[#This Row],[opened_at]]),1)</f>
        <v>45839</v>
      </c>
    </row>
    <row r="1264" spans="1:22">
      <c r="A1264">
        <v>9455553667</v>
      </c>
      <c r="B1264">
        <v>409346714</v>
      </c>
      <c r="C1264" t="s">
        <v>644</v>
      </c>
      <c r="D1264" t="s">
        <v>645</v>
      </c>
      <c r="E1264">
        <v>10872248</v>
      </c>
      <c r="G1264" s="1">
        <v>45871.468622685185</v>
      </c>
      <c r="H1264" s="1">
        <v>45871.751956018517</v>
      </c>
      <c r="I1264" t="s">
        <v>46</v>
      </c>
      <c r="J1264" t="s">
        <v>25</v>
      </c>
      <c r="K1264" t="s">
        <v>47</v>
      </c>
      <c r="L1264" t="s">
        <v>21</v>
      </c>
      <c r="M1264">
        <v>37</v>
      </c>
      <c r="N1264">
        <v>408</v>
      </c>
      <c r="O1264">
        <v>0</v>
      </c>
      <c r="P1264" t="s">
        <v>27</v>
      </c>
      <c r="Q1264">
        <v>1426</v>
      </c>
      <c r="R1264" t="s">
        <v>39</v>
      </c>
      <c r="S1264">
        <f>IF(support_tickets[[#This Row],[status_cleaned]]="closed",1,0)</f>
        <v>1</v>
      </c>
      <c r="T1264" t="str">
        <f>TEXT(support_tickets[[#This Row],[opened_at]],"mmm yyyy")</f>
        <v>Aug 2025</v>
      </c>
      <c r="U1264">
        <f>YEAR(support_tickets[[#This Row],[opened_at]])*100+MONTH(support_tickets[[#This Row],[opened_at]])</f>
        <v>202508</v>
      </c>
      <c r="V1264" s="29">
        <f>DATE(YEAR(support_tickets[[#This Row],[opened_at]]),MONTH(support_tickets[[#This Row],[opened_at]]),1)</f>
        <v>45870</v>
      </c>
    </row>
    <row r="1265" spans="1:22">
      <c r="A1265">
        <v>9516763729</v>
      </c>
      <c r="B1265">
        <v>846668526</v>
      </c>
      <c r="C1265" t="s">
        <v>1451</v>
      </c>
      <c r="D1265" t="s">
        <v>1452</v>
      </c>
      <c r="E1265">
        <v>10872248</v>
      </c>
      <c r="G1265" s="1">
        <v>45530.581666666665</v>
      </c>
      <c r="H1265" s="1">
        <v>45531.24</v>
      </c>
      <c r="I1265" t="s">
        <v>37</v>
      </c>
      <c r="J1265" t="s">
        <v>59</v>
      </c>
      <c r="K1265" t="s">
        <v>47</v>
      </c>
      <c r="L1265" t="s">
        <v>21</v>
      </c>
      <c r="M1265">
        <v>5</v>
      </c>
      <c r="N1265">
        <v>948</v>
      </c>
      <c r="O1265">
        <v>0</v>
      </c>
      <c r="P1265" t="s">
        <v>61</v>
      </c>
      <c r="Q1265">
        <v>1433</v>
      </c>
      <c r="R1265" t="s">
        <v>39</v>
      </c>
      <c r="S1265">
        <f>IF(support_tickets[[#This Row],[status_cleaned]]="closed",1,0)</f>
        <v>1</v>
      </c>
      <c r="T1265" t="str">
        <f>TEXT(support_tickets[[#This Row],[opened_at]],"mmm yyyy")</f>
        <v>Aug 2024</v>
      </c>
      <c r="U1265">
        <f>YEAR(support_tickets[[#This Row],[opened_at]])*100+MONTH(support_tickets[[#This Row],[opened_at]])</f>
        <v>202408</v>
      </c>
      <c r="V1265" s="29">
        <f>DATE(YEAR(support_tickets[[#This Row],[opened_at]]),MONTH(support_tickets[[#This Row],[opened_at]]),1)</f>
        <v>45505</v>
      </c>
    </row>
    <row r="1266" spans="1:22">
      <c r="A1266">
        <v>9524474461</v>
      </c>
      <c r="B1266">
        <v>760725160</v>
      </c>
      <c r="C1266" t="s">
        <v>1288</v>
      </c>
      <c r="D1266" t="s">
        <v>1289</v>
      </c>
      <c r="E1266">
        <v>96028436</v>
      </c>
      <c r="F1266">
        <v>6740439400</v>
      </c>
      <c r="G1266" s="1">
        <v>46022.956388888888</v>
      </c>
      <c r="H1266" s="1">
        <v>46023.039722222224</v>
      </c>
      <c r="I1266" t="s">
        <v>43</v>
      </c>
      <c r="J1266" t="s">
        <v>59</v>
      </c>
      <c r="K1266" t="s">
        <v>47</v>
      </c>
      <c r="L1266" t="s">
        <v>21</v>
      </c>
      <c r="M1266">
        <v>47</v>
      </c>
      <c r="N1266">
        <v>120</v>
      </c>
      <c r="O1266">
        <v>0</v>
      </c>
      <c r="P1266" t="s">
        <v>61</v>
      </c>
      <c r="Q1266">
        <v>1434</v>
      </c>
      <c r="R1266" t="s">
        <v>39</v>
      </c>
      <c r="S1266">
        <f>IF(support_tickets[[#This Row],[status_cleaned]]="closed",1,0)</f>
        <v>1</v>
      </c>
      <c r="T1266" t="str">
        <f>TEXT(support_tickets[[#This Row],[opened_at]],"mmm yyyy")</f>
        <v>Dec 2025</v>
      </c>
      <c r="U1266">
        <f>YEAR(support_tickets[[#This Row],[opened_at]])*100+MONTH(support_tickets[[#This Row],[opened_at]])</f>
        <v>202512</v>
      </c>
      <c r="V1266" s="29">
        <f>DATE(YEAR(support_tickets[[#This Row],[opened_at]]),MONTH(support_tickets[[#This Row],[opened_at]]),1)</f>
        <v>45992</v>
      </c>
    </row>
    <row r="1267" spans="1:22">
      <c r="A1267">
        <v>9577117872</v>
      </c>
      <c r="B1267">
        <v>459748735</v>
      </c>
      <c r="C1267" t="s">
        <v>258</v>
      </c>
      <c r="D1267" t="s">
        <v>259</v>
      </c>
      <c r="E1267">
        <v>75579548</v>
      </c>
      <c r="G1267" s="1">
        <v>45936.041701388887</v>
      </c>
      <c r="H1267" s="1">
        <v>45936.551423611112</v>
      </c>
      <c r="I1267" t="s">
        <v>46</v>
      </c>
      <c r="J1267" t="s">
        <v>38</v>
      </c>
      <c r="K1267" t="s">
        <v>47</v>
      </c>
      <c r="L1267" t="s">
        <v>21</v>
      </c>
      <c r="M1267">
        <v>44</v>
      </c>
      <c r="N1267">
        <v>734</v>
      </c>
      <c r="O1267">
        <v>0</v>
      </c>
      <c r="P1267" t="s">
        <v>40</v>
      </c>
      <c r="Q1267">
        <v>1444</v>
      </c>
      <c r="R1267" t="s">
        <v>39</v>
      </c>
      <c r="S1267">
        <f>IF(support_tickets[[#This Row],[status_cleaned]]="closed",1,0)</f>
        <v>1</v>
      </c>
      <c r="T1267" t="str">
        <f>TEXT(support_tickets[[#This Row],[opened_at]],"mmm yyyy")</f>
        <v>Oct 2025</v>
      </c>
      <c r="U1267">
        <f>YEAR(support_tickets[[#This Row],[opened_at]])*100+MONTH(support_tickets[[#This Row],[opened_at]])</f>
        <v>202510</v>
      </c>
      <c r="V1267" s="29">
        <f>DATE(YEAR(support_tickets[[#This Row],[opened_at]]),MONTH(support_tickets[[#This Row],[opened_at]]),1)</f>
        <v>45931</v>
      </c>
    </row>
    <row r="1268" spans="1:22">
      <c r="A1268">
        <v>9580441802</v>
      </c>
      <c r="B1268">
        <v>256819248</v>
      </c>
      <c r="C1268" t="s">
        <v>362</v>
      </c>
      <c r="D1268" t="s">
        <v>363</v>
      </c>
      <c r="E1268">
        <v>26753883</v>
      </c>
      <c r="G1268" s="1">
        <v>45634.598946759259</v>
      </c>
      <c r="H1268" s="1">
        <v>45634.707280092596</v>
      </c>
      <c r="I1268" t="s">
        <v>3</v>
      </c>
      <c r="J1268" t="s">
        <v>30</v>
      </c>
      <c r="K1268" t="s">
        <v>47</v>
      </c>
      <c r="L1268" t="s">
        <v>21</v>
      </c>
      <c r="M1268">
        <v>64</v>
      </c>
      <c r="N1268">
        <v>156</v>
      </c>
      <c r="O1268">
        <v>0</v>
      </c>
      <c r="P1268" t="s">
        <v>31</v>
      </c>
      <c r="Q1268">
        <v>1445</v>
      </c>
      <c r="R1268" t="s">
        <v>39</v>
      </c>
      <c r="S1268">
        <f>IF(support_tickets[[#This Row],[status_cleaned]]="closed",1,0)</f>
        <v>1</v>
      </c>
      <c r="T1268" t="str">
        <f>TEXT(support_tickets[[#This Row],[opened_at]],"mmm yyyy")</f>
        <v>Dec 2024</v>
      </c>
      <c r="U1268">
        <f>YEAR(support_tickets[[#This Row],[opened_at]])*100+MONTH(support_tickets[[#This Row],[opened_at]])</f>
        <v>202412</v>
      </c>
      <c r="V1268" s="29">
        <f>DATE(YEAR(support_tickets[[#This Row],[opened_at]]),MONTH(support_tickets[[#This Row],[opened_at]]),1)</f>
        <v>45627</v>
      </c>
    </row>
    <row r="1269" spans="1:22">
      <c r="A1269">
        <v>9616880989</v>
      </c>
      <c r="B1269">
        <v>452150647</v>
      </c>
      <c r="C1269" t="s">
        <v>1559</v>
      </c>
      <c r="D1269" t="s">
        <v>1560</v>
      </c>
      <c r="E1269">
        <v>82383095</v>
      </c>
      <c r="F1269">
        <v>1585845375</v>
      </c>
      <c r="G1269" s="1">
        <v>45897.736493055556</v>
      </c>
      <c r="H1269" s="1">
        <v>45898.056631944448</v>
      </c>
      <c r="I1269" t="s">
        <v>37</v>
      </c>
      <c r="J1269" t="s">
        <v>30</v>
      </c>
      <c r="K1269" t="s">
        <v>47</v>
      </c>
      <c r="L1269" t="s">
        <v>21</v>
      </c>
      <c r="M1269">
        <v>61</v>
      </c>
      <c r="N1269">
        <v>461</v>
      </c>
      <c r="O1269">
        <v>0</v>
      </c>
      <c r="P1269" t="s">
        <v>31</v>
      </c>
      <c r="Q1269">
        <v>1454</v>
      </c>
      <c r="R1269" t="s">
        <v>39</v>
      </c>
      <c r="S1269">
        <f>IF(support_tickets[[#This Row],[status_cleaned]]="closed",1,0)</f>
        <v>1</v>
      </c>
      <c r="T1269" t="str">
        <f>TEXT(support_tickets[[#This Row],[opened_at]],"mmm yyyy")</f>
        <v>Aug 2025</v>
      </c>
      <c r="U1269">
        <f>YEAR(support_tickets[[#This Row],[opened_at]])*100+MONTH(support_tickets[[#This Row],[opened_at]])</f>
        <v>202508</v>
      </c>
      <c r="V1269" s="29">
        <f>DATE(YEAR(support_tickets[[#This Row],[opened_at]]),MONTH(support_tickets[[#This Row],[opened_at]]),1)</f>
        <v>45870</v>
      </c>
    </row>
    <row r="1270" spans="1:22">
      <c r="A1270">
        <v>9633870211</v>
      </c>
      <c r="B1270">
        <v>265564833</v>
      </c>
      <c r="C1270" t="s">
        <v>1354</v>
      </c>
      <c r="D1270" t="s">
        <v>1355</v>
      </c>
      <c r="E1270">
        <v>75228535</v>
      </c>
      <c r="G1270" s="1">
        <v>45703.412245370368</v>
      </c>
      <c r="H1270" s="1">
        <v>45703.640717592592</v>
      </c>
      <c r="I1270" t="s">
        <v>46</v>
      </c>
      <c r="J1270" t="s">
        <v>19</v>
      </c>
      <c r="K1270" t="s">
        <v>47</v>
      </c>
      <c r="L1270" t="s">
        <v>21</v>
      </c>
      <c r="M1270">
        <v>60</v>
      </c>
      <c r="N1270">
        <v>329</v>
      </c>
      <c r="O1270">
        <v>0</v>
      </c>
      <c r="P1270" t="s">
        <v>22</v>
      </c>
      <c r="Q1270">
        <v>1456</v>
      </c>
      <c r="R1270" t="s">
        <v>39</v>
      </c>
      <c r="S1270">
        <f>IF(support_tickets[[#This Row],[status_cleaned]]="closed",1,0)</f>
        <v>1</v>
      </c>
      <c r="T1270" t="str">
        <f>TEXT(support_tickets[[#This Row],[opened_at]],"mmm yyyy")</f>
        <v>Feb 2025</v>
      </c>
      <c r="U1270">
        <f>YEAR(support_tickets[[#This Row],[opened_at]])*100+MONTH(support_tickets[[#This Row],[opened_at]])</f>
        <v>202502</v>
      </c>
      <c r="V1270" s="29">
        <f>DATE(YEAR(support_tickets[[#This Row],[opened_at]]),MONTH(support_tickets[[#This Row],[opened_at]]),1)</f>
        <v>45689</v>
      </c>
    </row>
    <row r="1271" spans="1:22">
      <c r="A1271">
        <v>9667990077</v>
      </c>
      <c r="B1271">
        <v>867407868</v>
      </c>
      <c r="C1271" t="s">
        <v>842</v>
      </c>
      <c r="D1271" t="s">
        <v>843</v>
      </c>
      <c r="E1271">
        <v>77187530</v>
      </c>
      <c r="G1271" s="1">
        <v>45541.369583333333</v>
      </c>
      <c r="H1271" s="1">
        <v>45541.674444444441</v>
      </c>
      <c r="I1271" t="s">
        <v>52</v>
      </c>
      <c r="J1271" t="s">
        <v>38</v>
      </c>
      <c r="K1271" t="s">
        <v>47</v>
      </c>
      <c r="L1271" t="s">
        <v>21</v>
      </c>
      <c r="M1271">
        <v>24</v>
      </c>
      <c r="N1271">
        <v>439</v>
      </c>
      <c r="O1271">
        <v>0</v>
      </c>
      <c r="P1271" t="s">
        <v>40</v>
      </c>
      <c r="Q1271">
        <v>1460</v>
      </c>
      <c r="R1271" t="s">
        <v>39</v>
      </c>
      <c r="S1271">
        <f>IF(support_tickets[[#This Row],[status_cleaned]]="closed",1,0)</f>
        <v>1</v>
      </c>
      <c r="T1271" t="str">
        <f>TEXT(support_tickets[[#This Row],[opened_at]],"mmm yyyy")</f>
        <v>Sep 2024</v>
      </c>
      <c r="U1271">
        <f>YEAR(support_tickets[[#This Row],[opened_at]])*100+MONTH(support_tickets[[#This Row],[opened_at]])</f>
        <v>202409</v>
      </c>
      <c r="V1271" s="29">
        <f>DATE(YEAR(support_tickets[[#This Row],[opened_at]]),MONTH(support_tickets[[#This Row],[opened_at]]),1)</f>
        <v>45536</v>
      </c>
    </row>
    <row r="1272" spans="1:22">
      <c r="A1272">
        <v>9673710819</v>
      </c>
      <c r="B1272">
        <v>369085407</v>
      </c>
      <c r="C1272" t="s">
        <v>1232</v>
      </c>
      <c r="D1272" t="s">
        <v>1233</v>
      </c>
      <c r="E1272">
        <v>31831063</v>
      </c>
      <c r="F1272">
        <v>1530443469</v>
      </c>
      <c r="G1272" s="1">
        <v>45293.753831018519</v>
      </c>
      <c r="H1272" s="1">
        <v>45294.094108796293</v>
      </c>
      <c r="I1272" t="s">
        <v>46</v>
      </c>
      <c r="J1272" t="s">
        <v>19</v>
      </c>
      <c r="K1272" t="s">
        <v>47</v>
      </c>
      <c r="L1272" t="s">
        <v>21</v>
      </c>
      <c r="M1272">
        <v>3</v>
      </c>
      <c r="N1272">
        <v>490</v>
      </c>
      <c r="O1272">
        <v>0</v>
      </c>
      <c r="P1272" t="s">
        <v>22</v>
      </c>
      <c r="Q1272">
        <v>1462</v>
      </c>
      <c r="R1272" t="s">
        <v>39</v>
      </c>
      <c r="S1272">
        <f>IF(support_tickets[[#This Row],[status_cleaned]]="closed",1,0)</f>
        <v>1</v>
      </c>
      <c r="T1272" t="str">
        <f>TEXT(support_tickets[[#This Row],[opened_at]],"mmm yyyy")</f>
        <v>Jan 2024</v>
      </c>
      <c r="U1272">
        <f>YEAR(support_tickets[[#This Row],[opened_at]])*100+MONTH(support_tickets[[#This Row],[opened_at]])</f>
        <v>202401</v>
      </c>
      <c r="V1272" s="29">
        <f>DATE(YEAR(support_tickets[[#This Row],[opened_at]]),MONTH(support_tickets[[#This Row],[opened_at]]),1)</f>
        <v>45292</v>
      </c>
    </row>
    <row r="1273" spans="1:22">
      <c r="A1273">
        <v>9681301374</v>
      </c>
      <c r="B1273">
        <v>444898148</v>
      </c>
      <c r="C1273" t="s">
        <v>1561</v>
      </c>
      <c r="D1273" t="s">
        <v>1562</v>
      </c>
      <c r="E1273">
        <v>47308985</v>
      </c>
      <c r="F1273">
        <v>5669015536</v>
      </c>
      <c r="G1273" s="1">
        <v>46030.132974537039</v>
      </c>
      <c r="H1273" s="1">
        <v>46030.553807870368</v>
      </c>
      <c r="I1273" t="s">
        <v>37</v>
      </c>
      <c r="J1273" t="s">
        <v>59</v>
      </c>
      <c r="K1273" t="s">
        <v>47</v>
      </c>
      <c r="L1273" t="s">
        <v>21</v>
      </c>
      <c r="M1273">
        <v>29</v>
      </c>
      <c r="N1273">
        <v>606</v>
      </c>
      <c r="O1273">
        <v>0</v>
      </c>
      <c r="P1273" t="s">
        <v>61</v>
      </c>
      <c r="Q1273">
        <v>1465</v>
      </c>
      <c r="R1273" t="s">
        <v>39</v>
      </c>
      <c r="S1273">
        <f>IF(support_tickets[[#This Row],[status_cleaned]]="closed",1,0)</f>
        <v>1</v>
      </c>
      <c r="T1273" t="str">
        <f>TEXT(support_tickets[[#This Row],[opened_at]],"mmm yyyy")</f>
        <v>Jan 2026</v>
      </c>
      <c r="U1273">
        <f>YEAR(support_tickets[[#This Row],[opened_at]])*100+MONTH(support_tickets[[#This Row],[opened_at]])</f>
        <v>202601</v>
      </c>
      <c r="V1273" s="29">
        <f>DATE(YEAR(support_tickets[[#This Row],[opened_at]]),MONTH(support_tickets[[#This Row],[opened_at]]),1)</f>
        <v>46023</v>
      </c>
    </row>
    <row r="1274" spans="1:22">
      <c r="A1274">
        <v>9750714819</v>
      </c>
      <c r="B1274">
        <v>784725186</v>
      </c>
      <c r="C1274" t="s">
        <v>1569</v>
      </c>
      <c r="D1274" t="s">
        <v>1570</v>
      </c>
      <c r="E1274">
        <v>81016525</v>
      </c>
      <c r="G1274" s="1">
        <v>46062.702986111108</v>
      </c>
      <c r="H1274" s="1">
        <v>46062.905763888892</v>
      </c>
      <c r="I1274" t="s">
        <v>43</v>
      </c>
      <c r="J1274" t="s">
        <v>38</v>
      </c>
      <c r="K1274" t="s">
        <v>47</v>
      </c>
      <c r="L1274" t="s">
        <v>21</v>
      </c>
      <c r="M1274">
        <v>17</v>
      </c>
      <c r="N1274">
        <v>292</v>
      </c>
      <c r="O1274">
        <v>0</v>
      </c>
      <c r="P1274" t="s">
        <v>40</v>
      </c>
      <c r="Q1274">
        <v>1474</v>
      </c>
      <c r="R1274" t="s">
        <v>39</v>
      </c>
      <c r="S1274">
        <f>IF(support_tickets[[#This Row],[status_cleaned]]="closed",1,0)</f>
        <v>1</v>
      </c>
      <c r="T1274" t="str">
        <f>TEXT(support_tickets[[#This Row],[opened_at]],"mmm yyyy")</f>
        <v>Feb 2026</v>
      </c>
      <c r="U1274">
        <f>YEAR(support_tickets[[#This Row],[opened_at]])*100+MONTH(support_tickets[[#This Row],[opened_at]])</f>
        <v>202602</v>
      </c>
      <c r="V1274" s="29">
        <f>DATE(YEAR(support_tickets[[#This Row],[opened_at]]),MONTH(support_tickets[[#This Row],[opened_at]]),1)</f>
        <v>46054</v>
      </c>
    </row>
    <row r="1275" spans="1:22">
      <c r="A1275">
        <v>9772845815</v>
      </c>
      <c r="B1275">
        <v>555803043</v>
      </c>
      <c r="C1275" t="s">
        <v>1573</v>
      </c>
      <c r="D1275" t="s">
        <v>1574</v>
      </c>
      <c r="E1275">
        <v>85345555</v>
      </c>
      <c r="G1275" s="1">
        <v>45895.924398148149</v>
      </c>
      <c r="H1275" s="1">
        <v>45896.300092592595</v>
      </c>
      <c r="I1275" t="s">
        <v>46</v>
      </c>
      <c r="J1275" t="s">
        <v>19</v>
      </c>
      <c r="K1275" t="s">
        <v>47</v>
      </c>
      <c r="L1275" t="s">
        <v>21</v>
      </c>
      <c r="M1275">
        <v>51</v>
      </c>
      <c r="N1275">
        <v>541</v>
      </c>
      <c r="O1275">
        <v>0</v>
      </c>
      <c r="P1275" t="s">
        <v>22</v>
      </c>
      <c r="Q1275">
        <v>1478</v>
      </c>
      <c r="R1275" t="s">
        <v>39</v>
      </c>
      <c r="S1275">
        <f>IF(support_tickets[[#This Row],[status_cleaned]]="closed",1,0)</f>
        <v>1</v>
      </c>
      <c r="T1275" t="str">
        <f>TEXT(support_tickets[[#This Row],[opened_at]],"mmm yyyy")</f>
        <v>Aug 2025</v>
      </c>
      <c r="U1275">
        <f>YEAR(support_tickets[[#This Row],[opened_at]])*100+MONTH(support_tickets[[#This Row],[opened_at]])</f>
        <v>202508</v>
      </c>
      <c r="V1275" s="29">
        <f>DATE(YEAR(support_tickets[[#This Row],[opened_at]]),MONTH(support_tickets[[#This Row],[opened_at]]),1)</f>
        <v>45870</v>
      </c>
    </row>
    <row r="1276" spans="1:22">
      <c r="A1276">
        <v>9833017283</v>
      </c>
      <c r="B1276">
        <v>747233283</v>
      </c>
      <c r="C1276" t="s">
        <v>1010</v>
      </c>
      <c r="D1276" t="s">
        <v>1011</v>
      </c>
      <c r="E1276">
        <v>56164955</v>
      </c>
      <c r="F1276">
        <v>5329451114</v>
      </c>
      <c r="G1276" s="1">
        <v>45592.795752314814</v>
      </c>
      <c r="H1276" s="1">
        <v>45592.886724537035</v>
      </c>
      <c r="I1276" t="s">
        <v>43</v>
      </c>
      <c r="J1276" t="s">
        <v>38</v>
      </c>
      <c r="K1276" t="s">
        <v>47</v>
      </c>
      <c r="L1276" t="s">
        <v>21</v>
      </c>
      <c r="M1276">
        <v>3</v>
      </c>
      <c r="N1276">
        <v>131</v>
      </c>
      <c r="O1276">
        <v>0</v>
      </c>
      <c r="P1276" t="s">
        <v>40</v>
      </c>
      <c r="Q1276">
        <v>1483</v>
      </c>
      <c r="R1276" t="s">
        <v>39</v>
      </c>
      <c r="S1276">
        <f>IF(support_tickets[[#This Row],[status_cleaned]]="closed",1,0)</f>
        <v>1</v>
      </c>
      <c r="T1276" t="str">
        <f>TEXT(support_tickets[[#This Row],[opened_at]],"mmm yyyy")</f>
        <v>Oct 2024</v>
      </c>
      <c r="U1276">
        <f>YEAR(support_tickets[[#This Row],[opened_at]])*100+MONTH(support_tickets[[#This Row],[opened_at]])</f>
        <v>202410</v>
      </c>
      <c r="V1276" s="29">
        <f>DATE(YEAR(support_tickets[[#This Row],[opened_at]]),MONTH(support_tickets[[#This Row],[opened_at]]),1)</f>
        <v>45566</v>
      </c>
    </row>
    <row r="1277" spans="1:22">
      <c r="A1277">
        <v>9841448679</v>
      </c>
      <c r="B1277">
        <v>307029662</v>
      </c>
      <c r="C1277" t="s">
        <v>1575</v>
      </c>
      <c r="D1277" t="s">
        <v>1576</v>
      </c>
      <c r="E1277">
        <v>41227216</v>
      </c>
      <c r="G1277" s="1">
        <v>46112.250081018516</v>
      </c>
      <c r="H1277" s="1">
        <v>46112.359803240739</v>
      </c>
      <c r="I1277" t="s">
        <v>18</v>
      </c>
      <c r="J1277" t="s">
        <v>59</v>
      </c>
      <c r="K1277" t="s">
        <v>47</v>
      </c>
      <c r="L1277" t="s">
        <v>21</v>
      </c>
      <c r="M1277">
        <v>30</v>
      </c>
      <c r="N1277">
        <v>158</v>
      </c>
      <c r="O1277">
        <v>0</v>
      </c>
      <c r="P1277" t="s">
        <v>61</v>
      </c>
      <c r="Q1277">
        <v>1484</v>
      </c>
      <c r="R1277" t="s">
        <v>39</v>
      </c>
      <c r="S1277">
        <f>IF(support_tickets[[#This Row],[status_cleaned]]="closed",1,0)</f>
        <v>1</v>
      </c>
      <c r="T1277" t="str">
        <f>TEXT(support_tickets[[#This Row],[opened_at]],"mmm yyyy")</f>
        <v>Mar 2026</v>
      </c>
      <c r="U1277">
        <f>YEAR(support_tickets[[#This Row],[opened_at]])*100+MONTH(support_tickets[[#This Row],[opened_at]])</f>
        <v>202603</v>
      </c>
      <c r="V1277" s="29">
        <f>DATE(YEAR(support_tickets[[#This Row],[opened_at]]),MONTH(support_tickets[[#This Row],[opened_at]]),1)</f>
        <v>46082</v>
      </c>
    </row>
    <row r="1278" spans="1:22">
      <c r="A1278">
        <v>9843641767</v>
      </c>
      <c r="B1278">
        <v>535312769</v>
      </c>
      <c r="C1278" t="s">
        <v>1577</v>
      </c>
      <c r="D1278" t="s">
        <v>1578</v>
      </c>
      <c r="E1278">
        <v>80823176</v>
      </c>
      <c r="F1278">
        <v>8953013516</v>
      </c>
      <c r="G1278" s="1">
        <v>45573.04409722222</v>
      </c>
      <c r="H1278" s="1">
        <v>45573.137152777781</v>
      </c>
      <c r="I1278" t="s">
        <v>18</v>
      </c>
      <c r="J1278" t="s">
        <v>30</v>
      </c>
      <c r="K1278" t="s">
        <v>47</v>
      </c>
      <c r="L1278" t="s">
        <v>21</v>
      </c>
      <c r="M1278">
        <v>39</v>
      </c>
      <c r="N1278">
        <v>134</v>
      </c>
      <c r="O1278">
        <v>0</v>
      </c>
      <c r="P1278" t="s">
        <v>31</v>
      </c>
      <c r="Q1278">
        <v>1485</v>
      </c>
      <c r="R1278" t="s">
        <v>39</v>
      </c>
      <c r="S1278">
        <f>IF(support_tickets[[#This Row],[status_cleaned]]="closed",1,0)</f>
        <v>1</v>
      </c>
      <c r="T1278" t="str">
        <f>TEXT(support_tickets[[#This Row],[opened_at]],"mmm yyyy")</f>
        <v>Oct 2024</v>
      </c>
      <c r="U1278">
        <f>YEAR(support_tickets[[#This Row],[opened_at]])*100+MONTH(support_tickets[[#This Row],[opened_at]])</f>
        <v>202410</v>
      </c>
      <c r="V1278" s="29">
        <f>DATE(YEAR(support_tickets[[#This Row],[opened_at]]),MONTH(support_tickets[[#This Row],[opened_at]]),1)</f>
        <v>45566</v>
      </c>
    </row>
    <row r="1279" spans="1:22">
      <c r="A1279">
        <v>9846070530</v>
      </c>
      <c r="B1279">
        <v>220953538</v>
      </c>
      <c r="C1279" t="s">
        <v>1579</v>
      </c>
      <c r="D1279" t="s">
        <v>1580</v>
      </c>
      <c r="E1279">
        <v>39436733</v>
      </c>
      <c r="G1279" s="1">
        <v>46081.656655092593</v>
      </c>
      <c r="H1279" s="1">
        <v>46082.035127314812</v>
      </c>
      <c r="I1279" t="s">
        <v>3</v>
      </c>
      <c r="J1279" t="s">
        <v>38</v>
      </c>
      <c r="K1279" t="s">
        <v>47</v>
      </c>
      <c r="L1279" t="s">
        <v>21</v>
      </c>
      <c r="M1279">
        <v>45</v>
      </c>
      <c r="N1279">
        <v>545</v>
      </c>
      <c r="O1279">
        <v>0</v>
      </c>
      <c r="P1279" t="s">
        <v>40</v>
      </c>
      <c r="Q1279">
        <v>1487</v>
      </c>
      <c r="R1279" t="s">
        <v>39</v>
      </c>
      <c r="S1279">
        <f>IF(support_tickets[[#This Row],[status_cleaned]]="closed",1,0)</f>
        <v>1</v>
      </c>
      <c r="T1279" t="str">
        <f>TEXT(support_tickets[[#This Row],[opened_at]],"mmm yyyy")</f>
        <v>Feb 2026</v>
      </c>
      <c r="U1279">
        <f>YEAR(support_tickets[[#This Row],[opened_at]])*100+MONTH(support_tickets[[#This Row],[opened_at]])</f>
        <v>202602</v>
      </c>
      <c r="V1279" s="29">
        <f>DATE(YEAR(support_tickets[[#This Row],[opened_at]]),MONTH(support_tickets[[#This Row],[opened_at]]),1)</f>
        <v>46054</v>
      </c>
    </row>
    <row r="1280" spans="1:22">
      <c r="A1280">
        <v>9964146144</v>
      </c>
      <c r="B1280">
        <v>975903641</v>
      </c>
      <c r="C1280" t="s">
        <v>1026</v>
      </c>
      <c r="D1280" t="s">
        <v>1027</v>
      </c>
      <c r="E1280">
        <v>41227216</v>
      </c>
      <c r="G1280" s="1">
        <v>45788.014826388891</v>
      </c>
      <c r="H1280" s="1">
        <v>45788.33357638889</v>
      </c>
      <c r="I1280" t="s">
        <v>52</v>
      </c>
      <c r="J1280" t="s">
        <v>25</v>
      </c>
      <c r="K1280" t="s">
        <v>47</v>
      </c>
      <c r="L1280" t="s">
        <v>21</v>
      </c>
      <c r="M1280">
        <v>45</v>
      </c>
      <c r="N1280">
        <v>459</v>
      </c>
      <c r="O1280">
        <v>0</v>
      </c>
      <c r="P1280" t="s">
        <v>27</v>
      </c>
      <c r="Q1280">
        <v>1497</v>
      </c>
      <c r="R1280" t="s">
        <v>39</v>
      </c>
      <c r="S1280">
        <f>IF(support_tickets[[#This Row],[status_cleaned]]="closed",1,0)</f>
        <v>1</v>
      </c>
      <c r="T1280" t="str">
        <f>TEXT(support_tickets[[#This Row],[opened_at]],"mmm yyyy")</f>
        <v>May 2025</v>
      </c>
      <c r="U1280">
        <f>YEAR(support_tickets[[#This Row],[opened_at]])*100+MONTH(support_tickets[[#This Row],[opened_at]])</f>
        <v>202505</v>
      </c>
      <c r="V1280" s="29">
        <f>DATE(YEAR(support_tickets[[#This Row],[opened_at]]),MONTH(support_tickets[[#This Row],[opened_at]]),1)</f>
        <v>45778</v>
      </c>
    </row>
    <row r="1281" spans="1:22">
      <c r="A1281">
        <v>9991188986</v>
      </c>
      <c r="B1281">
        <v>720286733</v>
      </c>
      <c r="C1281" t="s">
        <v>274</v>
      </c>
      <c r="D1281" t="s">
        <v>275</v>
      </c>
      <c r="E1281">
        <v>81971316</v>
      </c>
      <c r="G1281" s="1">
        <v>45604.456412037034</v>
      </c>
      <c r="H1281" s="1">
        <v>45604.538356481484</v>
      </c>
      <c r="I1281" t="s">
        <v>18</v>
      </c>
      <c r="J1281" t="s">
        <v>59</v>
      </c>
      <c r="K1281" t="s">
        <v>47</v>
      </c>
      <c r="L1281" t="s">
        <v>21</v>
      </c>
      <c r="M1281">
        <v>25</v>
      </c>
      <c r="N1281">
        <v>118</v>
      </c>
      <c r="O1281">
        <v>0</v>
      </c>
      <c r="P1281" t="s">
        <v>61</v>
      </c>
      <c r="Q1281">
        <v>1500</v>
      </c>
      <c r="R1281" t="s">
        <v>39</v>
      </c>
      <c r="S1281">
        <f>IF(support_tickets[[#This Row],[status_cleaned]]="closed",1,0)</f>
        <v>1</v>
      </c>
      <c r="T1281" t="str">
        <f>TEXT(support_tickets[[#This Row],[opened_at]],"mmm yyyy")</f>
        <v>Nov 2024</v>
      </c>
      <c r="U1281">
        <f>YEAR(support_tickets[[#This Row],[opened_at]])*100+MONTH(support_tickets[[#This Row],[opened_at]])</f>
        <v>202411</v>
      </c>
      <c r="V1281" s="29">
        <f>DATE(YEAR(support_tickets[[#This Row],[opened_at]]),MONTH(support_tickets[[#This Row],[opened_at]]),1)</f>
        <v>45597</v>
      </c>
    </row>
    <row r="1282" spans="1:22">
      <c r="A1282">
        <v>1274722641</v>
      </c>
      <c r="B1282">
        <v>264299106</v>
      </c>
      <c r="C1282" t="s">
        <v>152</v>
      </c>
      <c r="D1282" t="s">
        <v>153</v>
      </c>
      <c r="E1282">
        <v>45935572</v>
      </c>
      <c r="G1282" s="1">
        <v>45759.439074074071</v>
      </c>
      <c r="H1282" s="1">
        <v>45759.901574074072</v>
      </c>
      <c r="I1282" t="s">
        <v>52</v>
      </c>
      <c r="J1282" t="s">
        <v>38</v>
      </c>
      <c r="K1282" t="s">
        <v>73</v>
      </c>
      <c r="L1282" t="s">
        <v>39</v>
      </c>
      <c r="M1282">
        <v>37</v>
      </c>
      <c r="N1282">
        <v>666</v>
      </c>
      <c r="O1282">
        <v>0</v>
      </c>
      <c r="P1282" t="s">
        <v>40</v>
      </c>
      <c r="Q1282">
        <v>56</v>
      </c>
      <c r="R1282" t="s">
        <v>39</v>
      </c>
      <c r="S1282">
        <f>IF(support_tickets[[#This Row],[status_cleaned]]="closed",1,0)</f>
        <v>1</v>
      </c>
      <c r="T1282" t="str">
        <f>TEXT(support_tickets[[#This Row],[opened_at]],"mmm yyyy")</f>
        <v>Apr 2025</v>
      </c>
      <c r="U1282">
        <f>YEAR(support_tickets[[#This Row],[opened_at]])*100+MONTH(support_tickets[[#This Row],[opened_at]])</f>
        <v>202504</v>
      </c>
      <c r="V1282" s="29">
        <f>DATE(YEAR(support_tickets[[#This Row],[opened_at]]),MONTH(support_tickets[[#This Row],[opened_at]]),1)</f>
        <v>45748</v>
      </c>
    </row>
    <row r="1283" spans="1:22">
      <c r="A1283">
        <v>1545038707</v>
      </c>
      <c r="B1283">
        <v>380016058</v>
      </c>
      <c r="C1283" t="s">
        <v>214</v>
      </c>
      <c r="D1283" t="s">
        <v>215</v>
      </c>
      <c r="E1283">
        <v>61019678</v>
      </c>
      <c r="G1283" s="1">
        <v>45946.495891203704</v>
      </c>
      <c r="H1283" s="1">
        <v>45946.844502314816</v>
      </c>
      <c r="I1283" t="s">
        <v>56</v>
      </c>
      <c r="J1283" t="s">
        <v>59</v>
      </c>
      <c r="K1283" t="s">
        <v>73</v>
      </c>
      <c r="L1283" t="s">
        <v>39</v>
      </c>
      <c r="M1283">
        <v>55</v>
      </c>
      <c r="N1283">
        <v>502</v>
      </c>
      <c r="O1283">
        <v>0</v>
      </c>
      <c r="P1283" t="s">
        <v>61</v>
      </c>
      <c r="Q1283">
        <v>92</v>
      </c>
      <c r="R1283" t="s">
        <v>39</v>
      </c>
      <c r="S1283">
        <f>IF(support_tickets[[#This Row],[status_cleaned]]="closed",1,0)</f>
        <v>1</v>
      </c>
      <c r="T1283" t="str">
        <f>TEXT(support_tickets[[#This Row],[opened_at]],"mmm yyyy")</f>
        <v>Oct 2025</v>
      </c>
      <c r="U1283">
        <f>YEAR(support_tickets[[#This Row],[opened_at]])*100+MONTH(support_tickets[[#This Row],[opened_at]])</f>
        <v>202510</v>
      </c>
      <c r="V1283" s="29">
        <f>DATE(YEAR(support_tickets[[#This Row],[opened_at]]),MONTH(support_tickets[[#This Row],[opened_at]]),1)</f>
        <v>45931</v>
      </c>
    </row>
    <row r="1284" spans="1:22">
      <c r="A1284">
        <v>2163531478</v>
      </c>
      <c r="B1284">
        <v>393622794</v>
      </c>
      <c r="C1284" t="s">
        <v>424</v>
      </c>
      <c r="D1284" t="s">
        <v>425</v>
      </c>
      <c r="E1284">
        <v>31429110</v>
      </c>
      <c r="G1284" s="1">
        <v>45938.651770833334</v>
      </c>
      <c r="H1284" s="1">
        <v>45938.822604166664</v>
      </c>
      <c r="I1284" t="s">
        <v>3</v>
      </c>
      <c r="J1284" t="s">
        <v>19</v>
      </c>
      <c r="K1284" t="s">
        <v>73</v>
      </c>
      <c r="L1284" t="s">
        <v>39</v>
      </c>
      <c r="M1284">
        <v>58</v>
      </c>
      <c r="N1284">
        <v>246</v>
      </c>
      <c r="O1284">
        <v>0</v>
      </c>
      <c r="P1284" t="s">
        <v>22</v>
      </c>
      <c r="Q1284">
        <v>216</v>
      </c>
      <c r="R1284" t="s">
        <v>39</v>
      </c>
      <c r="S1284">
        <f>IF(support_tickets[[#This Row],[status_cleaned]]="closed",1,0)</f>
        <v>1</v>
      </c>
      <c r="T1284" t="str">
        <f>TEXT(support_tickets[[#This Row],[opened_at]],"mmm yyyy")</f>
        <v>Oct 2025</v>
      </c>
      <c r="U1284">
        <f>YEAR(support_tickets[[#This Row],[opened_at]])*100+MONTH(support_tickets[[#This Row],[opened_at]])</f>
        <v>202510</v>
      </c>
      <c r="V1284" s="29">
        <f>DATE(YEAR(support_tickets[[#This Row],[opened_at]]),MONTH(support_tickets[[#This Row],[opened_at]]),1)</f>
        <v>45931</v>
      </c>
    </row>
    <row r="1285" spans="1:22">
      <c r="A1285">
        <v>2196264906</v>
      </c>
      <c r="B1285">
        <v>999371401</v>
      </c>
      <c r="C1285" t="s">
        <v>434</v>
      </c>
      <c r="D1285" t="s">
        <v>435</v>
      </c>
      <c r="E1285">
        <v>23756669</v>
      </c>
      <c r="G1285" s="1">
        <v>45393.129467592589</v>
      </c>
      <c r="H1285" s="1">
        <v>45393.524606481478</v>
      </c>
      <c r="I1285" t="s">
        <v>3</v>
      </c>
      <c r="J1285" t="s">
        <v>86</v>
      </c>
      <c r="K1285" t="s">
        <v>73</v>
      </c>
      <c r="L1285" t="s">
        <v>39</v>
      </c>
      <c r="M1285">
        <v>49</v>
      </c>
      <c r="N1285">
        <v>569</v>
      </c>
      <c r="O1285">
        <v>0</v>
      </c>
      <c r="P1285" t="s">
        <v>87</v>
      </c>
      <c r="Q1285">
        <v>223</v>
      </c>
      <c r="R1285" t="s">
        <v>39</v>
      </c>
      <c r="S1285">
        <f>IF(support_tickets[[#This Row],[status_cleaned]]="closed",1,0)</f>
        <v>1</v>
      </c>
      <c r="T1285" t="str">
        <f>TEXT(support_tickets[[#This Row],[opened_at]],"mmm yyyy")</f>
        <v>Apr 2024</v>
      </c>
      <c r="U1285">
        <f>YEAR(support_tickets[[#This Row],[opened_at]])*100+MONTH(support_tickets[[#This Row],[opened_at]])</f>
        <v>202404</v>
      </c>
      <c r="V1285" s="29">
        <f>DATE(YEAR(support_tickets[[#This Row],[opened_at]]),MONTH(support_tickets[[#This Row],[opened_at]]),1)</f>
        <v>45383</v>
      </c>
    </row>
    <row r="1286" spans="1:22">
      <c r="A1286">
        <v>2732147710</v>
      </c>
      <c r="B1286">
        <v>511086777</v>
      </c>
      <c r="C1286" t="s">
        <v>138</v>
      </c>
      <c r="D1286" t="s">
        <v>139</v>
      </c>
      <c r="E1286">
        <v>91415657</v>
      </c>
      <c r="G1286" s="1">
        <v>45592.253819444442</v>
      </c>
      <c r="H1286" s="1">
        <v>45592.62604166667</v>
      </c>
      <c r="I1286" t="s">
        <v>37</v>
      </c>
      <c r="J1286" t="s">
        <v>30</v>
      </c>
      <c r="K1286" t="s">
        <v>73</v>
      </c>
      <c r="L1286" t="s">
        <v>39</v>
      </c>
      <c r="M1286">
        <v>67</v>
      </c>
      <c r="N1286">
        <v>536</v>
      </c>
      <c r="O1286">
        <v>0</v>
      </c>
      <c r="P1286" t="s">
        <v>31</v>
      </c>
      <c r="Q1286">
        <v>312</v>
      </c>
      <c r="R1286" t="s">
        <v>39</v>
      </c>
      <c r="S1286">
        <f>IF(support_tickets[[#This Row],[status_cleaned]]="closed",1,0)</f>
        <v>1</v>
      </c>
      <c r="T1286" t="str">
        <f>TEXT(support_tickets[[#This Row],[opened_at]],"mmm yyyy")</f>
        <v>Oct 2024</v>
      </c>
      <c r="U1286">
        <f>YEAR(support_tickets[[#This Row],[opened_at]])*100+MONTH(support_tickets[[#This Row],[opened_at]])</f>
        <v>202410</v>
      </c>
      <c r="V1286" s="29">
        <f>DATE(YEAR(support_tickets[[#This Row],[opened_at]]),MONTH(support_tickets[[#This Row],[opened_at]]),1)</f>
        <v>45566</v>
      </c>
    </row>
    <row r="1287" spans="1:22">
      <c r="A1287">
        <v>3115864847</v>
      </c>
      <c r="B1287">
        <v>423358638</v>
      </c>
      <c r="C1287" t="s">
        <v>658</v>
      </c>
      <c r="D1287" t="s">
        <v>659</v>
      </c>
      <c r="E1287">
        <v>45503389</v>
      </c>
      <c r="G1287" s="1">
        <v>45987.572199074071</v>
      </c>
      <c r="H1287" s="1">
        <v>45987.631226851852</v>
      </c>
      <c r="I1287" t="s">
        <v>46</v>
      </c>
      <c r="J1287" t="s">
        <v>30</v>
      </c>
      <c r="K1287" t="s">
        <v>73</v>
      </c>
      <c r="L1287" t="s">
        <v>39</v>
      </c>
      <c r="M1287">
        <v>18</v>
      </c>
      <c r="N1287">
        <v>85</v>
      </c>
      <c r="O1287">
        <v>0</v>
      </c>
      <c r="P1287" t="s">
        <v>31</v>
      </c>
      <c r="Q1287">
        <v>382</v>
      </c>
      <c r="R1287" t="s">
        <v>39</v>
      </c>
      <c r="S1287">
        <f>IF(support_tickets[[#This Row],[status_cleaned]]="closed",1,0)</f>
        <v>1</v>
      </c>
      <c r="T1287" t="str">
        <f>TEXT(support_tickets[[#This Row],[opened_at]],"mmm yyyy")</f>
        <v>Nov 2025</v>
      </c>
      <c r="U1287">
        <f>YEAR(support_tickets[[#This Row],[opened_at]])*100+MONTH(support_tickets[[#This Row],[opened_at]])</f>
        <v>202511</v>
      </c>
      <c r="V1287" s="29">
        <f>DATE(YEAR(support_tickets[[#This Row],[opened_at]]),MONTH(support_tickets[[#This Row],[opened_at]]),1)</f>
        <v>45962</v>
      </c>
    </row>
    <row r="1288" spans="1:22">
      <c r="A1288">
        <v>3243568900</v>
      </c>
      <c r="B1288">
        <v>874597473</v>
      </c>
      <c r="C1288" t="s">
        <v>680</v>
      </c>
      <c r="D1288" t="s">
        <v>681</v>
      </c>
      <c r="E1288">
        <v>24282218</v>
      </c>
      <c r="F1288">
        <v>9717351872</v>
      </c>
      <c r="G1288" s="1">
        <v>45392.360648148147</v>
      </c>
      <c r="H1288" s="1">
        <v>45392.530092592591</v>
      </c>
      <c r="I1288" t="s">
        <v>43</v>
      </c>
      <c r="J1288" t="s">
        <v>38</v>
      </c>
      <c r="K1288" t="s">
        <v>73</v>
      </c>
      <c r="L1288" t="s">
        <v>39</v>
      </c>
      <c r="M1288">
        <v>19</v>
      </c>
      <c r="N1288">
        <v>244</v>
      </c>
      <c r="O1288">
        <v>0</v>
      </c>
      <c r="P1288" t="s">
        <v>40</v>
      </c>
      <c r="Q1288">
        <v>402</v>
      </c>
      <c r="R1288" t="s">
        <v>39</v>
      </c>
      <c r="S1288">
        <f>IF(support_tickets[[#This Row],[status_cleaned]]="closed",1,0)</f>
        <v>1</v>
      </c>
      <c r="T1288" t="str">
        <f>TEXT(support_tickets[[#This Row],[opened_at]],"mmm yyyy")</f>
        <v>Apr 2024</v>
      </c>
      <c r="U1288">
        <f>YEAR(support_tickets[[#This Row],[opened_at]])*100+MONTH(support_tickets[[#This Row],[opened_at]])</f>
        <v>202404</v>
      </c>
      <c r="V1288" s="29">
        <f>DATE(YEAR(support_tickets[[#This Row],[opened_at]]),MONTH(support_tickets[[#This Row],[opened_at]]),1)</f>
        <v>45383</v>
      </c>
    </row>
    <row r="1289" spans="1:22">
      <c r="A1289">
        <v>3349475467</v>
      </c>
      <c r="B1289">
        <v>631388604</v>
      </c>
      <c r="C1289" t="s">
        <v>716</v>
      </c>
      <c r="D1289" t="s">
        <v>717</v>
      </c>
      <c r="E1289">
        <v>39958838</v>
      </c>
      <c r="G1289" s="1">
        <v>45864.440925925926</v>
      </c>
      <c r="H1289" s="1">
        <v>45864.977037037039</v>
      </c>
      <c r="I1289" t="s">
        <v>56</v>
      </c>
      <c r="J1289" t="s">
        <v>19</v>
      </c>
      <c r="K1289" t="s">
        <v>73</v>
      </c>
      <c r="L1289" t="s">
        <v>39</v>
      </c>
      <c r="M1289">
        <v>50</v>
      </c>
      <c r="N1289">
        <v>772</v>
      </c>
      <c r="O1289">
        <v>0</v>
      </c>
      <c r="P1289" t="s">
        <v>22</v>
      </c>
      <c r="Q1289">
        <v>425</v>
      </c>
      <c r="R1289" t="s">
        <v>39</v>
      </c>
      <c r="S1289">
        <f>IF(support_tickets[[#This Row],[status_cleaned]]="closed",1,0)</f>
        <v>1</v>
      </c>
      <c r="T1289" t="str">
        <f>TEXT(support_tickets[[#This Row],[opened_at]],"mmm yyyy")</f>
        <v>Jul 2025</v>
      </c>
      <c r="U1289">
        <f>YEAR(support_tickets[[#This Row],[opened_at]])*100+MONTH(support_tickets[[#This Row],[opened_at]])</f>
        <v>202507</v>
      </c>
      <c r="V1289" s="29">
        <f>DATE(YEAR(support_tickets[[#This Row],[opened_at]]),MONTH(support_tickets[[#This Row],[opened_at]]),1)</f>
        <v>45839</v>
      </c>
    </row>
    <row r="1290" spans="1:22">
      <c r="A1290">
        <v>3483268925</v>
      </c>
      <c r="B1290">
        <v>233871736</v>
      </c>
      <c r="C1290" t="s">
        <v>752</v>
      </c>
      <c r="D1290" t="s">
        <v>753</v>
      </c>
      <c r="E1290">
        <v>87490893</v>
      </c>
      <c r="G1290" s="1">
        <v>45359.465300925927</v>
      </c>
      <c r="H1290" s="1">
        <v>45359.752800925926</v>
      </c>
      <c r="I1290" t="s">
        <v>43</v>
      </c>
      <c r="J1290" t="s">
        <v>25</v>
      </c>
      <c r="K1290" t="s">
        <v>73</v>
      </c>
      <c r="L1290" t="s">
        <v>39</v>
      </c>
      <c r="M1290">
        <v>81</v>
      </c>
      <c r="N1290">
        <v>414</v>
      </c>
      <c r="O1290">
        <v>0</v>
      </c>
      <c r="P1290" t="s">
        <v>27</v>
      </c>
      <c r="Q1290">
        <v>447</v>
      </c>
      <c r="R1290" t="s">
        <v>39</v>
      </c>
      <c r="S1290">
        <f>IF(support_tickets[[#This Row],[status_cleaned]]="closed",1,0)</f>
        <v>1</v>
      </c>
      <c r="T1290" t="str">
        <f>TEXT(support_tickets[[#This Row],[opened_at]],"mmm yyyy")</f>
        <v>Mar 2024</v>
      </c>
      <c r="U1290">
        <f>YEAR(support_tickets[[#This Row],[opened_at]])*100+MONTH(support_tickets[[#This Row],[opened_at]])</f>
        <v>202403</v>
      </c>
      <c r="V1290" s="29">
        <f>DATE(YEAR(support_tickets[[#This Row],[opened_at]]),MONTH(support_tickets[[#This Row],[opened_at]]),1)</f>
        <v>45352</v>
      </c>
    </row>
    <row r="1291" spans="1:22">
      <c r="A1291">
        <v>3505651251</v>
      </c>
      <c r="B1291">
        <v>694875990</v>
      </c>
      <c r="C1291" t="s">
        <v>758</v>
      </c>
      <c r="D1291" t="s">
        <v>759</v>
      </c>
      <c r="E1291">
        <v>24282218</v>
      </c>
      <c r="G1291" s="1">
        <v>45721.619421296295</v>
      </c>
      <c r="H1291" s="1">
        <v>45721.815254629626</v>
      </c>
      <c r="I1291" t="s">
        <v>43</v>
      </c>
      <c r="J1291" t="s">
        <v>38</v>
      </c>
      <c r="K1291" t="s">
        <v>73</v>
      </c>
      <c r="L1291" t="s">
        <v>39</v>
      </c>
      <c r="M1291">
        <v>35</v>
      </c>
      <c r="N1291">
        <v>282</v>
      </c>
      <c r="O1291">
        <v>0</v>
      </c>
      <c r="P1291" t="s">
        <v>40</v>
      </c>
      <c r="Q1291">
        <v>452</v>
      </c>
      <c r="R1291" t="s">
        <v>39</v>
      </c>
      <c r="S1291">
        <f>IF(support_tickets[[#This Row],[status_cleaned]]="closed",1,0)</f>
        <v>1</v>
      </c>
      <c r="T1291" t="str">
        <f>TEXT(support_tickets[[#This Row],[opened_at]],"mmm yyyy")</f>
        <v>Mar 2025</v>
      </c>
      <c r="U1291">
        <f>YEAR(support_tickets[[#This Row],[opened_at]])*100+MONTH(support_tickets[[#This Row],[opened_at]])</f>
        <v>202503</v>
      </c>
      <c r="V1291" s="29">
        <f>DATE(YEAR(support_tickets[[#This Row],[opened_at]]),MONTH(support_tickets[[#This Row],[opened_at]]),1)</f>
        <v>45717</v>
      </c>
    </row>
    <row r="1292" spans="1:22">
      <c r="A1292">
        <v>3701200744</v>
      </c>
      <c r="B1292">
        <v>105563528</v>
      </c>
      <c r="C1292" t="s">
        <v>598</v>
      </c>
      <c r="D1292" t="s">
        <v>599</v>
      </c>
      <c r="E1292">
        <v>68353204</v>
      </c>
      <c r="F1292">
        <v>6943960966</v>
      </c>
      <c r="G1292" s="1">
        <v>45873.275960648149</v>
      </c>
      <c r="H1292" s="1">
        <v>45873.741932870369</v>
      </c>
      <c r="I1292" t="s">
        <v>56</v>
      </c>
      <c r="J1292" t="s">
        <v>25</v>
      </c>
      <c r="K1292" t="s">
        <v>73</v>
      </c>
      <c r="L1292" t="s">
        <v>39</v>
      </c>
      <c r="M1292">
        <v>43</v>
      </c>
      <c r="N1292">
        <v>671</v>
      </c>
      <c r="O1292">
        <v>0</v>
      </c>
      <c r="P1292" t="s">
        <v>27</v>
      </c>
      <c r="Q1292">
        <v>484</v>
      </c>
      <c r="R1292" t="s">
        <v>39</v>
      </c>
      <c r="S1292">
        <f>IF(support_tickets[[#This Row],[status_cleaned]]="closed",1,0)</f>
        <v>1</v>
      </c>
      <c r="T1292" t="str">
        <f>TEXT(support_tickets[[#This Row],[opened_at]],"mmm yyyy")</f>
        <v>Aug 2025</v>
      </c>
      <c r="U1292">
        <f>YEAR(support_tickets[[#This Row],[opened_at]])*100+MONTH(support_tickets[[#This Row],[opened_at]])</f>
        <v>202508</v>
      </c>
      <c r="V1292" s="29">
        <f>DATE(YEAR(support_tickets[[#This Row],[opened_at]]),MONTH(support_tickets[[#This Row],[opened_at]]),1)</f>
        <v>45870</v>
      </c>
    </row>
    <row r="1293" spans="1:22">
      <c r="A1293">
        <v>3762744182</v>
      </c>
      <c r="B1293">
        <v>857820386</v>
      </c>
      <c r="C1293" t="s">
        <v>807</v>
      </c>
      <c r="D1293" t="s">
        <v>808</v>
      </c>
      <c r="E1293">
        <v>50056581</v>
      </c>
      <c r="G1293" s="1">
        <v>45533.963553240741</v>
      </c>
      <c r="H1293" s="1">
        <v>45534.228831018518</v>
      </c>
      <c r="I1293" t="s">
        <v>43</v>
      </c>
      <c r="J1293" t="s">
        <v>19</v>
      </c>
      <c r="K1293" t="s">
        <v>73</v>
      </c>
      <c r="L1293" t="s">
        <v>39</v>
      </c>
      <c r="M1293">
        <v>32</v>
      </c>
      <c r="N1293">
        <v>382</v>
      </c>
      <c r="O1293">
        <v>0</v>
      </c>
      <c r="P1293" t="s">
        <v>22</v>
      </c>
      <c r="Q1293">
        <v>494</v>
      </c>
      <c r="R1293" t="s">
        <v>39</v>
      </c>
      <c r="S1293">
        <f>IF(support_tickets[[#This Row],[status_cleaned]]="closed",1,0)</f>
        <v>1</v>
      </c>
      <c r="T1293" t="str">
        <f>TEXT(support_tickets[[#This Row],[opened_at]],"mmm yyyy")</f>
        <v>Aug 2024</v>
      </c>
      <c r="U1293">
        <f>YEAR(support_tickets[[#This Row],[opened_at]])*100+MONTH(support_tickets[[#This Row],[opened_at]])</f>
        <v>202408</v>
      </c>
      <c r="V1293" s="29">
        <f>DATE(YEAR(support_tickets[[#This Row],[opened_at]]),MONTH(support_tickets[[#This Row],[opened_at]]),1)</f>
        <v>45505</v>
      </c>
    </row>
    <row r="1294" spans="1:22">
      <c r="A1294">
        <v>4011714914</v>
      </c>
      <c r="B1294">
        <v>804344630</v>
      </c>
      <c r="C1294" t="s">
        <v>852</v>
      </c>
      <c r="D1294" t="s">
        <v>853</v>
      </c>
      <c r="E1294">
        <v>66629388</v>
      </c>
      <c r="F1294">
        <v>3029665156</v>
      </c>
      <c r="G1294" s="1">
        <v>45342.871076388888</v>
      </c>
      <c r="H1294" s="1">
        <v>45343.304409722223</v>
      </c>
      <c r="I1294" t="s">
        <v>52</v>
      </c>
      <c r="J1294" t="s">
        <v>59</v>
      </c>
      <c r="K1294" t="s">
        <v>73</v>
      </c>
      <c r="L1294" t="s">
        <v>39</v>
      </c>
      <c r="M1294">
        <v>32</v>
      </c>
      <c r="N1294">
        <v>624</v>
      </c>
      <c r="O1294">
        <v>0</v>
      </c>
      <c r="P1294" t="s">
        <v>61</v>
      </c>
      <c r="Q1294">
        <v>525</v>
      </c>
      <c r="R1294" t="s">
        <v>39</v>
      </c>
      <c r="S1294">
        <f>IF(support_tickets[[#This Row],[status_cleaned]]="closed",1,0)</f>
        <v>1</v>
      </c>
      <c r="T1294" t="str">
        <f>TEXT(support_tickets[[#This Row],[opened_at]],"mmm yyyy")</f>
        <v>Feb 2024</v>
      </c>
      <c r="U1294">
        <f>YEAR(support_tickets[[#This Row],[opened_at]])*100+MONTH(support_tickets[[#This Row],[opened_at]])</f>
        <v>202402</v>
      </c>
      <c r="V1294" s="29">
        <f>DATE(YEAR(support_tickets[[#This Row],[opened_at]]),MONTH(support_tickets[[#This Row],[opened_at]]),1)</f>
        <v>45323</v>
      </c>
    </row>
    <row r="1295" spans="1:22">
      <c r="A1295">
        <v>5224379868</v>
      </c>
      <c r="B1295">
        <v>383975609</v>
      </c>
      <c r="C1295" t="s">
        <v>1072</v>
      </c>
      <c r="D1295" t="s">
        <v>1073</v>
      </c>
      <c r="E1295">
        <v>71662963</v>
      </c>
      <c r="G1295" s="1">
        <v>45489.070763888885</v>
      </c>
      <c r="H1295" s="1">
        <v>45489.17701388889</v>
      </c>
      <c r="I1295" t="s">
        <v>56</v>
      </c>
      <c r="J1295" t="s">
        <v>30</v>
      </c>
      <c r="K1295" t="s">
        <v>73</v>
      </c>
      <c r="L1295" t="s">
        <v>39</v>
      </c>
      <c r="M1295">
        <v>19</v>
      </c>
      <c r="N1295">
        <v>153</v>
      </c>
      <c r="O1295">
        <v>0</v>
      </c>
      <c r="P1295" t="s">
        <v>31</v>
      </c>
      <c r="Q1295">
        <v>737</v>
      </c>
      <c r="R1295" t="s">
        <v>39</v>
      </c>
      <c r="S1295">
        <f>IF(support_tickets[[#This Row],[status_cleaned]]="closed",1,0)</f>
        <v>1</v>
      </c>
      <c r="T1295" t="str">
        <f>TEXT(support_tickets[[#This Row],[opened_at]],"mmm yyyy")</f>
        <v>Jul 2024</v>
      </c>
      <c r="U1295">
        <f>YEAR(support_tickets[[#This Row],[opened_at]])*100+MONTH(support_tickets[[#This Row],[opened_at]])</f>
        <v>202407</v>
      </c>
      <c r="V1295" s="29">
        <f>DATE(YEAR(support_tickets[[#This Row],[opened_at]]),MONTH(support_tickets[[#This Row],[opened_at]]),1)</f>
        <v>45474</v>
      </c>
    </row>
    <row r="1296" spans="1:22">
      <c r="A1296">
        <v>5264744929</v>
      </c>
      <c r="B1296">
        <v>527589822</v>
      </c>
      <c r="C1296" t="s">
        <v>226</v>
      </c>
      <c r="D1296" t="s">
        <v>227</v>
      </c>
      <c r="E1296">
        <v>73791320</v>
      </c>
      <c r="G1296" s="1">
        <v>45681.639965277776</v>
      </c>
      <c r="H1296" s="1">
        <v>45681.946909722225</v>
      </c>
      <c r="I1296" t="s">
        <v>46</v>
      </c>
      <c r="J1296" t="s">
        <v>25</v>
      </c>
      <c r="K1296" t="s">
        <v>73</v>
      </c>
      <c r="L1296" t="s">
        <v>39</v>
      </c>
      <c r="M1296">
        <v>37</v>
      </c>
      <c r="N1296">
        <v>442</v>
      </c>
      <c r="O1296">
        <v>0</v>
      </c>
      <c r="P1296" t="s">
        <v>27</v>
      </c>
      <c r="Q1296">
        <v>744</v>
      </c>
      <c r="R1296" t="s">
        <v>39</v>
      </c>
      <c r="S1296">
        <f>IF(support_tickets[[#This Row],[status_cleaned]]="closed",1,0)</f>
        <v>1</v>
      </c>
      <c r="T1296" t="str">
        <f>TEXT(support_tickets[[#This Row],[opened_at]],"mmm yyyy")</f>
        <v>Jan 2025</v>
      </c>
      <c r="U1296">
        <f>YEAR(support_tickets[[#This Row],[opened_at]])*100+MONTH(support_tickets[[#This Row],[opened_at]])</f>
        <v>202501</v>
      </c>
      <c r="V1296" s="29">
        <f>DATE(YEAR(support_tickets[[#This Row],[opened_at]]),MONTH(support_tickets[[#This Row],[opened_at]]),1)</f>
        <v>45658</v>
      </c>
    </row>
    <row r="1297" spans="1:22">
      <c r="A1297">
        <v>5706337930</v>
      </c>
      <c r="B1297">
        <v>835172306</v>
      </c>
      <c r="C1297" t="s">
        <v>192</v>
      </c>
      <c r="D1297" t="s">
        <v>193</v>
      </c>
      <c r="E1297">
        <v>47338124</v>
      </c>
      <c r="F1297">
        <v>7519795910</v>
      </c>
      <c r="G1297" s="1">
        <v>46041.391018518516</v>
      </c>
      <c r="H1297" s="1">
        <v>46041.81046296296</v>
      </c>
      <c r="I1297" t="s">
        <v>52</v>
      </c>
      <c r="J1297" t="s">
        <v>59</v>
      </c>
      <c r="K1297" t="s">
        <v>73</v>
      </c>
      <c r="L1297" t="s">
        <v>39</v>
      </c>
      <c r="M1297">
        <v>28</v>
      </c>
      <c r="N1297">
        <v>604</v>
      </c>
      <c r="O1297">
        <v>0</v>
      </c>
      <c r="P1297" t="s">
        <v>61</v>
      </c>
      <c r="Q1297">
        <v>837</v>
      </c>
      <c r="R1297" t="s">
        <v>39</v>
      </c>
      <c r="S1297">
        <f>IF(support_tickets[[#This Row],[status_cleaned]]="closed",1,0)</f>
        <v>1</v>
      </c>
      <c r="T1297" t="str">
        <f>TEXT(support_tickets[[#This Row],[opened_at]],"mmm yyyy")</f>
        <v>Jan 2026</v>
      </c>
      <c r="U1297">
        <f>YEAR(support_tickets[[#This Row],[opened_at]])*100+MONTH(support_tickets[[#This Row],[opened_at]])</f>
        <v>202601</v>
      </c>
      <c r="V1297" s="29">
        <f>DATE(YEAR(support_tickets[[#This Row],[opened_at]]),MONTH(support_tickets[[#This Row],[opened_at]]),1)</f>
        <v>46023</v>
      </c>
    </row>
    <row r="1298" spans="1:22">
      <c r="A1298">
        <v>5786473236</v>
      </c>
      <c r="B1298">
        <v>998386592</v>
      </c>
      <c r="C1298" t="s">
        <v>1176</v>
      </c>
      <c r="D1298" t="s">
        <v>1177</v>
      </c>
      <c r="E1298">
        <v>13999315</v>
      </c>
      <c r="G1298" s="1">
        <v>45822.700706018521</v>
      </c>
      <c r="H1298" s="1">
        <v>45823.013206018521</v>
      </c>
      <c r="I1298" t="s">
        <v>3</v>
      </c>
      <c r="J1298" t="s">
        <v>25</v>
      </c>
      <c r="K1298" t="s">
        <v>73</v>
      </c>
      <c r="L1298" t="s">
        <v>39</v>
      </c>
      <c r="M1298">
        <v>37</v>
      </c>
      <c r="N1298">
        <v>450</v>
      </c>
      <c r="O1298">
        <v>0</v>
      </c>
      <c r="P1298" t="s">
        <v>27</v>
      </c>
      <c r="Q1298">
        <v>856</v>
      </c>
      <c r="R1298" t="s">
        <v>39</v>
      </c>
      <c r="S1298">
        <f>IF(support_tickets[[#This Row],[status_cleaned]]="closed",1,0)</f>
        <v>1</v>
      </c>
      <c r="T1298" t="str">
        <f>TEXT(support_tickets[[#This Row],[opened_at]],"mmm yyyy")</f>
        <v>Jun 2025</v>
      </c>
      <c r="U1298">
        <f>YEAR(support_tickets[[#This Row],[opened_at]])*100+MONTH(support_tickets[[#This Row],[opened_at]])</f>
        <v>202506</v>
      </c>
      <c r="V1298" s="29">
        <f>DATE(YEAR(support_tickets[[#This Row],[opened_at]]),MONTH(support_tickets[[#This Row],[opened_at]]),1)</f>
        <v>45809</v>
      </c>
    </row>
    <row r="1299" spans="1:22">
      <c r="A1299">
        <v>6069326399</v>
      </c>
      <c r="B1299">
        <v>470228863</v>
      </c>
      <c r="C1299" t="s">
        <v>738</v>
      </c>
      <c r="D1299" t="s">
        <v>739</v>
      </c>
      <c r="E1299">
        <v>19335534</v>
      </c>
      <c r="F1299">
        <v>9473321348</v>
      </c>
      <c r="G1299" s="1">
        <v>45308.591226851851</v>
      </c>
      <c r="H1299" s="1">
        <v>45308.964143518519</v>
      </c>
      <c r="I1299" t="s">
        <v>52</v>
      </c>
      <c r="J1299" t="s">
        <v>59</v>
      </c>
      <c r="K1299" t="s">
        <v>73</v>
      </c>
      <c r="L1299" t="s">
        <v>39</v>
      </c>
      <c r="M1299">
        <v>7</v>
      </c>
      <c r="N1299">
        <v>537</v>
      </c>
      <c r="O1299">
        <v>0</v>
      </c>
      <c r="P1299" t="s">
        <v>61</v>
      </c>
      <c r="Q1299">
        <v>901</v>
      </c>
      <c r="R1299" t="s">
        <v>39</v>
      </c>
      <c r="S1299">
        <f>IF(support_tickets[[#This Row],[status_cleaned]]="closed",1,0)</f>
        <v>1</v>
      </c>
      <c r="T1299" t="str">
        <f>TEXT(support_tickets[[#This Row],[opened_at]],"mmm yyyy")</f>
        <v>Jan 2024</v>
      </c>
      <c r="U1299">
        <f>YEAR(support_tickets[[#This Row],[opened_at]])*100+MONTH(support_tickets[[#This Row],[opened_at]])</f>
        <v>202401</v>
      </c>
      <c r="V1299" s="29">
        <f>DATE(YEAR(support_tickets[[#This Row],[opened_at]]),MONTH(support_tickets[[#This Row],[opened_at]]),1)</f>
        <v>45292</v>
      </c>
    </row>
    <row r="1300" spans="1:22">
      <c r="A1300">
        <v>6322209707</v>
      </c>
      <c r="B1300">
        <v>898120571</v>
      </c>
      <c r="C1300" t="s">
        <v>1256</v>
      </c>
      <c r="D1300" t="s">
        <v>1257</v>
      </c>
      <c r="E1300">
        <v>61642594</v>
      </c>
      <c r="F1300">
        <v>8261041225</v>
      </c>
      <c r="G1300" s="1">
        <v>46108.300706018519</v>
      </c>
      <c r="H1300" s="1">
        <v>46108.372233796297</v>
      </c>
      <c r="I1300" t="s">
        <v>43</v>
      </c>
      <c r="J1300" t="s">
        <v>25</v>
      </c>
      <c r="K1300" t="s">
        <v>73</v>
      </c>
      <c r="L1300" t="s">
        <v>39</v>
      </c>
      <c r="M1300">
        <v>36</v>
      </c>
      <c r="N1300">
        <v>103</v>
      </c>
      <c r="O1300">
        <v>0</v>
      </c>
      <c r="P1300" t="s">
        <v>27</v>
      </c>
      <c r="Q1300">
        <v>947</v>
      </c>
      <c r="R1300" t="s">
        <v>39</v>
      </c>
      <c r="S1300">
        <f>IF(support_tickets[[#This Row],[status_cleaned]]="closed",1,0)</f>
        <v>1</v>
      </c>
      <c r="T1300" t="str">
        <f>TEXT(support_tickets[[#This Row],[opened_at]],"mmm yyyy")</f>
        <v>Mar 2026</v>
      </c>
      <c r="U1300">
        <f>YEAR(support_tickets[[#This Row],[opened_at]])*100+MONTH(support_tickets[[#This Row],[opened_at]])</f>
        <v>202603</v>
      </c>
      <c r="V1300" s="29">
        <f>DATE(YEAR(support_tickets[[#This Row],[opened_at]]),MONTH(support_tickets[[#This Row],[opened_at]]),1)</f>
        <v>46082</v>
      </c>
    </row>
    <row r="1301" spans="1:22">
      <c r="A1301">
        <v>6448508300</v>
      </c>
      <c r="B1301">
        <v>725412469</v>
      </c>
      <c r="C1301" t="s">
        <v>1272</v>
      </c>
      <c r="D1301" t="s">
        <v>1273</v>
      </c>
      <c r="E1301">
        <v>45503389</v>
      </c>
      <c r="G1301" s="1">
        <v>45445.295868055553</v>
      </c>
      <c r="H1301" s="1">
        <v>45445.368784722225</v>
      </c>
      <c r="I1301" t="s">
        <v>56</v>
      </c>
      <c r="J1301" t="s">
        <v>38</v>
      </c>
      <c r="K1301" t="s">
        <v>73</v>
      </c>
      <c r="L1301" t="s">
        <v>39</v>
      </c>
      <c r="M1301">
        <v>15</v>
      </c>
      <c r="N1301">
        <v>105</v>
      </c>
      <c r="O1301">
        <v>0</v>
      </c>
      <c r="P1301" t="s">
        <v>40</v>
      </c>
      <c r="Q1301">
        <v>966</v>
      </c>
      <c r="R1301" t="s">
        <v>39</v>
      </c>
      <c r="S1301">
        <f>IF(support_tickets[[#This Row],[status_cleaned]]="closed",1,0)</f>
        <v>1</v>
      </c>
      <c r="T1301" t="str">
        <f>TEXT(support_tickets[[#This Row],[opened_at]],"mmm yyyy")</f>
        <v>Jun 2024</v>
      </c>
      <c r="U1301">
        <f>YEAR(support_tickets[[#This Row],[opened_at]])*100+MONTH(support_tickets[[#This Row],[opened_at]])</f>
        <v>202406</v>
      </c>
      <c r="V1301" s="29">
        <f>DATE(YEAR(support_tickets[[#This Row],[opened_at]]),MONTH(support_tickets[[#This Row],[opened_at]]),1)</f>
        <v>45444</v>
      </c>
    </row>
    <row r="1302" spans="1:22">
      <c r="A1302">
        <v>6993726567</v>
      </c>
      <c r="B1302">
        <v>244096091</v>
      </c>
      <c r="C1302" t="s">
        <v>440</v>
      </c>
      <c r="D1302" t="s">
        <v>441</v>
      </c>
      <c r="E1302">
        <v>43744231</v>
      </c>
      <c r="F1302">
        <v>6971064982</v>
      </c>
      <c r="G1302" s="1">
        <v>45838.011030092595</v>
      </c>
      <c r="H1302" s="1">
        <v>45838.154085648152</v>
      </c>
      <c r="I1302" t="s">
        <v>43</v>
      </c>
      <c r="J1302" t="s">
        <v>86</v>
      </c>
      <c r="K1302" t="s">
        <v>73</v>
      </c>
      <c r="L1302" t="s">
        <v>39</v>
      </c>
      <c r="M1302">
        <v>21</v>
      </c>
      <c r="N1302">
        <v>206</v>
      </c>
      <c r="O1302">
        <v>0</v>
      </c>
      <c r="P1302" t="s">
        <v>87</v>
      </c>
      <c r="Q1302">
        <v>1028</v>
      </c>
      <c r="R1302" t="s">
        <v>39</v>
      </c>
      <c r="S1302">
        <f>IF(support_tickets[[#This Row],[status_cleaned]]="closed",1,0)</f>
        <v>1</v>
      </c>
      <c r="T1302" t="str">
        <f>TEXT(support_tickets[[#This Row],[opened_at]],"mmm yyyy")</f>
        <v>Jun 2025</v>
      </c>
      <c r="U1302">
        <f>YEAR(support_tickets[[#This Row],[opened_at]])*100+MONTH(support_tickets[[#This Row],[opened_at]])</f>
        <v>202506</v>
      </c>
      <c r="V1302" s="29">
        <f>DATE(YEAR(support_tickets[[#This Row],[opened_at]]),MONTH(support_tickets[[#This Row],[opened_at]]),1)</f>
        <v>45809</v>
      </c>
    </row>
    <row r="1303" spans="1:22">
      <c r="A1303">
        <v>7150363994</v>
      </c>
      <c r="B1303">
        <v>788755699</v>
      </c>
      <c r="C1303" t="s">
        <v>1140</v>
      </c>
      <c r="D1303" t="s">
        <v>1141</v>
      </c>
      <c r="E1303">
        <v>26879290</v>
      </c>
      <c r="G1303" s="1">
        <v>45329.657719907409</v>
      </c>
      <c r="H1303" s="1">
        <v>45329.807025462964</v>
      </c>
      <c r="I1303" t="s">
        <v>18</v>
      </c>
      <c r="J1303" t="s">
        <v>19</v>
      </c>
      <c r="K1303" t="s">
        <v>73</v>
      </c>
      <c r="L1303" t="s">
        <v>39</v>
      </c>
      <c r="M1303">
        <v>3</v>
      </c>
      <c r="N1303">
        <v>215</v>
      </c>
      <c r="O1303">
        <v>0</v>
      </c>
      <c r="P1303" t="s">
        <v>22</v>
      </c>
      <c r="Q1303">
        <v>1056</v>
      </c>
      <c r="R1303" t="s">
        <v>39</v>
      </c>
      <c r="S1303">
        <f>IF(support_tickets[[#This Row],[status_cleaned]]="closed",1,0)</f>
        <v>1</v>
      </c>
      <c r="T1303" t="str">
        <f>TEXT(support_tickets[[#This Row],[opened_at]],"mmm yyyy")</f>
        <v>Feb 2024</v>
      </c>
      <c r="U1303">
        <f>YEAR(support_tickets[[#This Row],[opened_at]])*100+MONTH(support_tickets[[#This Row],[opened_at]])</f>
        <v>202402</v>
      </c>
      <c r="V1303" s="29">
        <f>DATE(YEAR(support_tickets[[#This Row],[opened_at]]),MONTH(support_tickets[[#This Row],[opened_at]]),1)</f>
        <v>45323</v>
      </c>
    </row>
    <row r="1304" spans="1:22">
      <c r="A1304">
        <v>7938817989</v>
      </c>
      <c r="B1304">
        <v>133898577</v>
      </c>
      <c r="C1304" t="s">
        <v>1414</v>
      </c>
      <c r="D1304" t="s">
        <v>1415</v>
      </c>
      <c r="E1304">
        <v>22981052</v>
      </c>
      <c r="F1304">
        <v>1780617297</v>
      </c>
      <c r="G1304" s="1">
        <v>46050.834421296298</v>
      </c>
      <c r="H1304" s="1">
        <v>46051.371921296297</v>
      </c>
      <c r="I1304" t="s">
        <v>46</v>
      </c>
      <c r="J1304" t="s">
        <v>59</v>
      </c>
      <c r="K1304" t="s">
        <v>73</v>
      </c>
      <c r="L1304" t="s">
        <v>39</v>
      </c>
      <c r="M1304">
        <v>73</v>
      </c>
      <c r="N1304">
        <v>774</v>
      </c>
      <c r="O1304">
        <v>0</v>
      </c>
      <c r="P1304" t="s">
        <v>61</v>
      </c>
      <c r="Q1304">
        <v>1176</v>
      </c>
      <c r="R1304" t="s">
        <v>39</v>
      </c>
      <c r="S1304">
        <f>IF(support_tickets[[#This Row],[status_cleaned]]="closed",1,0)</f>
        <v>1</v>
      </c>
      <c r="T1304" t="str">
        <f>TEXT(support_tickets[[#This Row],[opened_at]],"mmm yyyy")</f>
        <v>Jan 2026</v>
      </c>
      <c r="U1304">
        <f>YEAR(support_tickets[[#This Row],[opened_at]])*100+MONTH(support_tickets[[#This Row],[opened_at]])</f>
        <v>202601</v>
      </c>
      <c r="V1304" s="29">
        <f>DATE(YEAR(support_tickets[[#This Row],[opened_at]]),MONTH(support_tickets[[#This Row],[opened_at]]),1)</f>
        <v>46023</v>
      </c>
    </row>
    <row r="1305" spans="1:22">
      <c r="A1305">
        <v>8186917158</v>
      </c>
      <c r="B1305">
        <v>140048684</v>
      </c>
      <c r="C1305" t="s">
        <v>1344</v>
      </c>
      <c r="D1305" t="s">
        <v>1345</v>
      </c>
      <c r="E1305">
        <v>17507864</v>
      </c>
      <c r="G1305" s="1">
        <v>46096.074328703704</v>
      </c>
      <c r="H1305" s="1">
        <v>46096.533356481479</v>
      </c>
      <c r="I1305" t="s">
        <v>37</v>
      </c>
      <c r="J1305" t="s">
        <v>38</v>
      </c>
      <c r="K1305" t="s">
        <v>73</v>
      </c>
      <c r="L1305" t="s">
        <v>39</v>
      </c>
      <c r="M1305">
        <v>43</v>
      </c>
      <c r="N1305">
        <v>661</v>
      </c>
      <c r="O1305">
        <v>0</v>
      </c>
      <c r="P1305" t="s">
        <v>40</v>
      </c>
      <c r="Q1305">
        <v>1208</v>
      </c>
      <c r="R1305" t="s">
        <v>39</v>
      </c>
      <c r="S1305">
        <f>IF(support_tickets[[#This Row],[status_cleaned]]="closed",1,0)</f>
        <v>1</v>
      </c>
      <c r="T1305" t="str">
        <f>TEXT(support_tickets[[#This Row],[opened_at]],"mmm yyyy")</f>
        <v>Mar 2026</v>
      </c>
      <c r="U1305">
        <f>YEAR(support_tickets[[#This Row],[opened_at]])*100+MONTH(support_tickets[[#This Row],[opened_at]])</f>
        <v>202603</v>
      </c>
      <c r="V1305" s="29">
        <f>DATE(YEAR(support_tickets[[#This Row],[opened_at]]),MONTH(support_tickets[[#This Row],[opened_at]]),1)</f>
        <v>46082</v>
      </c>
    </row>
    <row r="1306" spans="1:22">
      <c r="A1306">
        <v>8563355529</v>
      </c>
      <c r="B1306">
        <v>322631460</v>
      </c>
      <c r="C1306" t="s">
        <v>1388</v>
      </c>
      <c r="D1306" t="s">
        <v>1389</v>
      </c>
      <c r="E1306">
        <v>22575562</v>
      </c>
      <c r="F1306">
        <v>8094961855</v>
      </c>
      <c r="G1306" s="1">
        <v>45971.839212962965</v>
      </c>
      <c r="H1306" s="1">
        <v>45972.385740740741</v>
      </c>
      <c r="I1306" t="s">
        <v>18</v>
      </c>
      <c r="J1306" t="s">
        <v>19</v>
      </c>
      <c r="K1306" t="s">
        <v>73</v>
      </c>
      <c r="L1306" t="s">
        <v>39</v>
      </c>
      <c r="M1306">
        <v>64</v>
      </c>
      <c r="N1306">
        <v>787</v>
      </c>
      <c r="O1306">
        <v>0</v>
      </c>
      <c r="P1306" t="s">
        <v>22</v>
      </c>
      <c r="Q1306">
        <v>1273</v>
      </c>
      <c r="R1306" t="s">
        <v>39</v>
      </c>
      <c r="S1306">
        <f>IF(support_tickets[[#This Row],[status_cleaned]]="closed",1,0)</f>
        <v>1</v>
      </c>
      <c r="T1306" t="str">
        <f>TEXT(support_tickets[[#This Row],[opened_at]],"mmm yyyy")</f>
        <v>Nov 2025</v>
      </c>
      <c r="U1306">
        <f>YEAR(support_tickets[[#This Row],[opened_at]])*100+MONTH(support_tickets[[#This Row],[opened_at]])</f>
        <v>202511</v>
      </c>
      <c r="V1306" s="29">
        <f>DATE(YEAR(support_tickets[[#This Row],[opened_at]]),MONTH(support_tickets[[#This Row],[opened_at]]),1)</f>
        <v>45962</v>
      </c>
    </row>
    <row r="1307" spans="1:22">
      <c r="A1307">
        <v>8617012756</v>
      </c>
      <c r="B1307">
        <v>840629322</v>
      </c>
      <c r="C1307" t="s">
        <v>1134</v>
      </c>
      <c r="D1307" t="s">
        <v>1135</v>
      </c>
      <c r="E1307">
        <v>24716857</v>
      </c>
      <c r="G1307" s="1">
        <v>46064.399687500001</v>
      </c>
      <c r="H1307" s="1">
        <v>46064.495520833334</v>
      </c>
      <c r="I1307" t="s">
        <v>18</v>
      </c>
      <c r="J1307" t="s">
        <v>38</v>
      </c>
      <c r="K1307" t="s">
        <v>73</v>
      </c>
      <c r="L1307" t="s">
        <v>39</v>
      </c>
      <c r="M1307">
        <v>39</v>
      </c>
      <c r="N1307">
        <v>138</v>
      </c>
      <c r="O1307">
        <v>0</v>
      </c>
      <c r="P1307" t="s">
        <v>40</v>
      </c>
      <c r="Q1307">
        <v>1286</v>
      </c>
      <c r="R1307" t="s">
        <v>39</v>
      </c>
      <c r="S1307">
        <f>IF(support_tickets[[#This Row],[status_cleaned]]="closed",1,0)</f>
        <v>1</v>
      </c>
      <c r="T1307" t="str">
        <f>TEXT(support_tickets[[#This Row],[opened_at]],"mmm yyyy")</f>
        <v>Feb 2026</v>
      </c>
      <c r="U1307">
        <f>YEAR(support_tickets[[#This Row],[opened_at]])*100+MONTH(support_tickets[[#This Row],[opened_at]])</f>
        <v>202602</v>
      </c>
      <c r="V1307" s="29">
        <f>DATE(YEAR(support_tickets[[#This Row],[opened_at]]),MONTH(support_tickets[[#This Row],[opened_at]]),1)</f>
        <v>46054</v>
      </c>
    </row>
    <row r="1308" spans="1:22">
      <c r="A1308">
        <v>9066647198</v>
      </c>
      <c r="B1308">
        <v>446454337</v>
      </c>
      <c r="C1308" t="s">
        <v>1513</v>
      </c>
      <c r="D1308" t="s">
        <v>1514</v>
      </c>
      <c r="E1308">
        <v>82070937</v>
      </c>
      <c r="F1308">
        <v>3552669535</v>
      </c>
      <c r="G1308" s="1">
        <v>46090.725462962961</v>
      </c>
      <c r="H1308" s="1">
        <v>46090.916435185187</v>
      </c>
      <c r="I1308" t="s">
        <v>3</v>
      </c>
      <c r="J1308" t="s">
        <v>86</v>
      </c>
      <c r="K1308" t="s">
        <v>73</v>
      </c>
      <c r="L1308" t="s">
        <v>39</v>
      </c>
      <c r="M1308">
        <v>46</v>
      </c>
      <c r="N1308">
        <v>275</v>
      </c>
      <c r="O1308">
        <v>0</v>
      </c>
      <c r="P1308" t="s">
        <v>87</v>
      </c>
      <c r="Q1308">
        <v>1360</v>
      </c>
      <c r="R1308" t="s">
        <v>39</v>
      </c>
      <c r="S1308">
        <f>IF(support_tickets[[#This Row],[status_cleaned]]="closed",1,0)</f>
        <v>1</v>
      </c>
      <c r="T1308" t="str">
        <f>TEXT(support_tickets[[#This Row],[opened_at]],"mmm yyyy")</f>
        <v>Mar 2026</v>
      </c>
      <c r="U1308">
        <f>YEAR(support_tickets[[#This Row],[opened_at]])*100+MONTH(support_tickets[[#This Row],[opened_at]])</f>
        <v>202603</v>
      </c>
      <c r="V1308" s="29">
        <f>DATE(YEAR(support_tickets[[#This Row],[opened_at]]),MONTH(support_tickets[[#This Row],[opened_at]]),1)</f>
        <v>46082</v>
      </c>
    </row>
    <row r="1309" spans="1:22">
      <c r="A1309">
        <v>9266144191</v>
      </c>
      <c r="B1309">
        <v>646666136</v>
      </c>
      <c r="C1309" t="s">
        <v>1535</v>
      </c>
      <c r="D1309" t="s">
        <v>1536</v>
      </c>
      <c r="E1309">
        <v>71586053</v>
      </c>
      <c r="G1309" s="1">
        <v>46091.975590277776</v>
      </c>
      <c r="H1309" s="1">
        <v>46092.290173611109</v>
      </c>
      <c r="I1309" t="s">
        <v>43</v>
      </c>
      <c r="J1309" t="s">
        <v>59</v>
      </c>
      <c r="K1309" t="s">
        <v>73</v>
      </c>
      <c r="L1309" t="s">
        <v>39</v>
      </c>
      <c r="M1309">
        <v>65</v>
      </c>
      <c r="N1309">
        <v>453</v>
      </c>
      <c r="O1309">
        <v>0</v>
      </c>
      <c r="P1309" t="s">
        <v>61</v>
      </c>
      <c r="Q1309">
        <v>1396</v>
      </c>
      <c r="R1309" t="s">
        <v>39</v>
      </c>
      <c r="S1309">
        <f>IF(support_tickets[[#This Row],[status_cleaned]]="closed",1,0)</f>
        <v>1</v>
      </c>
      <c r="T1309" t="str">
        <f>TEXT(support_tickets[[#This Row],[opened_at]],"mmm yyyy")</f>
        <v>Mar 2026</v>
      </c>
      <c r="U1309">
        <f>YEAR(support_tickets[[#This Row],[opened_at]])*100+MONTH(support_tickets[[#This Row],[opened_at]])</f>
        <v>202603</v>
      </c>
      <c r="V1309" s="29">
        <f>DATE(YEAR(support_tickets[[#This Row],[opened_at]]),MONTH(support_tickets[[#This Row],[opened_at]]),1)</f>
        <v>46082</v>
      </c>
    </row>
    <row r="1310" spans="1:22">
      <c r="A1310">
        <v>9451787954</v>
      </c>
      <c r="B1310">
        <v>986171278</v>
      </c>
      <c r="C1310" t="s">
        <v>1545</v>
      </c>
      <c r="D1310" t="s">
        <v>1546</v>
      </c>
      <c r="E1310">
        <v>45551614</v>
      </c>
      <c r="G1310" s="1">
        <v>45804.586828703701</v>
      </c>
      <c r="H1310" s="1">
        <v>45804.774328703701</v>
      </c>
      <c r="I1310" t="s">
        <v>43</v>
      </c>
      <c r="J1310" t="s">
        <v>38</v>
      </c>
      <c r="K1310" t="s">
        <v>73</v>
      </c>
      <c r="L1310" t="s">
        <v>39</v>
      </c>
      <c r="M1310">
        <v>91</v>
      </c>
      <c r="N1310">
        <v>270</v>
      </c>
      <c r="O1310">
        <v>0</v>
      </c>
      <c r="P1310" t="s">
        <v>40</v>
      </c>
      <c r="Q1310">
        <v>1425</v>
      </c>
      <c r="R1310" t="s">
        <v>39</v>
      </c>
      <c r="S1310">
        <f>IF(support_tickets[[#This Row],[status_cleaned]]="closed",1,0)</f>
        <v>1</v>
      </c>
      <c r="T1310" t="str">
        <f>TEXT(support_tickets[[#This Row],[opened_at]],"mmm yyyy")</f>
        <v>May 2025</v>
      </c>
      <c r="U1310">
        <f>YEAR(support_tickets[[#This Row],[opened_at]])*100+MONTH(support_tickets[[#This Row],[opened_at]])</f>
        <v>202505</v>
      </c>
      <c r="V1310" s="29">
        <f>DATE(YEAR(support_tickets[[#This Row],[opened_at]]),MONTH(support_tickets[[#This Row],[opened_at]]),1)</f>
        <v>45778</v>
      </c>
    </row>
    <row r="1311" spans="1:22">
      <c r="A1311">
        <v>9542076073</v>
      </c>
      <c r="B1311">
        <v>184675178</v>
      </c>
      <c r="C1311" t="s">
        <v>1553</v>
      </c>
      <c r="D1311" t="s">
        <v>1554</v>
      </c>
      <c r="E1311">
        <v>90388981</v>
      </c>
      <c r="G1311" s="1">
        <v>45309.171932870369</v>
      </c>
      <c r="H1311" s="1">
        <v>45309.607349537036</v>
      </c>
      <c r="I1311" t="s">
        <v>52</v>
      </c>
      <c r="J1311" t="s">
        <v>38</v>
      </c>
      <c r="K1311" t="s">
        <v>73</v>
      </c>
      <c r="L1311" t="s">
        <v>39</v>
      </c>
      <c r="M1311">
        <v>61</v>
      </c>
      <c r="N1311">
        <v>627</v>
      </c>
      <c r="O1311">
        <v>0</v>
      </c>
      <c r="P1311" t="s">
        <v>40</v>
      </c>
      <c r="Q1311">
        <v>1436</v>
      </c>
      <c r="R1311" t="s">
        <v>39</v>
      </c>
      <c r="S1311">
        <f>IF(support_tickets[[#This Row],[status_cleaned]]="closed",1,0)</f>
        <v>1</v>
      </c>
      <c r="T1311" t="str">
        <f>TEXT(support_tickets[[#This Row],[opened_at]],"mmm yyyy")</f>
        <v>Jan 2024</v>
      </c>
      <c r="U1311">
        <f>YEAR(support_tickets[[#This Row],[opened_at]])*100+MONTH(support_tickets[[#This Row],[opened_at]])</f>
        <v>202401</v>
      </c>
      <c r="V1311" s="29">
        <f>DATE(YEAR(support_tickets[[#This Row],[opened_at]]),MONTH(support_tickets[[#This Row],[opened_at]]),1)</f>
        <v>45292</v>
      </c>
    </row>
    <row r="1312" spans="1:22">
      <c r="A1312">
        <v>9596410216</v>
      </c>
      <c r="B1312">
        <v>695016134</v>
      </c>
      <c r="C1312" t="s">
        <v>1270</v>
      </c>
      <c r="D1312" t="s">
        <v>1271</v>
      </c>
      <c r="E1312">
        <v>84252722</v>
      </c>
      <c r="G1312" s="1">
        <v>45992.05201388889</v>
      </c>
      <c r="H1312" s="1">
        <v>45992.548541666663</v>
      </c>
      <c r="I1312" t="s">
        <v>46</v>
      </c>
      <c r="J1312" t="s">
        <v>30</v>
      </c>
      <c r="K1312" t="s">
        <v>73</v>
      </c>
      <c r="L1312" t="s">
        <v>39</v>
      </c>
      <c r="M1312">
        <v>42</v>
      </c>
      <c r="N1312">
        <v>715</v>
      </c>
      <c r="O1312">
        <v>0</v>
      </c>
      <c r="P1312" t="s">
        <v>31</v>
      </c>
      <c r="Q1312">
        <v>1449</v>
      </c>
      <c r="R1312" t="s">
        <v>39</v>
      </c>
      <c r="S1312">
        <f>IF(support_tickets[[#This Row],[status_cleaned]]="closed",1,0)</f>
        <v>1</v>
      </c>
      <c r="T1312" t="str">
        <f>TEXT(support_tickets[[#This Row],[opened_at]],"mmm yyyy")</f>
        <v>Dec 2025</v>
      </c>
      <c r="U1312">
        <f>YEAR(support_tickets[[#This Row],[opened_at]])*100+MONTH(support_tickets[[#This Row],[opened_at]])</f>
        <v>202512</v>
      </c>
      <c r="V1312" s="29">
        <f>DATE(YEAR(support_tickets[[#This Row],[opened_at]]),MONTH(support_tickets[[#This Row],[opened_at]]),1)</f>
        <v>45992</v>
      </c>
    </row>
    <row r="1313" spans="1:22">
      <c r="A1313">
        <v>1739024459</v>
      </c>
      <c r="B1313">
        <v>331009561</v>
      </c>
      <c r="C1313" t="s">
        <v>292</v>
      </c>
      <c r="D1313" t="s">
        <v>293</v>
      </c>
      <c r="E1313">
        <v>72820592</v>
      </c>
      <c r="F1313">
        <v>5176425710</v>
      </c>
      <c r="G1313" s="1">
        <v>45941.823877314811</v>
      </c>
      <c r="I1313" t="s">
        <v>56</v>
      </c>
      <c r="J1313" t="s">
        <v>19</v>
      </c>
      <c r="K1313" t="s">
        <v>73</v>
      </c>
      <c r="L1313" t="s">
        <v>60</v>
      </c>
      <c r="M1313">
        <v>52</v>
      </c>
      <c r="O1313">
        <v>1</v>
      </c>
      <c r="P1313" t="s">
        <v>22</v>
      </c>
      <c r="Q1313">
        <v>135</v>
      </c>
      <c r="R1313" t="s">
        <v>53</v>
      </c>
      <c r="S1313">
        <f>IF(support_tickets[[#This Row],[status_cleaned]]="closed",1,0)</f>
        <v>0</v>
      </c>
      <c r="T1313" t="str">
        <f>TEXT(support_tickets[[#This Row],[opened_at]],"mmm yyyy")</f>
        <v>Oct 2025</v>
      </c>
      <c r="U1313">
        <f>YEAR(support_tickets[[#This Row],[opened_at]])*100+MONTH(support_tickets[[#This Row],[opened_at]])</f>
        <v>202510</v>
      </c>
      <c r="V1313" s="29">
        <f>DATE(YEAR(support_tickets[[#This Row],[opened_at]]),MONTH(support_tickets[[#This Row],[opened_at]]),1)</f>
        <v>45931</v>
      </c>
    </row>
    <row r="1314" spans="1:22">
      <c r="A1314">
        <v>1786072383</v>
      </c>
      <c r="B1314">
        <v>244796859</v>
      </c>
      <c r="C1314" t="s">
        <v>324</v>
      </c>
      <c r="D1314" t="s">
        <v>325</v>
      </c>
      <c r="E1314">
        <v>45812670</v>
      </c>
      <c r="F1314">
        <v>7549701358</v>
      </c>
      <c r="G1314" s="1">
        <v>45740.577673611115</v>
      </c>
      <c r="I1314" t="s">
        <v>46</v>
      </c>
      <c r="J1314" t="s">
        <v>19</v>
      </c>
      <c r="K1314" t="s">
        <v>73</v>
      </c>
      <c r="L1314" t="s">
        <v>60</v>
      </c>
      <c r="M1314">
        <v>21</v>
      </c>
      <c r="O1314">
        <v>1</v>
      </c>
      <c r="P1314" t="s">
        <v>22</v>
      </c>
      <c r="Q1314">
        <v>154</v>
      </c>
      <c r="R1314" t="s">
        <v>53</v>
      </c>
      <c r="S1314">
        <f>IF(support_tickets[[#This Row],[status_cleaned]]="closed",1,0)</f>
        <v>0</v>
      </c>
      <c r="T1314" t="str">
        <f>TEXT(support_tickets[[#This Row],[opened_at]],"mmm yyyy")</f>
        <v>Mar 2025</v>
      </c>
      <c r="U1314">
        <f>YEAR(support_tickets[[#This Row],[opened_at]])*100+MONTH(support_tickets[[#This Row],[opened_at]])</f>
        <v>202503</v>
      </c>
      <c r="V1314" s="29">
        <f>DATE(YEAR(support_tickets[[#This Row],[opened_at]]),MONTH(support_tickets[[#This Row],[opened_at]]),1)</f>
        <v>45717</v>
      </c>
    </row>
    <row r="1315" spans="1:22">
      <c r="A1315">
        <v>2259113584</v>
      </c>
      <c r="B1315">
        <v>577934499</v>
      </c>
      <c r="C1315" t="s">
        <v>450</v>
      </c>
      <c r="D1315" t="s">
        <v>451</v>
      </c>
      <c r="E1315">
        <v>49392920</v>
      </c>
      <c r="F1315">
        <v>8769646224</v>
      </c>
      <c r="G1315" s="1">
        <v>45638.645694444444</v>
      </c>
      <c r="H1315" s="1">
        <v>45639.08388888889</v>
      </c>
      <c r="I1315" t="s">
        <v>43</v>
      </c>
      <c r="J1315" t="s">
        <v>86</v>
      </c>
      <c r="K1315" t="s">
        <v>73</v>
      </c>
      <c r="L1315" t="s">
        <v>60</v>
      </c>
      <c r="M1315">
        <v>26</v>
      </c>
      <c r="N1315">
        <v>631</v>
      </c>
      <c r="O1315">
        <v>1</v>
      </c>
      <c r="P1315" t="s">
        <v>87</v>
      </c>
      <c r="Q1315">
        <v>234</v>
      </c>
      <c r="R1315" t="s">
        <v>53</v>
      </c>
      <c r="S1315">
        <f>IF(support_tickets[[#This Row],[status_cleaned]]="closed",1,0)</f>
        <v>0</v>
      </c>
      <c r="T1315" t="str">
        <f>TEXT(support_tickets[[#This Row],[opened_at]],"mmm yyyy")</f>
        <v>Dec 2024</v>
      </c>
      <c r="U1315">
        <f>YEAR(support_tickets[[#This Row],[opened_at]])*100+MONTH(support_tickets[[#This Row],[opened_at]])</f>
        <v>202412</v>
      </c>
      <c r="V1315" s="29">
        <f>DATE(YEAR(support_tickets[[#This Row],[opened_at]]),MONTH(support_tickets[[#This Row],[opened_at]]),1)</f>
        <v>45627</v>
      </c>
    </row>
    <row r="1316" spans="1:22">
      <c r="A1316">
        <v>2320160317</v>
      </c>
      <c r="B1316">
        <v>986090690</v>
      </c>
      <c r="C1316" t="s">
        <v>460</v>
      </c>
      <c r="D1316" t="s">
        <v>461</v>
      </c>
      <c r="E1316">
        <v>94374605</v>
      </c>
      <c r="F1316">
        <v>2175304017</v>
      </c>
      <c r="G1316" s="1">
        <v>46082.507175925923</v>
      </c>
      <c r="I1316" t="s">
        <v>52</v>
      </c>
      <c r="J1316" t="s">
        <v>38</v>
      </c>
      <c r="K1316" t="s">
        <v>73</v>
      </c>
      <c r="L1316" t="s">
        <v>60</v>
      </c>
      <c r="M1316">
        <v>35</v>
      </c>
      <c r="O1316">
        <v>1</v>
      </c>
      <c r="P1316" t="s">
        <v>40</v>
      </c>
      <c r="Q1316">
        <v>240</v>
      </c>
      <c r="R1316" t="s">
        <v>53</v>
      </c>
      <c r="S1316">
        <f>IF(support_tickets[[#This Row],[status_cleaned]]="closed",1,0)</f>
        <v>0</v>
      </c>
      <c r="T1316" t="str">
        <f>TEXT(support_tickets[[#This Row],[opened_at]],"mmm yyyy")</f>
        <v>Mar 2026</v>
      </c>
      <c r="U1316">
        <f>YEAR(support_tickets[[#This Row],[opened_at]])*100+MONTH(support_tickets[[#This Row],[opened_at]])</f>
        <v>202603</v>
      </c>
      <c r="V1316" s="29">
        <f>DATE(YEAR(support_tickets[[#This Row],[opened_at]]),MONTH(support_tickets[[#This Row],[opened_at]]),1)</f>
        <v>46082</v>
      </c>
    </row>
    <row r="1317" spans="1:22">
      <c r="A1317">
        <v>2809380515</v>
      </c>
      <c r="B1317">
        <v>952442674</v>
      </c>
      <c r="C1317" t="s">
        <v>578</v>
      </c>
      <c r="D1317" t="s">
        <v>579</v>
      </c>
      <c r="E1317">
        <v>38317637</v>
      </c>
      <c r="F1317">
        <v>7024341290</v>
      </c>
      <c r="G1317" s="1">
        <v>45405.514224537037</v>
      </c>
      <c r="I1317" t="s">
        <v>37</v>
      </c>
      <c r="J1317" t="s">
        <v>25</v>
      </c>
      <c r="K1317" t="s">
        <v>73</v>
      </c>
      <c r="L1317" t="s">
        <v>60</v>
      </c>
      <c r="M1317">
        <v>54</v>
      </c>
      <c r="O1317">
        <v>1</v>
      </c>
      <c r="P1317" t="s">
        <v>27</v>
      </c>
      <c r="Q1317">
        <v>324</v>
      </c>
      <c r="R1317" t="s">
        <v>53</v>
      </c>
      <c r="S1317">
        <f>IF(support_tickets[[#This Row],[status_cleaned]]="closed",1,0)</f>
        <v>0</v>
      </c>
      <c r="T1317" t="str">
        <f>TEXT(support_tickets[[#This Row],[opened_at]],"mmm yyyy")</f>
        <v>Apr 2024</v>
      </c>
      <c r="U1317">
        <f>YEAR(support_tickets[[#This Row],[opened_at]])*100+MONTH(support_tickets[[#This Row],[opened_at]])</f>
        <v>202404</v>
      </c>
      <c r="V1317" s="29">
        <f>DATE(YEAR(support_tickets[[#This Row],[opened_at]]),MONTH(support_tickets[[#This Row],[opened_at]]),1)</f>
        <v>45383</v>
      </c>
    </row>
    <row r="1318" spans="1:22">
      <c r="A1318">
        <v>3186980398</v>
      </c>
      <c r="B1318">
        <v>809656613</v>
      </c>
      <c r="C1318" t="s">
        <v>76</v>
      </c>
      <c r="D1318" t="s">
        <v>77</v>
      </c>
      <c r="E1318">
        <v>24282218</v>
      </c>
      <c r="F1318">
        <v>9773224781</v>
      </c>
      <c r="G1318" s="1">
        <v>45691.743159722224</v>
      </c>
      <c r="I1318" t="s">
        <v>43</v>
      </c>
      <c r="J1318" t="s">
        <v>38</v>
      </c>
      <c r="K1318" t="s">
        <v>73</v>
      </c>
      <c r="L1318" t="s">
        <v>60</v>
      </c>
      <c r="M1318">
        <v>40</v>
      </c>
      <c r="O1318">
        <v>1</v>
      </c>
      <c r="P1318" t="s">
        <v>40</v>
      </c>
      <c r="Q1318">
        <v>396</v>
      </c>
      <c r="R1318" t="s">
        <v>53</v>
      </c>
      <c r="S1318">
        <f>IF(support_tickets[[#This Row],[status_cleaned]]="closed",1,0)</f>
        <v>0</v>
      </c>
      <c r="T1318" t="str">
        <f>TEXT(support_tickets[[#This Row],[opened_at]],"mmm yyyy")</f>
        <v>Feb 2025</v>
      </c>
      <c r="U1318">
        <f>YEAR(support_tickets[[#This Row],[opened_at]])*100+MONTH(support_tickets[[#This Row],[opened_at]])</f>
        <v>202502</v>
      </c>
      <c r="V1318" s="29">
        <f>DATE(YEAR(support_tickets[[#This Row],[opened_at]]),MONTH(support_tickets[[#This Row],[opened_at]]),1)</f>
        <v>45689</v>
      </c>
    </row>
    <row r="1319" spans="1:22">
      <c r="A1319">
        <v>3826817688</v>
      </c>
      <c r="B1319">
        <v>238548086</v>
      </c>
      <c r="C1319" t="s">
        <v>41</v>
      </c>
      <c r="D1319" t="s">
        <v>42</v>
      </c>
      <c r="E1319">
        <v>22201654</v>
      </c>
      <c r="G1319" s="1">
        <v>46102.51289351852</v>
      </c>
      <c r="I1319" t="s">
        <v>43</v>
      </c>
      <c r="J1319" t="s">
        <v>19</v>
      </c>
      <c r="K1319" t="s">
        <v>73</v>
      </c>
      <c r="L1319" t="s">
        <v>60</v>
      </c>
      <c r="M1319">
        <v>30</v>
      </c>
      <c r="O1319">
        <v>1</v>
      </c>
      <c r="P1319" t="s">
        <v>22</v>
      </c>
      <c r="Q1319">
        <v>502</v>
      </c>
      <c r="R1319" t="s">
        <v>53</v>
      </c>
      <c r="S1319">
        <f>IF(support_tickets[[#This Row],[status_cleaned]]="closed",1,0)</f>
        <v>0</v>
      </c>
      <c r="T1319" t="str">
        <f>TEXT(support_tickets[[#This Row],[opened_at]],"mmm yyyy")</f>
        <v>Mar 2026</v>
      </c>
      <c r="U1319">
        <f>YEAR(support_tickets[[#This Row],[opened_at]])*100+MONTH(support_tickets[[#This Row],[opened_at]])</f>
        <v>202603</v>
      </c>
      <c r="V1319" s="29">
        <f>DATE(YEAR(support_tickets[[#This Row],[opened_at]]),MONTH(support_tickets[[#This Row],[opened_at]]),1)</f>
        <v>46082</v>
      </c>
    </row>
    <row r="1320" spans="1:22">
      <c r="A1320">
        <v>4428763547</v>
      </c>
      <c r="B1320">
        <v>360056579</v>
      </c>
      <c r="C1320" t="s">
        <v>932</v>
      </c>
      <c r="D1320" t="s">
        <v>933</v>
      </c>
      <c r="E1320">
        <v>19335534</v>
      </c>
      <c r="F1320">
        <v>8938610457</v>
      </c>
      <c r="G1320" s="1">
        <v>45614.251157407409</v>
      </c>
      <c r="I1320" t="s">
        <v>18</v>
      </c>
      <c r="J1320" t="s">
        <v>38</v>
      </c>
      <c r="K1320" t="s">
        <v>73</v>
      </c>
      <c r="L1320" t="s">
        <v>60</v>
      </c>
      <c r="M1320">
        <v>15</v>
      </c>
      <c r="O1320">
        <v>1</v>
      </c>
      <c r="P1320" t="s">
        <v>40</v>
      </c>
      <c r="Q1320">
        <v>601</v>
      </c>
      <c r="R1320" t="s">
        <v>53</v>
      </c>
      <c r="S1320">
        <f>IF(support_tickets[[#This Row],[status_cleaned]]="closed",1,0)</f>
        <v>0</v>
      </c>
      <c r="T1320" t="str">
        <f>TEXT(support_tickets[[#This Row],[opened_at]],"mmm yyyy")</f>
        <v>Nov 2024</v>
      </c>
      <c r="U1320">
        <f>YEAR(support_tickets[[#This Row],[opened_at]])*100+MONTH(support_tickets[[#This Row],[opened_at]])</f>
        <v>202411</v>
      </c>
      <c r="V1320" s="29">
        <f>DATE(YEAR(support_tickets[[#This Row],[opened_at]]),MONTH(support_tickets[[#This Row],[opened_at]]),1)</f>
        <v>45597</v>
      </c>
    </row>
    <row r="1321" spans="1:22">
      <c r="A1321">
        <v>4476731220</v>
      </c>
      <c r="B1321">
        <v>288436227</v>
      </c>
      <c r="C1321" t="s">
        <v>938</v>
      </c>
      <c r="D1321" t="s">
        <v>939</v>
      </c>
      <c r="E1321">
        <v>39436733</v>
      </c>
      <c r="F1321">
        <v>2393982645</v>
      </c>
      <c r="G1321" s="1">
        <v>45975.061006944445</v>
      </c>
      <c r="I1321" t="s">
        <v>52</v>
      </c>
      <c r="J1321" t="s">
        <v>59</v>
      </c>
      <c r="K1321" t="s">
        <v>73</v>
      </c>
      <c r="L1321" t="s">
        <v>60</v>
      </c>
      <c r="M1321">
        <v>58</v>
      </c>
      <c r="O1321">
        <v>1</v>
      </c>
      <c r="P1321" t="s">
        <v>61</v>
      </c>
      <c r="Q1321">
        <v>605</v>
      </c>
      <c r="R1321" t="s">
        <v>53</v>
      </c>
      <c r="S1321">
        <f>IF(support_tickets[[#This Row],[status_cleaned]]="closed",1,0)</f>
        <v>0</v>
      </c>
      <c r="T1321" t="str">
        <f>TEXT(support_tickets[[#This Row],[opened_at]],"mmm yyyy")</f>
        <v>Nov 2025</v>
      </c>
      <c r="U1321">
        <f>YEAR(support_tickets[[#This Row],[opened_at]])*100+MONTH(support_tickets[[#This Row],[opened_at]])</f>
        <v>202511</v>
      </c>
      <c r="V1321" s="29">
        <f>DATE(YEAR(support_tickets[[#This Row],[opened_at]]),MONTH(support_tickets[[#This Row],[opened_at]]),1)</f>
        <v>45962</v>
      </c>
    </row>
    <row r="1322" spans="1:22">
      <c r="A1322">
        <v>4558104786</v>
      </c>
      <c r="B1322">
        <v>765436255</v>
      </c>
      <c r="C1322" t="s">
        <v>960</v>
      </c>
      <c r="D1322" t="s">
        <v>961</v>
      </c>
      <c r="E1322">
        <v>90048665</v>
      </c>
      <c r="G1322" s="1">
        <v>45612.738055555557</v>
      </c>
      <c r="I1322" t="s">
        <v>3</v>
      </c>
      <c r="J1322" t="s">
        <v>30</v>
      </c>
      <c r="K1322" t="s">
        <v>73</v>
      </c>
      <c r="L1322" t="s">
        <v>60</v>
      </c>
      <c r="M1322">
        <v>66</v>
      </c>
      <c r="O1322">
        <v>1</v>
      </c>
      <c r="P1322" t="s">
        <v>31</v>
      </c>
      <c r="Q1322">
        <v>621</v>
      </c>
      <c r="R1322" t="s">
        <v>53</v>
      </c>
      <c r="S1322">
        <f>IF(support_tickets[[#This Row],[status_cleaned]]="closed",1,0)</f>
        <v>0</v>
      </c>
      <c r="T1322" t="str">
        <f>TEXT(support_tickets[[#This Row],[opened_at]],"mmm yyyy")</f>
        <v>Nov 2024</v>
      </c>
      <c r="U1322">
        <f>YEAR(support_tickets[[#This Row],[opened_at]])*100+MONTH(support_tickets[[#This Row],[opened_at]])</f>
        <v>202411</v>
      </c>
      <c r="V1322" s="29">
        <f>DATE(YEAR(support_tickets[[#This Row],[opened_at]]),MONTH(support_tickets[[#This Row],[opened_at]]),1)</f>
        <v>45597</v>
      </c>
    </row>
    <row r="1323" spans="1:22">
      <c r="A1323">
        <v>4956260090</v>
      </c>
      <c r="B1323">
        <v>703068400</v>
      </c>
      <c r="C1323" t="s">
        <v>1034</v>
      </c>
      <c r="D1323" t="s">
        <v>1035</v>
      </c>
      <c r="E1323">
        <v>12614124</v>
      </c>
      <c r="F1323">
        <v>2283142882</v>
      </c>
      <c r="G1323" s="1">
        <v>45527.270578703705</v>
      </c>
      <c r="I1323" t="s">
        <v>3</v>
      </c>
      <c r="J1323" t="s">
        <v>19</v>
      </c>
      <c r="K1323" t="s">
        <v>73</v>
      </c>
      <c r="L1323" t="s">
        <v>60</v>
      </c>
      <c r="M1323">
        <v>21</v>
      </c>
      <c r="O1323">
        <v>1</v>
      </c>
      <c r="P1323" t="s">
        <v>22</v>
      </c>
      <c r="Q1323">
        <v>686</v>
      </c>
      <c r="R1323" t="s">
        <v>53</v>
      </c>
      <c r="S1323">
        <f>IF(support_tickets[[#This Row],[status_cleaned]]="closed",1,0)</f>
        <v>0</v>
      </c>
      <c r="T1323" t="str">
        <f>TEXT(support_tickets[[#This Row],[opened_at]],"mmm yyyy")</f>
        <v>Aug 2024</v>
      </c>
      <c r="U1323">
        <f>YEAR(support_tickets[[#This Row],[opened_at]])*100+MONTH(support_tickets[[#This Row],[opened_at]])</f>
        <v>202408</v>
      </c>
      <c r="V1323" s="29">
        <f>DATE(YEAR(support_tickets[[#This Row],[opened_at]]),MONTH(support_tickets[[#This Row],[opened_at]]),1)</f>
        <v>45505</v>
      </c>
    </row>
    <row r="1324" spans="1:22">
      <c r="A1324">
        <v>4960195993</v>
      </c>
      <c r="B1324">
        <v>721132087</v>
      </c>
      <c r="C1324" t="s">
        <v>878</v>
      </c>
      <c r="D1324" t="s">
        <v>879</v>
      </c>
      <c r="E1324">
        <v>55176955</v>
      </c>
      <c r="G1324" s="1">
        <v>45302.508020833331</v>
      </c>
      <c r="H1324" s="1">
        <v>45303.057326388887</v>
      </c>
      <c r="I1324" t="s">
        <v>43</v>
      </c>
      <c r="J1324" t="s">
        <v>30</v>
      </c>
      <c r="K1324" t="s">
        <v>73</v>
      </c>
      <c r="L1324" t="s">
        <v>60</v>
      </c>
      <c r="M1324">
        <v>6</v>
      </c>
      <c r="N1324">
        <v>791</v>
      </c>
      <c r="O1324">
        <v>1</v>
      </c>
      <c r="P1324" t="s">
        <v>31</v>
      </c>
      <c r="Q1324">
        <v>688</v>
      </c>
      <c r="R1324" t="s">
        <v>53</v>
      </c>
      <c r="S1324">
        <f>IF(support_tickets[[#This Row],[status_cleaned]]="closed",1,0)</f>
        <v>0</v>
      </c>
      <c r="T1324" t="str">
        <f>TEXT(support_tickets[[#This Row],[opened_at]],"mmm yyyy")</f>
        <v>Jan 2024</v>
      </c>
      <c r="U1324">
        <f>YEAR(support_tickets[[#This Row],[opened_at]])*100+MONTH(support_tickets[[#This Row],[opened_at]])</f>
        <v>202401</v>
      </c>
      <c r="V1324" s="29">
        <f>DATE(YEAR(support_tickets[[#This Row],[opened_at]]),MONTH(support_tickets[[#This Row],[opened_at]]),1)</f>
        <v>45292</v>
      </c>
    </row>
    <row r="1325" spans="1:22">
      <c r="A1325">
        <v>6529640931</v>
      </c>
      <c r="B1325">
        <v>331557515</v>
      </c>
      <c r="C1325" t="s">
        <v>1280</v>
      </c>
      <c r="D1325" t="s">
        <v>1281</v>
      </c>
      <c r="E1325">
        <v>51837852</v>
      </c>
      <c r="G1325" s="1">
        <v>45600.144699074073</v>
      </c>
      <c r="I1325" t="s">
        <v>3</v>
      </c>
      <c r="J1325" t="s">
        <v>19</v>
      </c>
      <c r="K1325" t="s">
        <v>73</v>
      </c>
      <c r="L1325" t="s">
        <v>60</v>
      </c>
      <c r="M1325">
        <v>28</v>
      </c>
      <c r="O1325">
        <v>1</v>
      </c>
      <c r="P1325" t="s">
        <v>22</v>
      </c>
      <c r="Q1325">
        <v>976</v>
      </c>
      <c r="R1325" t="s">
        <v>53</v>
      </c>
      <c r="S1325">
        <f>IF(support_tickets[[#This Row],[status_cleaned]]="closed",1,0)</f>
        <v>0</v>
      </c>
      <c r="T1325" t="str">
        <f>TEXT(support_tickets[[#This Row],[opened_at]],"mmm yyyy")</f>
        <v>Nov 2024</v>
      </c>
      <c r="U1325">
        <f>YEAR(support_tickets[[#This Row],[opened_at]])*100+MONTH(support_tickets[[#This Row],[opened_at]])</f>
        <v>202411</v>
      </c>
      <c r="V1325" s="29">
        <f>DATE(YEAR(support_tickets[[#This Row],[opened_at]]),MONTH(support_tickets[[#This Row],[opened_at]]),1)</f>
        <v>45597</v>
      </c>
    </row>
    <row r="1326" spans="1:22">
      <c r="A1326">
        <v>6827915017</v>
      </c>
      <c r="B1326">
        <v>405545745</v>
      </c>
      <c r="C1326" t="s">
        <v>1310</v>
      </c>
      <c r="D1326" t="s">
        <v>1311</v>
      </c>
      <c r="E1326">
        <v>86125617</v>
      </c>
      <c r="G1326" s="1">
        <v>45993.690196759257</v>
      </c>
      <c r="H1326" s="1">
        <v>45994.049224537041</v>
      </c>
      <c r="I1326" t="s">
        <v>18</v>
      </c>
      <c r="J1326" t="s">
        <v>59</v>
      </c>
      <c r="K1326" t="s">
        <v>73</v>
      </c>
      <c r="L1326" t="s">
        <v>60</v>
      </c>
      <c r="M1326">
        <v>60</v>
      </c>
      <c r="N1326">
        <v>517</v>
      </c>
      <c r="O1326">
        <v>1</v>
      </c>
      <c r="P1326" t="s">
        <v>61</v>
      </c>
      <c r="Q1326">
        <v>1012</v>
      </c>
      <c r="R1326" t="s">
        <v>53</v>
      </c>
      <c r="S1326">
        <f>IF(support_tickets[[#This Row],[status_cleaned]]="closed",1,0)</f>
        <v>0</v>
      </c>
      <c r="T1326" t="str">
        <f>TEXT(support_tickets[[#This Row],[opened_at]],"mmm yyyy")</f>
        <v>Dec 2025</v>
      </c>
      <c r="U1326">
        <f>YEAR(support_tickets[[#This Row],[opened_at]])*100+MONTH(support_tickets[[#This Row],[opened_at]])</f>
        <v>202512</v>
      </c>
      <c r="V1326" s="29">
        <f>DATE(YEAR(support_tickets[[#This Row],[opened_at]]),MONTH(support_tickets[[#This Row],[opened_at]]),1)</f>
        <v>45992</v>
      </c>
    </row>
    <row r="1327" spans="1:22">
      <c r="A1327">
        <v>7941206762</v>
      </c>
      <c r="B1327">
        <v>264481748</v>
      </c>
      <c r="C1327" t="s">
        <v>1416</v>
      </c>
      <c r="D1327" t="s">
        <v>1417</v>
      </c>
      <c r="E1327">
        <v>98753260</v>
      </c>
      <c r="F1327">
        <v>1567704691</v>
      </c>
      <c r="G1327" s="1">
        <v>46048.561736111114</v>
      </c>
      <c r="I1327" t="s">
        <v>3</v>
      </c>
      <c r="J1327" t="s">
        <v>19</v>
      </c>
      <c r="K1327" t="s">
        <v>73</v>
      </c>
      <c r="L1327" t="s">
        <v>60</v>
      </c>
      <c r="M1327">
        <v>19</v>
      </c>
      <c r="O1327">
        <v>1</v>
      </c>
      <c r="P1327" t="s">
        <v>22</v>
      </c>
      <c r="Q1327">
        <v>1177</v>
      </c>
      <c r="R1327" t="s">
        <v>53</v>
      </c>
      <c r="S1327">
        <f>IF(support_tickets[[#This Row],[status_cleaned]]="closed",1,0)</f>
        <v>0</v>
      </c>
      <c r="T1327" t="str">
        <f>TEXT(support_tickets[[#This Row],[opened_at]],"mmm yyyy")</f>
        <v>Jan 2026</v>
      </c>
      <c r="U1327">
        <f>YEAR(support_tickets[[#This Row],[opened_at]])*100+MONTH(support_tickets[[#This Row],[opened_at]])</f>
        <v>202601</v>
      </c>
      <c r="V1327" s="29">
        <f>DATE(YEAR(support_tickets[[#This Row],[opened_at]]),MONTH(support_tickets[[#This Row],[opened_at]]),1)</f>
        <v>46023</v>
      </c>
    </row>
    <row r="1328" spans="1:22">
      <c r="A1328">
        <v>8734579052</v>
      </c>
      <c r="B1328">
        <v>765436255</v>
      </c>
      <c r="C1328" t="s">
        <v>960</v>
      </c>
      <c r="D1328" t="s">
        <v>961</v>
      </c>
      <c r="E1328">
        <v>55667651</v>
      </c>
      <c r="G1328" s="1">
        <v>45868.434270833335</v>
      </c>
      <c r="I1328" t="s">
        <v>3</v>
      </c>
      <c r="J1328" t="s">
        <v>59</v>
      </c>
      <c r="K1328" t="s">
        <v>73</v>
      </c>
      <c r="L1328" t="s">
        <v>60</v>
      </c>
      <c r="M1328">
        <v>12</v>
      </c>
      <c r="O1328">
        <v>1</v>
      </c>
      <c r="P1328" t="s">
        <v>61</v>
      </c>
      <c r="Q1328">
        <v>1301</v>
      </c>
      <c r="R1328" t="s">
        <v>53</v>
      </c>
      <c r="S1328">
        <f>IF(support_tickets[[#This Row],[status_cleaned]]="closed",1,0)</f>
        <v>0</v>
      </c>
      <c r="T1328" t="str">
        <f>TEXT(support_tickets[[#This Row],[opened_at]],"mmm yyyy")</f>
        <v>Jul 2025</v>
      </c>
      <c r="U1328">
        <f>YEAR(support_tickets[[#This Row],[opened_at]])*100+MONTH(support_tickets[[#This Row],[opened_at]])</f>
        <v>202507</v>
      </c>
      <c r="V1328" s="29">
        <f>DATE(YEAR(support_tickets[[#This Row],[opened_at]]),MONTH(support_tickets[[#This Row],[opened_at]]),1)</f>
        <v>45839</v>
      </c>
    </row>
    <row r="1329" spans="1:22">
      <c r="A1329">
        <v>8799938653</v>
      </c>
      <c r="B1329">
        <v>876189202</v>
      </c>
      <c r="C1329" t="s">
        <v>1479</v>
      </c>
      <c r="D1329" t="s">
        <v>1480</v>
      </c>
      <c r="E1329">
        <v>36998038</v>
      </c>
      <c r="G1329" s="1">
        <v>45663.439560185187</v>
      </c>
      <c r="I1329" t="s">
        <v>18</v>
      </c>
      <c r="J1329" t="s">
        <v>38</v>
      </c>
      <c r="K1329" t="s">
        <v>73</v>
      </c>
      <c r="L1329" t="s">
        <v>60</v>
      </c>
      <c r="M1329">
        <v>27</v>
      </c>
      <c r="O1329">
        <v>1</v>
      </c>
      <c r="P1329" t="s">
        <v>40</v>
      </c>
      <c r="Q1329">
        <v>1311</v>
      </c>
      <c r="R1329" t="s">
        <v>53</v>
      </c>
      <c r="S1329">
        <f>IF(support_tickets[[#This Row],[status_cleaned]]="closed",1,0)</f>
        <v>0</v>
      </c>
      <c r="T1329" t="str">
        <f>TEXT(support_tickets[[#This Row],[opened_at]],"mmm yyyy")</f>
        <v>Jan 2025</v>
      </c>
      <c r="U1329">
        <f>YEAR(support_tickets[[#This Row],[opened_at]])*100+MONTH(support_tickets[[#This Row],[opened_at]])</f>
        <v>202501</v>
      </c>
      <c r="V1329" s="29">
        <f>DATE(YEAR(support_tickets[[#This Row],[opened_at]]),MONTH(support_tickets[[#This Row],[opened_at]]),1)</f>
        <v>45658</v>
      </c>
    </row>
    <row r="1330" spans="1:22">
      <c r="A1330">
        <v>8843307609</v>
      </c>
      <c r="B1330">
        <v>471904990</v>
      </c>
      <c r="C1330" t="s">
        <v>1485</v>
      </c>
      <c r="D1330" t="s">
        <v>1486</v>
      </c>
      <c r="E1330">
        <v>82340307</v>
      </c>
      <c r="F1330">
        <v>1043162941</v>
      </c>
      <c r="G1330" s="1">
        <v>45839.672326388885</v>
      </c>
      <c r="H1330" s="1">
        <v>45840.045243055552</v>
      </c>
      <c r="I1330" t="s">
        <v>18</v>
      </c>
      <c r="J1330" t="s">
        <v>38</v>
      </c>
      <c r="K1330" t="s">
        <v>73</v>
      </c>
      <c r="L1330" t="s">
        <v>60</v>
      </c>
      <c r="M1330">
        <v>12</v>
      </c>
      <c r="N1330">
        <v>537</v>
      </c>
      <c r="O1330">
        <v>1</v>
      </c>
      <c r="P1330" t="s">
        <v>40</v>
      </c>
      <c r="Q1330">
        <v>1318</v>
      </c>
      <c r="R1330" t="s">
        <v>53</v>
      </c>
      <c r="S1330">
        <f>IF(support_tickets[[#This Row],[status_cleaned]]="closed",1,0)</f>
        <v>0</v>
      </c>
      <c r="T1330" t="str">
        <f>TEXT(support_tickets[[#This Row],[opened_at]],"mmm yyyy")</f>
        <v>Jul 2025</v>
      </c>
      <c r="U1330">
        <f>YEAR(support_tickets[[#This Row],[opened_at]])*100+MONTH(support_tickets[[#This Row],[opened_at]])</f>
        <v>202507</v>
      </c>
      <c r="V1330" s="29">
        <f>DATE(YEAR(support_tickets[[#This Row],[opened_at]]),MONTH(support_tickets[[#This Row],[opened_at]]),1)</f>
        <v>45839</v>
      </c>
    </row>
    <row r="1331" spans="1:22">
      <c r="A1331">
        <v>8968364599</v>
      </c>
      <c r="B1331">
        <v>105638424</v>
      </c>
      <c r="C1331" t="s">
        <v>1463</v>
      </c>
      <c r="D1331" t="s">
        <v>1464</v>
      </c>
      <c r="E1331">
        <v>58966946</v>
      </c>
      <c r="G1331" s="1">
        <v>45758.977314814816</v>
      </c>
      <c r="I1331" t="s">
        <v>3</v>
      </c>
      <c r="J1331" t="s">
        <v>30</v>
      </c>
      <c r="K1331" t="s">
        <v>73</v>
      </c>
      <c r="L1331" t="s">
        <v>60</v>
      </c>
      <c r="M1331">
        <v>46</v>
      </c>
      <c r="O1331">
        <v>1</v>
      </c>
      <c r="P1331" t="s">
        <v>31</v>
      </c>
      <c r="Q1331">
        <v>1336</v>
      </c>
      <c r="R1331" t="s">
        <v>53</v>
      </c>
      <c r="S1331">
        <f>IF(support_tickets[[#This Row],[status_cleaned]]="closed",1,0)</f>
        <v>0</v>
      </c>
      <c r="T1331" t="str">
        <f>TEXT(support_tickets[[#This Row],[opened_at]],"mmm yyyy")</f>
        <v>Apr 2025</v>
      </c>
      <c r="U1331">
        <f>YEAR(support_tickets[[#This Row],[opened_at]])*100+MONTH(support_tickets[[#This Row],[opened_at]])</f>
        <v>202504</v>
      </c>
      <c r="V1331" s="29">
        <f>DATE(YEAR(support_tickets[[#This Row],[opened_at]]),MONTH(support_tickets[[#This Row],[opened_at]]),1)</f>
        <v>45748</v>
      </c>
    </row>
    <row r="1332" spans="1:22">
      <c r="A1332">
        <v>9355199361</v>
      </c>
      <c r="B1332">
        <v>933409017</v>
      </c>
      <c r="C1332" t="s">
        <v>1286</v>
      </c>
      <c r="D1332" t="s">
        <v>1287</v>
      </c>
      <c r="E1332">
        <v>58537831</v>
      </c>
      <c r="G1332" s="1">
        <v>45608.851087962961</v>
      </c>
      <c r="I1332" t="s">
        <v>43</v>
      </c>
      <c r="J1332" t="s">
        <v>86</v>
      </c>
      <c r="K1332" t="s">
        <v>73</v>
      </c>
      <c r="L1332" t="s">
        <v>60</v>
      </c>
      <c r="M1332">
        <v>36</v>
      </c>
      <c r="O1332">
        <v>1</v>
      </c>
      <c r="P1332" t="s">
        <v>87</v>
      </c>
      <c r="Q1332">
        <v>1410</v>
      </c>
      <c r="R1332" t="s">
        <v>53</v>
      </c>
      <c r="S1332">
        <f>IF(support_tickets[[#This Row],[status_cleaned]]="closed",1,0)</f>
        <v>0</v>
      </c>
      <c r="T1332" t="str">
        <f>TEXT(support_tickets[[#This Row],[opened_at]],"mmm yyyy")</f>
        <v>Nov 2024</v>
      </c>
      <c r="U1332">
        <f>YEAR(support_tickets[[#This Row],[opened_at]])*100+MONTH(support_tickets[[#This Row],[opened_at]])</f>
        <v>202411</v>
      </c>
      <c r="V1332" s="29">
        <f>DATE(YEAR(support_tickets[[#This Row],[opened_at]]),MONTH(support_tickets[[#This Row],[opened_at]]),1)</f>
        <v>45597</v>
      </c>
    </row>
    <row r="1333" spans="1:22">
      <c r="A1333">
        <v>1082797040</v>
      </c>
      <c r="B1333">
        <v>740743666</v>
      </c>
      <c r="C1333" t="s">
        <v>71</v>
      </c>
      <c r="D1333" t="s">
        <v>72</v>
      </c>
      <c r="E1333">
        <v>82340307</v>
      </c>
      <c r="G1333" s="1">
        <v>45494.559062499997</v>
      </c>
      <c r="I1333" t="s">
        <v>46</v>
      </c>
      <c r="J1333" t="s">
        <v>38</v>
      </c>
      <c r="K1333" t="s">
        <v>73</v>
      </c>
      <c r="L1333" t="s">
        <v>34</v>
      </c>
      <c r="M1333">
        <v>47</v>
      </c>
      <c r="O1333">
        <v>0</v>
      </c>
      <c r="P1333" t="s">
        <v>40</v>
      </c>
      <c r="Q1333">
        <v>16</v>
      </c>
      <c r="R1333" t="s">
        <v>53</v>
      </c>
      <c r="S1333">
        <f>IF(support_tickets[[#This Row],[status_cleaned]]="closed",1,0)</f>
        <v>0</v>
      </c>
      <c r="T1333" t="str">
        <f>TEXT(support_tickets[[#This Row],[opened_at]],"mmm yyyy")</f>
        <v>Jul 2024</v>
      </c>
      <c r="U1333">
        <f>YEAR(support_tickets[[#This Row],[opened_at]])*100+MONTH(support_tickets[[#This Row],[opened_at]])</f>
        <v>202407</v>
      </c>
      <c r="V1333" s="29">
        <f>DATE(YEAR(support_tickets[[#This Row],[opened_at]]),MONTH(support_tickets[[#This Row],[opened_at]]),1)</f>
        <v>45474</v>
      </c>
    </row>
    <row r="1334" spans="1:22">
      <c r="A1334">
        <v>1417024330</v>
      </c>
      <c r="B1334">
        <v>655511084</v>
      </c>
      <c r="C1334" t="s">
        <v>186</v>
      </c>
      <c r="D1334" t="s">
        <v>187</v>
      </c>
      <c r="E1334">
        <v>20570592</v>
      </c>
      <c r="F1334">
        <v>5096047004</v>
      </c>
      <c r="G1334" s="1">
        <v>45764.251817129632</v>
      </c>
      <c r="I1334" t="s">
        <v>56</v>
      </c>
      <c r="J1334" t="s">
        <v>86</v>
      </c>
      <c r="K1334" t="s">
        <v>73</v>
      </c>
      <c r="L1334" t="s">
        <v>34</v>
      </c>
      <c r="M1334">
        <v>36</v>
      </c>
      <c r="O1334">
        <v>0</v>
      </c>
      <c r="P1334" t="s">
        <v>87</v>
      </c>
      <c r="Q1334">
        <v>75</v>
      </c>
      <c r="R1334" t="s">
        <v>53</v>
      </c>
      <c r="S1334">
        <f>IF(support_tickets[[#This Row],[status_cleaned]]="closed",1,0)</f>
        <v>0</v>
      </c>
      <c r="T1334" t="str">
        <f>TEXT(support_tickets[[#This Row],[opened_at]],"mmm yyyy")</f>
        <v>Apr 2025</v>
      </c>
      <c r="U1334">
        <f>YEAR(support_tickets[[#This Row],[opened_at]])*100+MONTH(support_tickets[[#This Row],[opened_at]])</f>
        <v>202504</v>
      </c>
      <c r="V1334" s="29">
        <f>DATE(YEAR(support_tickets[[#This Row],[opened_at]]),MONTH(support_tickets[[#This Row],[opened_at]]),1)</f>
        <v>45748</v>
      </c>
    </row>
    <row r="1335" spans="1:22">
      <c r="A1335">
        <v>1438188292</v>
      </c>
      <c r="B1335">
        <v>682152066</v>
      </c>
      <c r="C1335" t="s">
        <v>188</v>
      </c>
      <c r="D1335" t="s">
        <v>189</v>
      </c>
      <c r="E1335">
        <v>35808537</v>
      </c>
      <c r="F1335">
        <v>9665789482</v>
      </c>
      <c r="G1335" s="1">
        <v>45709.789305555554</v>
      </c>
      <c r="I1335" t="s">
        <v>46</v>
      </c>
      <c r="J1335" t="s">
        <v>38</v>
      </c>
      <c r="K1335" t="s">
        <v>73</v>
      </c>
      <c r="L1335" t="s">
        <v>34</v>
      </c>
      <c r="M1335">
        <v>42</v>
      </c>
      <c r="O1335">
        <v>0</v>
      </c>
      <c r="P1335" t="s">
        <v>40</v>
      </c>
      <c r="Q1335">
        <v>76</v>
      </c>
      <c r="R1335" t="s">
        <v>53</v>
      </c>
      <c r="S1335">
        <f>IF(support_tickets[[#This Row],[status_cleaned]]="closed",1,0)</f>
        <v>0</v>
      </c>
      <c r="T1335" t="str">
        <f>TEXT(support_tickets[[#This Row],[opened_at]],"mmm yyyy")</f>
        <v>Feb 2025</v>
      </c>
      <c r="U1335">
        <f>YEAR(support_tickets[[#This Row],[opened_at]])*100+MONTH(support_tickets[[#This Row],[opened_at]])</f>
        <v>202502</v>
      </c>
      <c r="V1335" s="29">
        <f>DATE(YEAR(support_tickets[[#This Row],[opened_at]]),MONTH(support_tickets[[#This Row],[opened_at]]),1)</f>
        <v>45689</v>
      </c>
    </row>
    <row r="1336" spans="1:22">
      <c r="A1336">
        <v>1713867006</v>
      </c>
      <c r="B1336">
        <v>874364174</v>
      </c>
      <c r="C1336" t="s">
        <v>278</v>
      </c>
      <c r="D1336" t="s">
        <v>279</v>
      </c>
      <c r="E1336">
        <v>41227216</v>
      </c>
      <c r="G1336" s="1">
        <v>46067.910219907404</v>
      </c>
      <c r="I1336" t="s">
        <v>56</v>
      </c>
      <c r="J1336" t="s">
        <v>25</v>
      </c>
      <c r="K1336" t="s">
        <v>73</v>
      </c>
      <c r="L1336" t="s">
        <v>34</v>
      </c>
      <c r="M1336">
        <v>54</v>
      </c>
      <c r="O1336">
        <v>0</v>
      </c>
      <c r="P1336" t="s">
        <v>27</v>
      </c>
      <c r="Q1336">
        <v>127</v>
      </c>
      <c r="R1336" t="s">
        <v>53</v>
      </c>
      <c r="S1336">
        <f>IF(support_tickets[[#This Row],[status_cleaned]]="closed",1,0)</f>
        <v>0</v>
      </c>
      <c r="T1336" t="str">
        <f>TEXT(support_tickets[[#This Row],[opened_at]],"mmm yyyy")</f>
        <v>Feb 2026</v>
      </c>
      <c r="U1336">
        <f>YEAR(support_tickets[[#This Row],[opened_at]])*100+MONTH(support_tickets[[#This Row],[opened_at]])</f>
        <v>202602</v>
      </c>
      <c r="V1336" s="29">
        <f>DATE(YEAR(support_tickets[[#This Row],[opened_at]]),MONTH(support_tickets[[#This Row],[opened_at]]),1)</f>
        <v>46054</v>
      </c>
    </row>
    <row r="1337" spans="1:22">
      <c r="A1337">
        <v>1754973803</v>
      </c>
      <c r="B1337">
        <v>996534803</v>
      </c>
      <c r="C1337" t="s">
        <v>304</v>
      </c>
      <c r="D1337" t="s">
        <v>305</v>
      </c>
      <c r="E1337">
        <v>60806024</v>
      </c>
      <c r="G1337" s="1">
        <v>46081.737824074073</v>
      </c>
      <c r="H1337" s="1">
        <v>46082.757962962962</v>
      </c>
      <c r="I1337" t="s">
        <v>52</v>
      </c>
      <c r="J1337" t="s">
        <v>25</v>
      </c>
      <c r="K1337" t="s">
        <v>73</v>
      </c>
      <c r="L1337" t="s">
        <v>34</v>
      </c>
      <c r="M1337">
        <v>37</v>
      </c>
      <c r="N1337">
        <v>1469</v>
      </c>
      <c r="O1337">
        <v>0</v>
      </c>
      <c r="P1337" t="s">
        <v>27</v>
      </c>
      <c r="Q1337">
        <v>142</v>
      </c>
      <c r="R1337" t="s">
        <v>53</v>
      </c>
      <c r="S1337">
        <f>IF(support_tickets[[#This Row],[status_cleaned]]="closed",1,0)</f>
        <v>0</v>
      </c>
      <c r="T1337" t="str">
        <f>TEXT(support_tickets[[#This Row],[opened_at]],"mmm yyyy")</f>
        <v>Feb 2026</v>
      </c>
      <c r="U1337">
        <f>YEAR(support_tickets[[#This Row],[opened_at]])*100+MONTH(support_tickets[[#This Row],[opened_at]])</f>
        <v>202602</v>
      </c>
      <c r="V1337" s="29">
        <f>DATE(YEAR(support_tickets[[#This Row],[opened_at]]),MONTH(support_tickets[[#This Row],[opened_at]]),1)</f>
        <v>46054</v>
      </c>
    </row>
    <row r="1338" spans="1:22">
      <c r="A1338">
        <v>1834105458</v>
      </c>
      <c r="B1338">
        <v>778321204</v>
      </c>
      <c r="C1338" t="s">
        <v>230</v>
      </c>
      <c r="D1338" t="s">
        <v>231</v>
      </c>
      <c r="E1338">
        <v>85345555</v>
      </c>
      <c r="G1338" s="1">
        <v>45843.194525462961</v>
      </c>
      <c r="I1338" t="s">
        <v>18</v>
      </c>
      <c r="J1338" t="s">
        <v>86</v>
      </c>
      <c r="K1338" t="s">
        <v>73</v>
      </c>
      <c r="L1338" t="s">
        <v>34</v>
      </c>
      <c r="M1338">
        <v>78</v>
      </c>
      <c r="O1338">
        <v>0</v>
      </c>
      <c r="P1338" t="s">
        <v>87</v>
      </c>
      <c r="Q1338">
        <v>163</v>
      </c>
      <c r="R1338" t="s">
        <v>53</v>
      </c>
      <c r="S1338">
        <f>IF(support_tickets[[#This Row],[status_cleaned]]="closed",1,0)</f>
        <v>0</v>
      </c>
      <c r="T1338" t="str">
        <f>TEXT(support_tickets[[#This Row],[opened_at]],"mmm yyyy")</f>
        <v>Jul 2025</v>
      </c>
      <c r="U1338">
        <f>YEAR(support_tickets[[#This Row],[opened_at]])*100+MONTH(support_tickets[[#This Row],[opened_at]])</f>
        <v>202507</v>
      </c>
      <c r="V1338" s="29">
        <f>DATE(YEAR(support_tickets[[#This Row],[opened_at]]),MONTH(support_tickets[[#This Row],[opened_at]]),1)</f>
        <v>45839</v>
      </c>
    </row>
    <row r="1339" spans="1:22">
      <c r="A1339">
        <v>1875514632</v>
      </c>
      <c r="B1339">
        <v>394689553</v>
      </c>
      <c r="C1339" t="s">
        <v>350</v>
      </c>
      <c r="D1339" t="s">
        <v>351</v>
      </c>
      <c r="E1339">
        <v>10872248</v>
      </c>
      <c r="F1339">
        <v>6717441860</v>
      </c>
      <c r="G1339" s="1">
        <v>45574.318043981482</v>
      </c>
      <c r="I1339" t="s">
        <v>52</v>
      </c>
      <c r="J1339" t="s">
        <v>30</v>
      </c>
      <c r="K1339" t="s">
        <v>73</v>
      </c>
      <c r="L1339" t="s">
        <v>34</v>
      </c>
      <c r="M1339">
        <v>31</v>
      </c>
      <c r="O1339">
        <v>0</v>
      </c>
      <c r="P1339" t="s">
        <v>31</v>
      </c>
      <c r="Q1339">
        <v>173</v>
      </c>
      <c r="R1339" t="s">
        <v>53</v>
      </c>
      <c r="S1339">
        <f>IF(support_tickets[[#This Row],[status_cleaned]]="closed",1,0)</f>
        <v>0</v>
      </c>
      <c r="T1339" t="str">
        <f>TEXT(support_tickets[[#This Row],[opened_at]],"mmm yyyy")</f>
        <v>Oct 2024</v>
      </c>
      <c r="U1339">
        <f>YEAR(support_tickets[[#This Row],[opened_at]])*100+MONTH(support_tickets[[#This Row],[opened_at]])</f>
        <v>202410</v>
      </c>
      <c r="V1339" s="29">
        <f>DATE(YEAR(support_tickets[[#This Row],[opened_at]]),MONTH(support_tickets[[#This Row],[opened_at]]),1)</f>
        <v>45566</v>
      </c>
    </row>
    <row r="1340" spans="1:22">
      <c r="A1340">
        <v>2425995983</v>
      </c>
      <c r="B1340">
        <v>437568796</v>
      </c>
      <c r="C1340" t="s">
        <v>490</v>
      </c>
      <c r="D1340" t="s">
        <v>491</v>
      </c>
      <c r="E1340">
        <v>15831819</v>
      </c>
      <c r="G1340" s="1">
        <v>45390.403148148151</v>
      </c>
      <c r="I1340" t="s">
        <v>37</v>
      </c>
      <c r="J1340" t="s">
        <v>30</v>
      </c>
      <c r="K1340" t="s">
        <v>73</v>
      </c>
      <c r="L1340" t="s">
        <v>34</v>
      </c>
      <c r="M1340">
        <v>44</v>
      </c>
      <c r="O1340">
        <v>0</v>
      </c>
      <c r="P1340" t="s">
        <v>31</v>
      </c>
      <c r="Q1340">
        <v>260</v>
      </c>
      <c r="R1340" t="s">
        <v>53</v>
      </c>
      <c r="S1340">
        <f>IF(support_tickets[[#This Row],[status_cleaned]]="closed",1,0)</f>
        <v>0</v>
      </c>
      <c r="T1340" t="str">
        <f>TEXT(support_tickets[[#This Row],[opened_at]],"mmm yyyy")</f>
        <v>Apr 2024</v>
      </c>
      <c r="U1340">
        <f>YEAR(support_tickets[[#This Row],[opened_at]])*100+MONTH(support_tickets[[#This Row],[opened_at]])</f>
        <v>202404</v>
      </c>
      <c r="V1340" s="29">
        <f>DATE(YEAR(support_tickets[[#This Row],[opened_at]]),MONTH(support_tickets[[#This Row],[opened_at]]),1)</f>
        <v>45383</v>
      </c>
    </row>
    <row r="1341" spans="1:22">
      <c r="A1341">
        <v>2953676676</v>
      </c>
      <c r="B1341">
        <v>253308283</v>
      </c>
      <c r="C1341" t="s">
        <v>614</v>
      </c>
      <c r="D1341" t="s">
        <v>615</v>
      </c>
      <c r="E1341">
        <v>66722344</v>
      </c>
      <c r="G1341" s="1">
        <v>45776.310219907406</v>
      </c>
      <c r="H1341" s="1">
        <v>45776.403969907406</v>
      </c>
      <c r="I1341" t="s">
        <v>18</v>
      </c>
      <c r="J1341" t="s">
        <v>38</v>
      </c>
      <c r="K1341" t="s">
        <v>73</v>
      </c>
      <c r="L1341" t="s">
        <v>34</v>
      </c>
      <c r="M1341">
        <v>19</v>
      </c>
      <c r="N1341">
        <v>135</v>
      </c>
      <c r="O1341">
        <v>0</v>
      </c>
      <c r="P1341" t="s">
        <v>40</v>
      </c>
      <c r="Q1341">
        <v>348</v>
      </c>
      <c r="R1341" t="s">
        <v>53</v>
      </c>
      <c r="S1341">
        <f>IF(support_tickets[[#This Row],[status_cleaned]]="closed",1,0)</f>
        <v>0</v>
      </c>
      <c r="T1341" t="str">
        <f>TEXT(support_tickets[[#This Row],[opened_at]],"mmm yyyy")</f>
        <v>Apr 2025</v>
      </c>
      <c r="U1341">
        <f>YEAR(support_tickets[[#This Row],[opened_at]])*100+MONTH(support_tickets[[#This Row],[opened_at]])</f>
        <v>202504</v>
      </c>
      <c r="V1341" s="29">
        <f>DATE(YEAR(support_tickets[[#This Row],[opened_at]]),MONTH(support_tickets[[#This Row],[opened_at]]),1)</f>
        <v>45748</v>
      </c>
    </row>
    <row r="1342" spans="1:22">
      <c r="A1342">
        <v>3762722902</v>
      </c>
      <c r="B1342">
        <v>593559955</v>
      </c>
      <c r="C1342" t="s">
        <v>805</v>
      </c>
      <c r="D1342" t="s">
        <v>806</v>
      </c>
      <c r="E1342">
        <v>81498611</v>
      </c>
      <c r="F1342">
        <v>1112729226</v>
      </c>
      <c r="G1342" s="1">
        <v>45964.16165509259</v>
      </c>
      <c r="I1342" t="s">
        <v>46</v>
      </c>
      <c r="J1342" t="s">
        <v>38</v>
      </c>
      <c r="K1342" t="s">
        <v>73</v>
      </c>
      <c r="L1342" t="s">
        <v>34</v>
      </c>
      <c r="M1342">
        <v>33</v>
      </c>
      <c r="O1342">
        <v>0</v>
      </c>
      <c r="P1342" t="s">
        <v>40</v>
      </c>
      <c r="Q1342">
        <v>493</v>
      </c>
      <c r="R1342" t="s">
        <v>53</v>
      </c>
      <c r="S1342">
        <f>IF(support_tickets[[#This Row],[status_cleaned]]="closed",1,0)</f>
        <v>0</v>
      </c>
      <c r="T1342" t="str">
        <f>TEXT(support_tickets[[#This Row],[opened_at]],"mmm yyyy")</f>
        <v>Nov 2025</v>
      </c>
      <c r="U1342">
        <f>YEAR(support_tickets[[#This Row],[opened_at]])*100+MONTH(support_tickets[[#This Row],[opened_at]])</f>
        <v>202511</v>
      </c>
      <c r="V1342" s="29">
        <f>DATE(YEAR(support_tickets[[#This Row],[opened_at]]),MONTH(support_tickets[[#This Row],[opened_at]]),1)</f>
        <v>45962</v>
      </c>
    </row>
    <row r="1343" spans="1:22">
      <c r="A1343">
        <v>3838517397</v>
      </c>
      <c r="B1343">
        <v>830945329</v>
      </c>
      <c r="C1343" t="s">
        <v>820</v>
      </c>
      <c r="D1343" t="s">
        <v>821</v>
      </c>
      <c r="E1343">
        <v>89089901</v>
      </c>
      <c r="G1343" s="1">
        <v>45645.841724537036</v>
      </c>
      <c r="I1343" t="s">
        <v>56</v>
      </c>
      <c r="J1343" t="s">
        <v>59</v>
      </c>
      <c r="K1343" t="s">
        <v>73</v>
      </c>
      <c r="L1343" t="s">
        <v>34</v>
      </c>
      <c r="M1343">
        <v>10</v>
      </c>
      <c r="O1343">
        <v>0</v>
      </c>
      <c r="P1343" t="s">
        <v>61</v>
      </c>
      <c r="Q1343">
        <v>505</v>
      </c>
      <c r="R1343" t="s">
        <v>53</v>
      </c>
      <c r="S1343">
        <f>IF(support_tickets[[#This Row],[status_cleaned]]="closed",1,0)</f>
        <v>0</v>
      </c>
      <c r="T1343" t="str">
        <f>TEXT(support_tickets[[#This Row],[opened_at]],"mmm yyyy")</f>
        <v>Dec 2024</v>
      </c>
      <c r="U1343">
        <f>YEAR(support_tickets[[#This Row],[opened_at]])*100+MONTH(support_tickets[[#This Row],[opened_at]])</f>
        <v>202412</v>
      </c>
      <c r="V1343" s="29">
        <f>DATE(YEAR(support_tickets[[#This Row],[opened_at]]),MONTH(support_tickets[[#This Row],[opened_at]]),1)</f>
        <v>45627</v>
      </c>
    </row>
    <row r="1344" spans="1:22">
      <c r="A1344">
        <v>4244112571</v>
      </c>
      <c r="B1344">
        <v>304853117</v>
      </c>
      <c r="C1344" t="s">
        <v>888</v>
      </c>
      <c r="D1344" t="s">
        <v>889</v>
      </c>
      <c r="E1344">
        <v>46913810</v>
      </c>
      <c r="F1344">
        <v>1267698902</v>
      </c>
      <c r="G1344" s="1">
        <v>46066.398680555554</v>
      </c>
      <c r="H1344" s="1">
        <v>46067.239652777775</v>
      </c>
      <c r="I1344" t="s">
        <v>43</v>
      </c>
      <c r="J1344" t="s">
        <v>30</v>
      </c>
      <c r="K1344" t="s">
        <v>73</v>
      </c>
      <c r="L1344" t="s">
        <v>34</v>
      </c>
      <c r="M1344">
        <v>35</v>
      </c>
      <c r="N1344">
        <v>1211</v>
      </c>
      <c r="O1344">
        <v>0</v>
      </c>
      <c r="P1344" t="s">
        <v>31</v>
      </c>
      <c r="Q1344">
        <v>559</v>
      </c>
      <c r="R1344" t="s">
        <v>53</v>
      </c>
      <c r="S1344">
        <f>IF(support_tickets[[#This Row],[status_cleaned]]="closed",1,0)</f>
        <v>0</v>
      </c>
      <c r="T1344" t="str">
        <f>TEXT(support_tickets[[#This Row],[opened_at]],"mmm yyyy")</f>
        <v>Feb 2026</v>
      </c>
      <c r="U1344">
        <f>YEAR(support_tickets[[#This Row],[opened_at]])*100+MONTH(support_tickets[[#This Row],[opened_at]])</f>
        <v>202602</v>
      </c>
      <c r="V1344" s="29">
        <f>DATE(YEAR(support_tickets[[#This Row],[opened_at]]),MONTH(support_tickets[[#This Row],[opened_at]]),1)</f>
        <v>46054</v>
      </c>
    </row>
    <row r="1345" spans="1:22">
      <c r="A1345">
        <v>4307865456</v>
      </c>
      <c r="B1345">
        <v>664226794</v>
      </c>
      <c r="C1345" t="s">
        <v>660</v>
      </c>
      <c r="D1345" t="s">
        <v>661</v>
      </c>
      <c r="E1345">
        <v>42329237</v>
      </c>
      <c r="G1345" s="1">
        <v>45882.626342592594</v>
      </c>
      <c r="I1345" t="s">
        <v>18</v>
      </c>
      <c r="J1345" t="s">
        <v>38</v>
      </c>
      <c r="K1345" t="s">
        <v>73</v>
      </c>
      <c r="L1345" t="s">
        <v>34</v>
      </c>
      <c r="M1345">
        <v>50</v>
      </c>
      <c r="O1345">
        <v>0</v>
      </c>
      <c r="P1345" t="s">
        <v>40</v>
      </c>
      <c r="Q1345">
        <v>570</v>
      </c>
      <c r="R1345" t="s">
        <v>53</v>
      </c>
      <c r="S1345">
        <f>IF(support_tickets[[#This Row],[status_cleaned]]="closed",1,0)</f>
        <v>0</v>
      </c>
      <c r="T1345" t="str">
        <f>TEXT(support_tickets[[#This Row],[opened_at]],"mmm yyyy")</f>
        <v>Aug 2025</v>
      </c>
      <c r="U1345">
        <f>YEAR(support_tickets[[#This Row],[opened_at]])*100+MONTH(support_tickets[[#This Row],[opened_at]])</f>
        <v>202508</v>
      </c>
      <c r="V1345" s="29">
        <f>DATE(YEAR(support_tickets[[#This Row],[opened_at]]),MONTH(support_tickets[[#This Row],[opened_at]]),1)</f>
        <v>45870</v>
      </c>
    </row>
    <row r="1346" spans="1:22">
      <c r="A1346">
        <v>4419354759</v>
      </c>
      <c r="B1346">
        <v>101679695</v>
      </c>
      <c r="C1346" t="s">
        <v>930</v>
      </c>
      <c r="D1346" t="s">
        <v>931</v>
      </c>
      <c r="E1346">
        <v>84252722</v>
      </c>
      <c r="G1346" s="1">
        <v>45599.764988425923</v>
      </c>
      <c r="I1346" t="s">
        <v>52</v>
      </c>
      <c r="J1346" t="s">
        <v>30</v>
      </c>
      <c r="K1346" t="s">
        <v>73</v>
      </c>
      <c r="L1346" t="s">
        <v>34</v>
      </c>
      <c r="M1346">
        <v>12</v>
      </c>
      <c r="O1346">
        <v>0</v>
      </c>
      <c r="P1346" t="s">
        <v>31</v>
      </c>
      <c r="Q1346">
        <v>597</v>
      </c>
      <c r="R1346" t="s">
        <v>53</v>
      </c>
      <c r="S1346">
        <f>IF(support_tickets[[#This Row],[status_cleaned]]="closed",1,0)</f>
        <v>0</v>
      </c>
      <c r="T1346" t="str">
        <f>TEXT(support_tickets[[#This Row],[opened_at]],"mmm yyyy")</f>
        <v>Nov 2024</v>
      </c>
      <c r="U1346">
        <f>YEAR(support_tickets[[#This Row],[opened_at]])*100+MONTH(support_tickets[[#This Row],[opened_at]])</f>
        <v>202411</v>
      </c>
      <c r="V1346" s="29">
        <f>DATE(YEAR(support_tickets[[#This Row],[opened_at]]),MONTH(support_tickets[[#This Row],[opened_at]]),1)</f>
        <v>45597</v>
      </c>
    </row>
    <row r="1347" spans="1:22">
      <c r="A1347">
        <v>5140386115</v>
      </c>
      <c r="B1347">
        <v>447464644</v>
      </c>
      <c r="C1347" t="s">
        <v>100</v>
      </c>
      <c r="D1347" t="s">
        <v>101</v>
      </c>
      <c r="E1347">
        <v>45935572</v>
      </c>
      <c r="G1347" s="1">
        <v>45569.337291666663</v>
      </c>
      <c r="I1347" t="s">
        <v>43</v>
      </c>
      <c r="J1347" t="s">
        <v>59</v>
      </c>
      <c r="K1347" t="s">
        <v>73</v>
      </c>
      <c r="L1347" t="s">
        <v>34</v>
      </c>
      <c r="M1347">
        <v>14</v>
      </c>
      <c r="O1347">
        <v>0</v>
      </c>
      <c r="P1347" t="s">
        <v>61</v>
      </c>
      <c r="Q1347">
        <v>717</v>
      </c>
      <c r="R1347" t="s">
        <v>53</v>
      </c>
      <c r="S1347">
        <f>IF(support_tickets[[#This Row],[status_cleaned]]="closed",1,0)</f>
        <v>0</v>
      </c>
      <c r="T1347" t="str">
        <f>TEXT(support_tickets[[#This Row],[opened_at]],"mmm yyyy")</f>
        <v>Oct 2024</v>
      </c>
      <c r="U1347">
        <f>YEAR(support_tickets[[#This Row],[opened_at]])*100+MONTH(support_tickets[[#This Row],[opened_at]])</f>
        <v>202410</v>
      </c>
      <c r="V1347" s="29">
        <f>DATE(YEAR(support_tickets[[#This Row],[opened_at]]),MONTH(support_tickets[[#This Row],[opened_at]]),1)</f>
        <v>45566</v>
      </c>
    </row>
    <row r="1348" spans="1:22">
      <c r="A1348">
        <v>5231055228</v>
      </c>
      <c r="B1348">
        <v>391126537</v>
      </c>
      <c r="C1348" t="s">
        <v>1074</v>
      </c>
      <c r="D1348" t="s">
        <v>1075</v>
      </c>
      <c r="E1348">
        <v>31227574</v>
      </c>
      <c r="G1348" s="1">
        <v>45392.328657407408</v>
      </c>
      <c r="I1348" t="s">
        <v>3</v>
      </c>
      <c r="J1348" t="s">
        <v>19</v>
      </c>
      <c r="K1348" t="s">
        <v>73</v>
      </c>
      <c r="L1348" t="s">
        <v>34</v>
      </c>
      <c r="M1348">
        <v>24</v>
      </c>
      <c r="O1348">
        <v>0</v>
      </c>
      <c r="P1348" t="s">
        <v>22</v>
      </c>
      <c r="Q1348">
        <v>738</v>
      </c>
      <c r="R1348" t="s">
        <v>53</v>
      </c>
      <c r="S1348">
        <f>IF(support_tickets[[#This Row],[status_cleaned]]="closed",1,0)</f>
        <v>0</v>
      </c>
      <c r="T1348" t="str">
        <f>TEXT(support_tickets[[#This Row],[opened_at]],"mmm yyyy")</f>
        <v>Apr 2024</v>
      </c>
      <c r="U1348">
        <f>YEAR(support_tickets[[#This Row],[opened_at]])*100+MONTH(support_tickets[[#This Row],[opened_at]])</f>
        <v>202404</v>
      </c>
      <c r="V1348" s="29">
        <f>DATE(YEAR(support_tickets[[#This Row],[opened_at]]),MONTH(support_tickets[[#This Row],[opened_at]]),1)</f>
        <v>45383</v>
      </c>
    </row>
    <row r="1349" spans="1:22">
      <c r="A1349">
        <v>5487826809</v>
      </c>
      <c r="B1349">
        <v>410315830</v>
      </c>
      <c r="C1349" t="s">
        <v>784</v>
      </c>
      <c r="D1349" t="s">
        <v>785</v>
      </c>
      <c r="E1349">
        <v>40742311</v>
      </c>
      <c r="G1349" s="1">
        <v>45722.784189814818</v>
      </c>
      <c r="I1349" t="s">
        <v>3</v>
      </c>
      <c r="J1349" t="s">
        <v>86</v>
      </c>
      <c r="K1349" t="s">
        <v>73</v>
      </c>
      <c r="L1349" t="s">
        <v>34</v>
      </c>
      <c r="M1349">
        <v>74</v>
      </c>
      <c r="O1349">
        <v>0</v>
      </c>
      <c r="P1349" t="s">
        <v>87</v>
      </c>
      <c r="Q1349">
        <v>800</v>
      </c>
      <c r="R1349" t="s">
        <v>53</v>
      </c>
      <c r="S1349">
        <f>IF(support_tickets[[#This Row],[status_cleaned]]="closed",1,0)</f>
        <v>0</v>
      </c>
      <c r="T1349" t="str">
        <f>TEXT(support_tickets[[#This Row],[opened_at]],"mmm yyyy")</f>
        <v>Mar 2025</v>
      </c>
      <c r="U1349">
        <f>YEAR(support_tickets[[#This Row],[opened_at]])*100+MONTH(support_tickets[[#This Row],[opened_at]])</f>
        <v>202503</v>
      </c>
      <c r="V1349" s="29">
        <f>DATE(YEAR(support_tickets[[#This Row],[opened_at]]),MONTH(support_tickets[[#This Row],[opened_at]]),1)</f>
        <v>45717</v>
      </c>
    </row>
    <row r="1350" spans="1:22">
      <c r="A1350">
        <v>5497533469</v>
      </c>
      <c r="B1350">
        <v>605288784</v>
      </c>
      <c r="C1350" t="s">
        <v>1138</v>
      </c>
      <c r="D1350" t="s">
        <v>1139</v>
      </c>
      <c r="E1350">
        <v>81182864</v>
      </c>
      <c r="G1350" s="1">
        <v>46066.687013888892</v>
      </c>
      <c r="I1350" t="s">
        <v>3</v>
      </c>
      <c r="J1350" t="s">
        <v>59</v>
      </c>
      <c r="K1350" t="s">
        <v>73</v>
      </c>
      <c r="L1350" t="s">
        <v>34</v>
      </c>
      <c r="M1350">
        <v>29</v>
      </c>
      <c r="O1350">
        <v>0</v>
      </c>
      <c r="P1350" t="s">
        <v>61</v>
      </c>
      <c r="Q1350">
        <v>804</v>
      </c>
      <c r="R1350" t="s">
        <v>53</v>
      </c>
      <c r="S1350">
        <f>IF(support_tickets[[#This Row],[status_cleaned]]="closed",1,0)</f>
        <v>0</v>
      </c>
      <c r="T1350" t="str">
        <f>TEXT(support_tickets[[#This Row],[opened_at]],"mmm yyyy")</f>
        <v>Feb 2026</v>
      </c>
      <c r="U1350">
        <f>YEAR(support_tickets[[#This Row],[opened_at]])*100+MONTH(support_tickets[[#This Row],[opened_at]])</f>
        <v>202602</v>
      </c>
      <c r="V1350" s="29">
        <f>DATE(YEAR(support_tickets[[#This Row],[opened_at]]),MONTH(support_tickets[[#This Row],[opened_at]]),1)</f>
        <v>46054</v>
      </c>
    </row>
    <row r="1351" spans="1:22">
      <c r="A1351">
        <v>5887450229</v>
      </c>
      <c r="B1351">
        <v>383975609</v>
      </c>
      <c r="C1351" t="s">
        <v>1072</v>
      </c>
      <c r="D1351" t="s">
        <v>1073</v>
      </c>
      <c r="E1351">
        <v>30514014</v>
      </c>
      <c r="F1351">
        <v>9446034734</v>
      </c>
      <c r="G1351" s="1">
        <v>45724.240995370368</v>
      </c>
      <c r="I1351" t="s">
        <v>52</v>
      </c>
      <c r="J1351" t="s">
        <v>38</v>
      </c>
      <c r="K1351" t="s">
        <v>73</v>
      </c>
      <c r="L1351" t="s">
        <v>34</v>
      </c>
      <c r="M1351">
        <v>35</v>
      </c>
      <c r="O1351">
        <v>0</v>
      </c>
      <c r="P1351" t="s">
        <v>40</v>
      </c>
      <c r="Q1351">
        <v>871</v>
      </c>
      <c r="R1351" t="s">
        <v>53</v>
      </c>
      <c r="S1351">
        <f>IF(support_tickets[[#This Row],[status_cleaned]]="closed",1,0)</f>
        <v>0</v>
      </c>
      <c r="T1351" t="str">
        <f>TEXT(support_tickets[[#This Row],[opened_at]],"mmm yyyy")</f>
        <v>Mar 2025</v>
      </c>
      <c r="U1351">
        <f>YEAR(support_tickets[[#This Row],[opened_at]])*100+MONTH(support_tickets[[#This Row],[opened_at]])</f>
        <v>202503</v>
      </c>
      <c r="V1351" s="29">
        <f>DATE(YEAR(support_tickets[[#This Row],[opened_at]]),MONTH(support_tickets[[#This Row],[opened_at]]),1)</f>
        <v>45717</v>
      </c>
    </row>
    <row r="1352" spans="1:22">
      <c r="A1352">
        <v>6788039585</v>
      </c>
      <c r="B1352">
        <v>817490291</v>
      </c>
      <c r="C1352" t="s">
        <v>1306</v>
      </c>
      <c r="D1352" t="s">
        <v>1307</v>
      </c>
      <c r="E1352">
        <v>91756179</v>
      </c>
      <c r="G1352" s="1">
        <v>45860.011273148149</v>
      </c>
      <c r="I1352" t="s">
        <v>43</v>
      </c>
      <c r="J1352" t="s">
        <v>19</v>
      </c>
      <c r="K1352" t="s">
        <v>73</v>
      </c>
      <c r="L1352" t="s">
        <v>34</v>
      </c>
      <c r="M1352">
        <v>80</v>
      </c>
      <c r="O1352">
        <v>0</v>
      </c>
      <c r="P1352" t="s">
        <v>22</v>
      </c>
      <c r="Q1352">
        <v>1007</v>
      </c>
      <c r="R1352" t="s">
        <v>53</v>
      </c>
      <c r="S1352">
        <f>IF(support_tickets[[#This Row],[status_cleaned]]="closed",1,0)</f>
        <v>0</v>
      </c>
      <c r="T1352" t="str">
        <f>TEXT(support_tickets[[#This Row],[opened_at]],"mmm yyyy")</f>
        <v>Jul 2025</v>
      </c>
      <c r="U1352">
        <f>YEAR(support_tickets[[#This Row],[opened_at]])*100+MONTH(support_tickets[[#This Row],[opened_at]])</f>
        <v>202507</v>
      </c>
      <c r="V1352" s="29">
        <f>DATE(YEAR(support_tickets[[#This Row],[opened_at]]),MONTH(support_tickets[[#This Row],[opened_at]]),1)</f>
        <v>45839</v>
      </c>
    </row>
    <row r="1353" spans="1:22">
      <c r="A1353">
        <v>7012843640</v>
      </c>
      <c r="B1353">
        <v>960345542</v>
      </c>
      <c r="C1353" t="s">
        <v>1324</v>
      </c>
      <c r="D1353" t="s">
        <v>1325</v>
      </c>
      <c r="E1353">
        <v>38317637</v>
      </c>
      <c r="G1353" s="1">
        <v>45993.134467592594</v>
      </c>
      <c r="I1353" t="s">
        <v>43</v>
      </c>
      <c r="J1353" t="s">
        <v>19</v>
      </c>
      <c r="K1353" t="s">
        <v>73</v>
      </c>
      <c r="L1353" t="s">
        <v>34</v>
      </c>
      <c r="M1353">
        <v>25</v>
      </c>
      <c r="O1353">
        <v>0</v>
      </c>
      <c r="P1353" t="s">
        <v>22</v>
      </c>
      <c r="Q1353">
        <v>1034</v>
      </c>
      <c r="R1353" t="s">
        <v>53</v>
      </c>
      <c r="S1353">
        <f>IF(support_tickets[[#This Row],[status_cleaned]]="closed",1,0)</f>
        <v>0</v>
      </c>
      <c r="T1353" t="str">
        <f>TEXT(support_tickets[[#This Row],[opened_at]],"mmm yyyy")</f>
        <v>Dec 2025</v>
      </c>
      <c r="U1353">
        <f>YEAR(support_tickets[[#This Row],[opened_at]])*100+MONTH(support_tickets[[#This Row],[opened_at]])</f>
        <v>202512</v>
      </c>
      <c r="V1353" s="29">
        <f>DATE(YEAR(support_tickets[[#This Row],[opened_at]]),MONTH(support_tickets[[#This Row],[opened_at]]),1)</f>
        <v>45992</v>
      </c>
    </row>
    <row r="1354" spans="1:22">
      <c r="A1354">
        <v>7575233522</v>
      </c>
      <c r="B1354">
        <v>490102359</v>
      </c>
      <c r="C1354" t="s">
        <v>720</v>
      </c>
      <c r="D1354" t="s">
        <v>721</v>
      </c>
      <c r="E1354">
        <v>95320121</v>
      </c>
      <c r="F1354">
        <v>7671347646</v>
      </c>
      <c r="G1354" s="1">
        <v>45650.246435185189</v>
      </c>
      <c r="I1354" t="s">
        <v>46</v>
      </c>
      <c r="J1354" t="s">
        <v>30</v>
      </c>
      <c r="K1354" t="s">
        <v>73</v>
      </c>
      <c r="L1354" t="s">
        <v>34</v>
      </c>
      <c r="M1354">
        <v>27</v>
      </c>
      <c r="O1354">
        <v>0</v>
      </c>
      <c r="P1354" t="s">
        <v>31</v>
      </c>
      <c r="Q1354">
        <v>1121</v>
      </c>
      <c r="R1354" t="s">
        <v>53</v>
      </c>
      <c r="S1354">
        <f>IF(support_tickets[[#This Row],[status_cleaned]]="closed",1,0)</f>
        <v>0</v>
      </c>
      <c r="T1354" t="str">
        <f>TEXT(support_tickets[[#This Row],[opened_at]],"mmm yyyy")</f>
        <v>Dec 2024</v>
      </c>
      <c r="U1354">
        <f>YEAR(support_tickets[[#This Row],[opened_at]])*100+MONTH(support_tickets[[#This Row],[opened_at]])</f>
        <v>202412</v>
      </c>
      <c r="V1354" s="29">
        <f>DATE(YEAR(support_tickets[[#This Row],[opened_at]]),MONTH(support_tickets[[#This Row],[opened_at]]),1)</f>
        <v>45627</v>
      </c>
    </row>
    <row r="1355" spans="1:22">
      <c r="A1355">
        <v>7838770471</v>
      </c>
      <c r="B1355">
        <v>438868427</v>
      </c>
      <c r="C1355" t="s">
        <v>1058</v>
      </c>
      <c r="D1355" t="s">
        <v>1059</v>
      </c>
      <c r="E1355">
        <v>42329237</v>
      </c>
      <c r="G1355" s="1">
        <v>45863.458506944444</v>
      </c>
      <c r="I1355" t="s">
        <v>18</v>
      </c>
      <c r="J1355" t="s">
        <v>59</v>
      </c>
      <c r="K1355" t="s">
        <v>73</v>
      </c>
      <c r="L1355" t="s">
        <v>34</v>
      </c>
      <c r="M1355">
        <v>54</v>
      </c>
      <c r="O1355">
        <v>0</v>
      </c>
      <c r="P1355" t="s">
        <v>61</v>
      </c>
      <c r="Q1355">
        <v>1164</v>
      </c>
      <c r="R1355" t="s">
        <v>53</v>
      </c>
      <c r="S1355">
        <f>IF(support_tickets[[#This Row],[status_cleaned]]="closed",1,0)</f>
        <v>0</v>
      </c>
      <c r="T1355" t="str">
        <f>TEXT(support_tickets[[#This Row],[opened_at]],"mmm yyyy")</f>
        <v>Jul 2025</v>
      </c>
      <c r="U1355">
        <f>YEAR(support_tickets[[#This Row],[opened_at]])*100+MONTH(support_tickets[[#This Row],[opened_at]])</f>
        <v>202507</v>
      </c>
      <c r="V1355" s="29">
        <f>DATE(YEAR(support_tickets[[#This Row],[opened_at]]),MONTH(support_tickets[[#This Row],[opened_at]]),1)</f>
        <v>45839</v>
      </c>
    </row>
    <row r="1356" spans="1:22">
      <c r="A1356">
        <v>8460847069</v>
      </c>
      <c r="B1356">
        <v>240409084</v>
      </c>
      <c r="C1356" t="s">
        <v>970</v>
      </c>
      <c r="D1356" t="s">
        <v>971</v>
      </c>
      <c r="E1356">
        <v>49349722</v>
      </c>
      <c r="F1356">
        <v>2075819942</v>
      </c>
      <c r="G1356" s="1">
        <v>45428.400706018518</v>
      </c>
      <c r="H1356" s="1">
        <v>45428.509039351855</v>
      </c>
      <c r="I1356" t="s">
        <v>52</v>
      </c>
      <c r="J1356" t="s">
        <v>38</v>
      </c>
      <c r="K1356" t="s">
        <v>73</v>
      </c>
      <c r="L1356" t="s">
        <v>34</v>
      </c>
      <c r="M1356">
        <v>17</v>
      </c>
      <c r="N1356">
        <v>156</v>
      </c>
      <c r="O1356">
        <v>0</v>
      </c>
      <c r="P1356" t="s">
        <v>40</v>
      </c>
      <c r="Q1356">
        <v>1249</v>
      </c>
      <c r="R1356" t="s">
        <v>53</v>
      </c>
      <c r="S1356">
        <f>IF(support_tickets[[#This Row],[status_cleaned]]="closed",1,0)</f>
        <v>0</v>
      </c>
      <c r="T1356" t="str">
        <f>TEXT(support_tickets[[#This Row],[opened_at]],"mmm yyyy")</f>
        <v>May 2024</v>
      </c>
      <c r="U1356">
        <f>YEAR(support_tickets[[#This Row],[opened_at]])*100+MONTH(support_tickets[[#This Row],[opened_at]])</f>
        <v>202405</v>
      </c>
      <c r="V1356" s="29">
        <f>DATE(YEAR(support_tickets[[#This Row],[opened_at]]),MONTH(support_tickets[[#This Row],[opened_at]]),1)</f>
        <v>45413</v>
      </c>
    </row>
    <row r="1357" spans="1:22">
      <c r="A1357">
        <v>8999384161</v>
      </c>
      <c r="B1357">
        <v>719303396</v>
      </c>
      <c r="C1357" t="s">
        <v>744</v>
      </c>
      <c r="D1357" t="s">
        <v>745</v>
      </c>
      <c r="E1357">
        <v>16150444</v>
      </c>
      <c r="F1357">
        <v>1417984375</v>
      </c>
      <c r="G1357" s="1">
        <v>45511.949062500003</v>
      </c>
      <c r="I1357" t="s">
        <v>46</v>
      </c>
      <c r="J1357" t="s">
        <v>25</v>
      </c>
      <c r="K1357" t="s">
        <v>73</v>
      </c>
      <c r="L1357" t="s">
        <v>34</v>
      </c>
      <c r="M1357">
        <v>34</v>
      </c>
      <c r="O1357">
        <v>0</v>
      </c>
      <c r="P1357" t="s">
        <v>27</v>
      </c>
      <c r="Q1357">
        <v>1345</v>
      </c>
      <c r="R1357" t="s">
        <v>53</v>
      </c>
      <c r="S1357">
        <f>IF(support_tickets[[#This Row],[status_cleaned]]="closed",1,0)</f>
        <v>0</v>
      </c>
      <c r="T1357" t="str">
        <f>TEXT(support_tickets[[#This Row],[opened_at]],"mmm yyyy")</f>
        <v>Aug 2024</v>
      </c>
      <c r="U1357">
        <f>YEAR(support_tickets[[#This Row],[opened_at]])*100+MONTH(support_tickets[[#This Row],[opened_at]])</f>
        <v>202408</v>
      </c>
      <c r="V1357" s="29">
        <f>DATE(YEAR(support_tickets[[#This Row],[opened_at]]),MONTH(support_tickets[[#This Row],[opened_at]]),1)</f>
        <v>45505</v>
      </c>
    </row>
    <row r="1358" spans="1:22">
      <c r="A1358">
        <v>9067968378</v>
      </c>
      <c r="B1358">
        <v>618558050</v>
      </c>
      <c r="C1358" t="s">
        <v>958</v>
      </c>
      <c r="D1358" t="s">
        <v>959</v>
      </c>
      <c r="E1358">
        <v>16323852</v>
      </c>
      <c r="G1358" s="1">
        <v>45491.024039351854</v>
      </c>
      <c r="I1358" t="s">
        <v>37</v>
      </c>
      <c r="J1358" t="s">
        <v>25</v>
      </c>
      <c r="K1358" t="s">
        <v>73</v>
      </c>
      <c r="L1358" t="s">
        <v>34</v>
      </c>
      <c r="M1358">
        <v>43</v>
      </c>
      <c r="O1358">
        <v>0</v>
      </c>
      <c r="P1358" t="s">
        <v>27</v>
      </c>
      <c r="Q1358">
        <v>1361</v>
      </c>
      <c r="R1358" t="s">
        <v>53</v>
      </c>
      <c r="S1358">
        <f>IF(support_tickets[[#This Row],[status_cleaned]]="closed",1,0)</f>
        <v>0</v>
      </c>
      <c r="T1358" t="str">
        <f>TEXT(support_tickets[[#This Row],[opened_at]],"mmm yyyy")</f>
        <v>Jul 2024</v>
      </c>
      <c r="U1358">
        <f>YEAR(support_tickets[[#This Row],[opened_at]])*100+MONTH(support_tickets[[#This Row],[opened_at]])</f>
        <v>202407</v>
      </c>
      <c r="V1358" s="29">
        <f>DATE(YEAR(support_tickets[[#This Row],[opened_at]]),MONTH(support_tickets[[#This Row],[opened_at]]),1)</f>
        <v>45474</v>
      </c>
    </row>
    <row r="1359" spans="1:22">
      <c r="A1359">
        <v>9120421307</v>
      </c>
      <c r="B1359">
        <v>356805216</v>
      </c>
      <c r="C1359" t="s">
        <v>538</v>
      </c>
      <c r="D1359" t="s">
        <v>539</v>
      </c>
      <c r="E1359">
        <v>31931511</v>
      </c>
      <c r="G1359" s="1">
        <v>46010.813773148147</v>
      </c>
      <c r="I1359" t="s">
        <v>46</v>
      </c>
      <c r="J1359" t="s">
        <v>59</v>
      </c>
      <c r="K1359" t="s">
        <v>73</v>
      </c>
      <c r="L1359" t="s">
        <v>34</v>
      </c>
      <c r="M1359">
        <v>21</v>
      </c>
      <c r="O1359">
        <v>0</v>
      </c>
      <c r="P1359" t="s">
        <v>61</v>
      </c>
      <c r="Q1359">
        <v>1372</v>
      </c>
      <c r="R1359" t="s">
        <v>53</v>
      </c>
      <c r="S1359">
        <f>IF(support_tickets[[#This Row],[status_cleaned]]="closed",1,0)</f>
        <v>0</v>
      </c>
      <c r="T1359" t="str">
        <f>TEXT(support_tickets[[#This Row],[opened_at]],"mmm yyyy")</f>
        <v>Dec 2025</v>
      </c>
      <c r="U1359">
        <f>YEAR(support_tickets[[#This Row],[opened_at]])*100+MONTH(support_tickets[[#This Row],[opened_at]])</f>
        <v>202512</v>
      </c>
      <c r="V1359" s="29">
        <f>DATE(YEAR(support_tickets[[#This Row],[opened_at]]),MONTH(support_tickets[[#This Row],[opened_at]]),1)</f>
        <v>45992</v>
      </c>
    </row>
    <row r="1360" spans="1:22">
      <c r="A1360">
        <v>9418286260</v>
      </c>
      <c r="B1360">
        <v>856881618</v>
      </c>
      <c r="C1360" t="s">
        <v>906</v>
      </c>
      <c r="D1360" t="s">
        <v>907</v>
      </c>
      <c r="E1360">
        <v>88320463</v>
      </c>
      <c r="G1360" s="1">
        <v>45596.784189814818</v>
      </c>
      <c r="I1360" t="s">
        <v>56</v>
      </c>
      <c r="J1360" t="s">
        <v>59</v>
      </c>
      <c r="K1360" t="s">
        <v>73</v>
      </c>
      <c r="L1360" t="s">
        <v>34</v>
      </c>
      <c r="M1360">
        <v>81</v>
      </c>
      <c r="O1360">
        <v>0</v>
      </c>
      <c r="P1360" t="s">
        <v>61</v>
      </c>
      <c r="Q1360">
        <v>1421</v>
      </c>
      <c r="R1360" t="s">
        <v>53</v>
      </c>
      <c r="S1360">
        <f>IF(support_tickets[[#This Row],[status_cleaned]]="closed",1,0)</f>
        <v>0</v>
      </c>
      <c r="T1360" t="str">
        <f>TEXT(support_tickets[[#This Row],[opened_at]],"mmm yyyy")</f>
        <v>Oct 2024</v>
      </c>
      <c r="U1360">
        <f>YEAR(support_tickets[[#This Row],[opened_at]])*100+MONTH(support_tickets[[#This Row],[opened_at]])</f>
        <v>202410</v>
      </c>
      <c r="V1360" s="29">
        <f>DATE(YEAR(support_tickets[[#This Row],[opened_at]]),MONTH(support_tickets[[#This Row],[opened_at]]),1)</f>
        <v>45566</v>
      </c>
    </row>
    <row r="1361" spans="1:22">
      <c r="A1361">
        <v>9550314643</v>
      </c>
      <c r="B1361">
        <v>495521185</v>
      </c>
      <c r="C1361" t="s">
        <v>1202</v>
      </c>
      <c r="D1361" t="s">
        <v>1203</v>
      </c>
      <c r="E1361">
        <v>61220073</v>
      </c>
      <c r="G1361" s="1">
        <v>46047.950162037036</v>
      </c>
      <c r="H1361" s="1">
        <v>46048.612662037034</v>
      </c>
      <c r="I1361" t="s">
        <v>18</v>
      </c>
      <c r="J1361" t="s">
        <v>30</v>
      </c>
      <c r="K1361" t="s">
        <v>73</v>
      </c>
      <c r="L1361" t="s">
        <v>34</v>
      </c>
      <c r="M1361">
        <v>54</v>
      </c>
      <c r="N1361">
        <v>954</v>
      </c>
      <c r="O1361">
        <v>0</v>
      </c>
      <c r="P1361" t="s">
        <v>31</v>
      </c>
      <c r="Q1361">
        <v>1438</v>
      </c>
      <c r="R1361" t="s">
        <v>53</v>
      </c>
      <c r="S1361">
        <f>IF(support_tickets[[#This Row],[status_cleaned]]="closed",1,0)</f>
        <v>0</v>
      </c>
      <c r="T1361" t="str">
        <f>TEXT(support_tickets[[#This Row],[opened_at]],"mmm yyyy")</f>
        <v>Jan 2026</v>
      </c>
      <c r="U1361">
        <f>YEAR(support_tickets[[#This Row],[opened_at]])*100+MONTH(support_tickets[[#This Row],[opened_at]])</f>
        <v>202601</v>
      </c>
      <c r="V1361" s="29">
        <f>DATE(YEAR(support_tickets[[#This Row],[opened_at]]),MONTH(support_tickets[[#This Row],[opened_at]]),1)</f>
        <v>46023</v>
      </c>
    </row>
    <row r="1362" spans="1:22">
      <c r="A1362">
        <v>9928819570</v>
      </c>
      <c r="B1362">
        <v>417440983</v>
      </c>
      <c r="C1362" t="s">
        <v>1116</v>
      </c>
      <c r="D1362" t="s">
        <v>1117</v>
      </c>
      <c r="E1362">
        <v>77187530</v>
      </c>
      <c r="G1362" s="1">
        <v>45762.567511574074</v>
      </c>
      <c r="I1362" t="s">
        <v>46</v>
      </c>
      <c r="J1362" t="s">
        <v>59</v>
      </c>
      <c r="K1362" t="s">
        <v>73</v>
      </c>
      <c r="L1362" t="s">
        <v>34</v>
      </c>
      <c r="M1362">
        <v>55</v>
      </c>
      <c r="O1362">
        <v>0</v>
      </c>
      <c r="P1362" t="s">
        <v>61</v>
      </c>
      <c r="Q1362">
        <v>1493</v>
      </c>
      <c r="R1362" t="s">
        <v>53</v>
      </c>
      <c r="S1362">
        <f>IF(support_tickets[[#This Row],[status_cleaned]]="closed",1,0)</f>
        <v>0</v>
      </c>
      <c r="T1362" t="str">
        <f>TEXT(support_tickets[[#This Row],[opened_at]],"mmm yyyy")</f>
        <v>Apr 2025</v>
      </c>
      <c r="U1362">
        <f>YEAR(support_tickets[[#This Row],[opened_at]])*100+MONTH(support_tickets[[#This Row],[opened_at]])</f>
        <v>202504</v>
      </c>
      <c r="V1362" s="29">
        <f>DATE(YEAR(support_tickets[[#This Row],[opened_at]]),MONTH(support_tickets[[#This Row],[opened_at]]),1)</f>
        <v>45748</v>
      </c>
    </row>
    <row r="1363" spans="1:22">
      <c r="A1363">
        <v>1173720701</v>
      </c>
      <c r="B1363">
        <v>329766590</v>
      </c>
      <c r="C1363" t="s">
        <v>106</v>
      </c>
      <c r="D1363" t="s">
        <v>107</v>
      </c>
      <c r="E1363">
        <v>51273847</v>
      </c>
      <c r="G1363" s="1">
        <v>45450.103333333333</v>
      </c>
      <c r="I1363" t="s">
        <v>37</v>
      </c>
      <c r="J1363" t="s">
        <v>30</v>
      </c>
      <c r="K1363" t="s">
        <v>73</v>
      </c>
      <c r="L1363" t="s">
        <v>53</v>
      </c>
      <c r="M1363">
        <v>55</v>
      </c>
      <c r="O1363">
        <v>1</v>
      </c>
      <c r="P1363" t="s">
        <v>31</v>
      </c>
      <c r="Q1363">
        <v>32</v>
      </c>
      <c r="R1363" t="s">
        <v>53</v>
      </c>
      <c r="S1363">
        <f>IF(support_tickets[[#This Row],[status_cleaned]]="closed",1,0)</f>
        <v>0</v>
      </c>
      <c r="T1363" t="str">
        <f>TEXT(support_tickets[[#This Row],[opened_at]],"mmm yyyy")</f>
        <v>Jun 2024</v>
      </c>
      <c r="U1363">
        <f>YEAR(support_tickets[[#This Row],[opened_at]])*100+MONTH(support_tickets[[#This Row],[opened_at]])</f>
        <v>202406</v>
      </c>
      <c r="V1363" s="29">
        <f>DATE(YEAR(support_tickets[[#This Row],[opened_at]]),MONTH(support_tickets[[#This Row],[opened_at]]),1)</f>
        <v>45444</v>
      </c>
    </row>
    <row r="1364" spans="1:22">
      <c r="A1364">
        <v>1220512797</v>
      </c>
      <c r="B1364">
        <v>919395339</v>
      </c>
      <c r="C1364" t="s">
        <v>126</v>
      </c>
      <c r="D1364" t="s">
        <v>127</v>
      </c>
      <c r="E1364">
        <v>13561597</v>
      </c>
      <c r="G1364" s="1">
        <v>45414.679513888892</v>
      </c>
      <c r="I1364" t="s">
        <v>56</v>
      </c>
      <c r="J1364" t="s">
        <v>25</v>
      </c>
      <c r="K1364" t="s">
        <v>73</v>
      </c>
      <c r="L1364" t="s">
        <v>53</v>
      </c>
      <c r="M1364">
        <v>11</v>
      </c>
      <c r="O1364">
        <v>1</v>
      </c>
      <c r="P1364" t="s">
        <v>27</v>
      </c>
      <c r="Q1364">
        <v>42</v>
      </c>
      <c r="R1364" t="s">
        <v>53</v>
      </c>
      <c r="S1364">
        <f>IF(support_tickets[[#This Row],[status_cleaned]]="closed",1,0)</f>
        <v>0</v>
      </c>
      <c r="T1364" t="str">
        <f>TEXT(support_tickets[[#This Row],[opened_at]],"mmm yyyy")</f>
        <v>May 2024</v>
      </c>
      <c r="U1364">
        <f>YEAR(support_tickets[[#This Row],[opened_at]])*100+MONTH(support_tickets[[#This Row],[opened_at]])</f>
        <v>202405</v>
      </c>
      <c r="V1364" s="29">
        <f>DATE(YEAR(support_tickets[[#This Row],[opened_at]]),MONTH(support_tickets[[#This Row],[opened_at]]),1)</f>
        <v>45413</v>
      </c>
    </row>
    <row r="1365" spans="1:22">
      <c r="A1365">
        <v>1506395539</v>
      </c>
      <c r="B1365">
        <v>936597989</v>
      </c>
      <c r="C1365" t="s">
        <v>32</v>
      </c>
      <c r="D1365" t="s">
        <v>33</v>
      </c>
      <c r="E1365">
        <v>32969840</v>
      </c>
      <c r="F1365">
        <v>6768680689</v>
      </c>
      <c r="G1365" s="1">
        <v>45520.125358796293</v>
      </c>
      <c r="I1365" t="s">
        <v>18</v>
      </c>
      <c r="J1365" t="s">
        <v>30</v>
      </c>
      <c r="K1365" t="s">
        <v>73</v>
      </c>
      <c r="L1365" t="s">
        <v>53</v>
      </c>
      <c r="M1365">
        <v>9</v>
      </c>
      <c r="O1365">
        <v>1</v>
      </c>
      <c r="P1365" t="s">
        <v>31</v>
      </c>
      <c r="Q1365">
        <v>86</v>
      </c>
      <c r="R1365" t="s">
        <v>53</v>
      </c>
      <c r="S1365">
        <f>IF(support_tickets[[#This Row],[status_cleaned]]="closed",1,0)</f>
        <v>0</v>
      </c>
      <c r="T1365" t="str">
        <f>TEXT(support_tickets[[#This Row],[opened_at]],"mmm yyyy")</f>
        <v>Aug 2024</v>
      </c>
      <c r="U1365">
        <f>YEAR(support_tickets[[#This Row],[opened_at]])*100+MONTH(support_tickets[[#This Row],[opened_at]])</f>
        <v>202408</v>
      </c>
      <c r="V1365" s="29">
        <f>DATE(YEAR(support_tickets[[#This Row],[opened_at]]),MONTH(support_tickets[[#This Row],[opened_at]]),1)</f>
        <v>45505</v>
      </c>
    </row>
    <row r="1366" spans="1:22">
      <c r="A1366">
        <v>1914201261</v>
      </c>
      <c r="B1366">
        <v>256819248</v>
      </c>
      <c r="C1366" t="s">
        <v>362</v>
      </c>
      <c r="D1366" t="s">
        <v>363</v>
      </c>
      <c r="E1366">
        <v>84752529</v>
      </c>
      <c r="G1366" s="1">
        <v>45521.224675925929</v>
      </c>
      <c r="I1366" t="s">
        <v>56</v>
      </c>
      <c r="J1366" t="s">
        <v>19</v>
      </c>
      <c r="K1366" t="s">
        <v>73</v>
      </c>
      <c r="L1366" t="s">
        <v>53</v>
      </c>
      <c r="M1366">
        <v>46</v>
      </c>
      <c r="O1366">
        <v>1</v>
      </c>
      <c r="P1366" t="s">
        <v>22</v>
      </c>
      <c r="Q1366">
        <v>180</v>
      </c>
      <c r="R1366" t="s">
        <v>53</v>
      </c>
      <c r="S1366">
        <f>IF(support_tickets[[#This Row],[status_cleaned]]="closed",1,0)</f>
        <v>0</v>
      </c>
      <c r="T1366" t="str">
        <f>TEXT(support_tickets[[#This Row],[opened_at]],"mmm yyyy")</f>
        <v>Aug 2024</v>
      </c>
      <c r="U1366">
        <f>YEAR(support_tickets[[#This Row],[opened_at]])*100+MONTH(support_tickets[[#This Row],[opened_at]])</f>
        <v>202408</v>
      </c>
      <c r="V1366" s="29">
        <f>DATE(YEAR(support_tickets[[#This Row],[opened_at]]),MONTH(support_tickets[[#This Row],[opened_at]]),1)</f>
        <v>45505</v>
      </c>
    </row>
    <row r="1367" spans="1:22">
      <c r="A1367">
        <v>1934523126</v>
      </c>
      <c r="B1367">
        <v>183862154</v>
      </c>
      <c r="C1367" t="s">
        <v>370</v>
      </c>
      <c r="D1367" t="s">
        <v>371</v>
      </c>
      <c r="E1367">
        <v>46913810</v>
      </c>
      <c r="G1367" s="1">
        <v>45762.413171296299</v>
      </c>
      <c r="I1367" t="s">
        <v>37</v>
      </c>
      <c r="J1367" t="s">
        <v>30</v>
      </c>
      <c r="K1367" t="s">
        <v>73</v>
      </c>
      <c r="L1367" t="s">
        <v>53</v>
      </c>
      <c r="M1367">
        <v>31</v>
      </c>
      <c r="O1367">
        <v>1</v>
      </c>
      <c r="P1367" t="s">
        <v>31</v>
      </c>
      <c r="Q1367">
        <v>185</v>
      </c>
      <c r="R1367" t="s">
        <v>53</v>
      </c>
      <c r="S1367">
        <f>IF(support_tickets[[#This Row],[status_cleaned]]="closed",1,0)</f>
        <v>0</v>
      </c>
      <c r="T1367" t="str">
        <f>TEXT(support_tickets[[#This Row],[opened_at]],"mmm yyyy")</f>
        <v>Apr 2025</v>
      </c>
      <c r="U1367">
        <f>YEAR(support_tickets[[#This Row],[opened_at]])*100+MONTH(support_tickets[[#This Row],[opened_at]])</f>
        <v>202504</v>
      </c>
      <c r="V1367" s="29">
        <f>DATE(YEAR(support_tickets[[#This Row],[opened_at]]),MONTH(support_tickets[[#This Row],[opened_at]]),1)</f>
        <v>45748</v>
      </c>
    </row>
    <row r="1368" spans="1:22">
      <c r="A1368">
        <v>2057894517</v>
      </c>
      <c r="B1368">
        <v>873773537</v>
      </c>
      <c r="C1368" t="s">
        <v>404</v>
      </c>
      <c r="D1368" t="s">
        <v>405</v>
      </c>
      <c r="E1368">
        <v>66306997</v>
      </c>
      <c r="F1368">
        <v>8307190146</v>
      </c>
      <c r="G1368" s="1">
        <v>45673.727361111109</v>
      </c>
      <c r="I1368" t="s">
        <v>56</v>
      </c>
      <c r="J1368" t="s">
        <v>25</v>
      </c>
      <c r="K1368" t="s">
        <v>73</v>
      </c>
      <c r="L1368" t="s">
        <v>53</v>
      </c>
      <c r="M1368">
        <v>21</v>
      </c>
      <c r="O1368">
        <v>1</v>
      </c>
      <c r="P1368" t="s">
        <v>27</v>
      </c>
      <c r="Q1368">
        <v>204</v>
      </c>
      <c r="R1368" t="s">
        <v>53</v>
      </c>
      <c r="S1368">
        <f>IF(support_tickets[[#This Row],[status_cleaned]]="closed",1,0)</f>
        <v>0</v>
      </c>
      <c r="T1368" t="str">
        <f>TEXT(support_tickets[[#This Row],[opened_at]],"mmm yyyy")</f>
        <v>Jan 2025</v>
      </c>
      <c r="U1368">
        <f>YEAR(support_tickets[[#This Row],[opened_at]])*100+MONTH(support_tickets[[#This Row],[opened_at]])</f>
        <v>202501</v>
      </c>
      <c r="V1368" s="29">
        <f>DATE(YEAR(support_tickets[[#This Row],[opened_at]]),MONTH(support_tickets[[#This Row],[opened_at]]),1)</f>
        <v>45658</v>
      </c>
    </row>
    <row r="1369" spans="1:22">
      <c r="A1369">
        <v>2530212365</v>
      </c>
      <c r="B1369">
        <v>612656440</v>
      </c>
      <c r="C1369" t="s">
        <v>514</v>
      </c>
      <c r="D1369" t="s">
        <v>515</v>
      </c>
      <c r="E1369">
        <v>82070937</v>
      </c>
      <c r="G1369" s="1">
        <v>45950.80940972222</v>
      </c>
      <c r="I1369" t="s">
        <v>43</v>
      </c>
      <c r="J1369" t="s">
        <v>19</v>
      </c>
      <c r="K1369" t="s">
        <v>73</v>
      </c>
      <c r="L1369" t="s">
        <v>53</v>
      </c>
      <c r="M1369">
        <v>38</v>
      </c>
      <c r="O1369">
        <v>1</v>
      </c>
      <c r="P1369" t="s">
        <v>22</v>
      </c>
      <c r="Q1369">
        <v>278</v>
      </c>
      <c r="R1369" t="s">
        <v>53</v>
      </c>
      <c r="S1369">
        <f>IF(support_tickets[[#This Row],[status_cleaned]]="closed",1,0)</f>
        <v>0</v>
      </c>
      <c r="T1369" t="str">
        <f>TEXT(support_tickets[[#This Row],[opened_at]],"mmm yyyy")</f>
        <v>Oct 2025</v>
      </c>
      <c r="U1369">
        <f>YEAR(support_tickets[[#This Row],[opened_at]])*100+MONTH(support_tickets[[#This Row],[opened_at]])</f>
        <v>202510</v>
      </c>
      <c r="V1369" s="29">
        <f>DATE(YEAR(support_tickets[[#This Row],[opened_at]]),MONTH(support_tickets[[#This Row],[opened_at]]),1)</f>
        <v>45931</v>
      </c>
    </row>
    <row r="1370" spans="1:22">
      <c r="A1370">
        <v>2811856663</v>
      </c>
      <c r="B1370">
        <v>298407302</v>
      </c>
      <c r="C1370" t="s">
        <v>568</v>
      </c>
      <c r="D1370" t="s">
        <v>569</v>
      </c>
      <c r="E1370">
        <v>61019678</v>
      </c>
      <c r="F1370">
        <v>8572011492</v>
      </c>
      <c r="G1370" s="1">
        <v>45849.623333333337</v>
      </c>
      <c r="I1370" t="s">
        <v>18</v>
      </c>
      <c r="J1370" t="s">
        <v>25</v>
      </c>
      <c r="K1370" t="s">
        <v>73</v>
      </c>
      <c r="L1370" t="s">
        <v>53</v>
      </c>
      <c r="M1370">
        <v>69</v>
      </c>
      <c r="O1370">
        <v>1</v>
      </c>
      <c r="P1370" t="s">
        <v>27</v>
      </c>
      <c r="Q1370">
        <v>325</v>
      </c>
      <c r="R1370" t="s">
        <v>53</v>
      </c>
      <c r="S1370">
        <f>IF(support_tickets[[#This Row],[status_cleaned]]="closed",1,0)</f>
        <v>0</v>
      </c>
      <c r="T1370" t="str">
        <f>TEXT(support_tickets[[#This Row],[opened_at]],"mmm yyyy")</f>
        <v>Jul 2025</v>
      </c>
      <c r="U1370">
        <f>YEAR(support_tickets[[#This Row],[opened_at]])*100+MONTH(support_tickets[[#This Row],[opened_at]])</f>
        <v>202507</v>
      </c>
      <c r="V1370" s="29">
        <f>DATE(YEAR(support_tickets[[#This Row],[opened_at]]),MONTH(support_tickets[[#This Row],[opened_at]]),1)</f>
        <v>45839</v>
      </c>
    </row>
    <row r="1371" spans="1:22">
      <c r="A1371">
        <v>2834877455</v>
      </c>
      <c r="B1371">
        <v>749762955</v>
      </c>
      <c r="C1371" t="s">
        <v>44</v>
      </c>
      <c r="D1371" t="s">
        <v>45</v>
      </c>
      <c r="E1371">
        <v>70897765</v>
      </c>
      <c r="F1371">
        <v>3360277484</v>
      </c>
      <c r="G1371" s="1">
        <v>45558.41306712963</v>
      </c>
      <c r="I1371" t="s">
        <v>3</v>
      </c>
      <c r="J1371" t="s">
        <v>59</v>
      </c>
      <c r="K1371" t="s">
        <v>73</v>
      </c>
      <c r="L1371" t="s">
        <v>53</v>
      </c>
      <c r="M1371">
        <v>31</v>
      </c>
      <c r="O1371">
        <v>1</v>
      </c>
      <c r="P1371" t="s">
        <v>61</v>
      </c>
      <c r="Q1371">
        <v>329</v>
      </c>
      <c r="R1371" t="s">
        <v>53</v>
      </c>
      <c r="S1371">
        <f>IF(support_tickets[[#This Row],[status_cleaned]]="closed",1,0)</f>
        <v>0</v>
      </c>
      <c r="T1371" t="str">
        <f>TEXT(support_tickets[[#This Row],[opened_at]],"mmm yyyy")</f>
        <v>Sep 2024</v>
      </c>
      <c r="U1371">
        <f>YEAR(support_tickets[[#This Row],[opened_at]])*100+MONTH(support_tickets[[#This Row],[opened_at]])</f>
        <v>202409</v>
      </c>
      <c r="V1371" s="29">
        <f>DATE(YEAR(support_tickets[[#This Row],[opened_at]]),MONTH(support_tickets[[#This Row],[opened_at]]),1)</f>
        <v>45536</v>
      </c>
    </row>
    <row r="1372" spans="1:22">
      <c r="A1372">
        <v>2930618401</v>
      </c>
      <c r="B1372">
        <v>151270577</v>
      </c>
      <c r="C1372" t="s">
        <v>606</v>
      </c>
      <c r="D1372" t="s">
        <v>607</v>
      </c>
      <c r="E1372">
        <v>70291817</v>
      </c>
      <c r="G1372" s="1">
        <v>45809.254803240743</v>
      </c>
      <c r="I1372" t="s">
        <v>46</v>
      </c>
      <c r="J1372" t="s">
        <v>86</v>
      </c>
      <c r="K1372" t="s">
        <v>73</v>
      </c>
      <c r="L1372" t="s">
        <v>53</v>
      </c>
      <c r="M1372">
        <v>35</v>
      </c>
      <c r="O1372">
        <v>1</v>
      </c>
      <c r="P1372" t="s">
        <v>87</v>
      </c>
      <c r="Q1372">
        <v>344</v>
      </c>
      <c r="R1372" t="s">
        <v>53</v>
      </c>
      <c r="S1372">
        <f>IF(support_tickets[[#This Row],[status_cleaned]]="closed",1,0)</f>
        <v>0</v>
      </c>
      <c r="T1372" t="str">
        <f>TEXT(support_tickets[[#This Row],[opened_at]],"mmm yyyy")</f>
        <v>Jun 2025</v>
      </c>
      <c r="U1372">
        <f>YEAR(support_tickets[[#This Row],[opened_at]])*100+MONTH(support_tickets[[#This Row],[opened_at]])</f>
        <v>202506</v>
      </c>
      <c r="V1372" s="29">
        <f>DATE(YEAR(support_tickets[[#This Row],[opened_at]]),MONTH(support_tickets[[#This Row],[opened_at]]),1)</f>
        <v>45809</v>
      </c>
    </row>
    <row r="1373" spans="1:22">
      <c r="A1373">
        <v>2984461015</v>
      </c>
      <c r="B1373">
        <v>756007396</v>
      </c>
      <c r="C1373" t="s">
        <v>560</v>
      </c>
      <c r="D1373" t="s">
        <v>561</v>
      </c>
      <c r="E1373">
        <v>28566572</v>
      </c>
      <c r="G1373" s="1">
        <v>45488.381157407406</v>
      </c>
      <c r="I1373" t="s">
        <v>46</v>
      </c>
      <c r="J1373" t="s">
        <v>59</v>
      </c>
      <c r="K1373" t="s">
        <v>73</v>
      </c>
      <c r="L1373" t="s">
        <v>53</v>
      </c>
      <c r="M1373">
        <v>56</v>
      </c>
      <c r="O1373">
        <v>1</v>
      </c>
      <c r="P1373" t="s">
        <v>61</v>
      </c>
      <c r="Q1373">
        <v>359</v>
      </c>
      <c r="R1373" t="s">
        <v>53</v>
      </c>
      <c r="S1373">
        <f>IF(support_tickets[[#This Row],[status_cleaned]]="closed",1,0)</f>
        <v>0</v>
      </c>
      <c r="T1373" t="str">
        <f>TEXT(support_tickets[[#This Row],[opened_at]],"mmm yyyy")</f>
        <v>Jul 2024</v>
      </c>
      <c r="U1373">
        <f>YEAR(support_tickets[[#This Row],[opened_at]])*100+MONTH(support_tickets[[#This Row],[opened_at]])</f>
        <v>202407</v>
      </c>
      <c r="V1373" s="29">
        <f>DATE(YEAR(support_tickets[[#This Row],[opened_at]]),MONTH(support_tickets[[#This Row],[opened_at]]),1)</f>
        <v>45474</v>
      </c>
    </row>
    <row r="1374" spans="1:22">
      <c r="A1374">
        <v>3416445192</v>
      </c>
      <c r="B1374">
        <v>702247585</v>
      </c>
      <c r="C1374" t="s">
        <v>734</v>
      </c>
      <c r="D1374" t="s">
        <v>735</v>
      </c>
      <c r="E1374">
        <v>35808537</v>
      </c>
      <c r="F1374">
        <v>7467381113</v>
      </c>
      <c r="G1374" s="1">
        <v>46029.865868055553</v>
      </c>
      <c r="I1374" t="s">
        <v>52</v>
      </c>
      <c r="J1374" t="s">
        <v>30</v>
      </c>
      <c r="K1374" t="s">
        <v>73</v>
      </c>
      <c r="L1374" t="s">
        <v>53</v>
      </c>
      <c r="M1374">
        <v>57</v>
      </c>
      <c r="O1374">
        <v>1</v>
      </c>
      <c r="P1374" t="s">
        <v>31</v>
      </c>
      <c r="Q1374">
        <v>435</v>
      </c>
      <c r="R1374" t="s">
        <v>53</v>
      </c>
      <c r="S1374">
        <f>IF(support_tickets[[#This Row],[status_cleaned]]="closed",1,0)</f>
        <v>0</v>
      </c>
      <c r="T1374" t="str">
        <f>TEXT(support_tickets[[#This Row],[opened_at]],"mmm yyyy")</f>
        <v>Jan 2026</v>
      </c>
      <c r="U1374">
        <f>YEAR(support_tickets[[#This Row],[opened_at]])*100+MONTH(support_tickets[[#This Row],[opened_at]])</f>
        <v>202601</v>
      </c>
      <c r="V1374" s="29">
        <f>DATE(YEAR(support_tickets[[#This Row],[opened_at]]),MONTH(support_tickets[[#This Row],[opened_at]]),1)</f>
        <v>46023</v>
      </c>
    </row>
    <row r="1375" spans="1:22">
      <c r="A1375">
        <v>3569525340</v>
      </c>
      <c r="B1375">
        <v>128222260</v>
      </c>
      <c r="C1375" t="s">
        <v>766</v>
      </c>
      <c r="D1375" t="s">
        <v>767</v>
      </c>
      <c r="E1375">
        <v>24942603</v>
      </c>
      <c r="G1375" s="1">
        <v>45665.273854166669</v>
      </c>
      <c r="I1375" t="s">
        <v>52</v>
      </c>
      <c r="J1375" t="s">
        <v>86</v>
      </c>
      <c r="K1375" t="s">
        <v>73</v>
      </c>
      <c r="L1375" t="s">
        <v>53</v>
      </c>
      <c r="M1375">
        <v>66</v>
      </c>
      <c r="O1375">
        <v>1</v>
      </c>
      <c r="P1375" t="s">
        <v>87</v>
      </c>
      <c r="Q1375">
        <v>460</v>
      </c>
      <c r="R1375" t="s">
        <v>53</v>
      </c>
      <c r="S1375">
        <f>IF(support_tickets[[#This Row],[status_cleaned]]="closed",1,0)</f>
        <v>0</v>
      </c>
      <c r="T1375" t="str">
        <f>TEXT(support_tickets[[#This Row],[opened_at]],"mmm yyyy")</f>
        <v>Jan 2025</v>
      </c>
      <c r="U1375">
        <f>YEAR(support_tickets[[#This Row],[opened_at]])*100+MONTH(support_tickets[[#This Row],[opened_at]])</f>
        <v>202501</v>
      </c>
      <c r="V1375" s="29">
        <f>DATE(YEAR(support_tickets[[#This Row],[opened_at]]),MONTH(support_tickets[[#This Row],[opened_at]]),1)</f>
        <v>45658</v>
      </c>
    </row>
    <row r="1376" spans="1:22">
      <c r="A1376">
        <v>3827858163</v>
      </c>
      <c r="B1376">
        <v>262598077</v>
      </c>
      <c r="C1376" t="s">
        <v>818</v>
      </c>
      <c r="D1376" t="s">
        <v>819</v>
      </c>
      <c r="E1376">
        <v>40587988</v>
      </c>
      <c r="G1376" s="1">
        <v>45690.690636574072</v>
      </c>
      <c r="I1376" t="s">
        <v>37</v>
      </c>
      <c r="J1376" t="s">
        <v>59</v>
      </c>
      <c r="K1376" t="s">
        <v>73</v>
      </c>
      <c r="L1376" t="s">
        <v>53</v>
      </c>
      <c r="M1376">
        <v>15</v>
      </c>
      <c r="O1376">
        <v>1</v>
      </c>
      <c r="P1376" t="s">
        <v>61</v>
      </c>
      <c r="Q1376">
        <v>503</v>
      </c>
      <c r="R1376" t="s">
        <v>53</v>
      </c>
      <c r="S1376">
        <f>IF(support_tickets[[#This Row],[status_cleaned]]="closed",1,0)</f>
        <v>0</v>
      </c>
      <c r="T1376" t="str">
        <f>TEXT(support_tickets[[#This Row],[opened_at]],"mmm yyyy")</f>
        <v>Feb 2025</v>
      </c>
      <c r="U1376">
        <f>YEAR(support_tickets[[#This Row],[opened_at]])*100+MONTH(support_tickets[[#This Row],[opened_at]])</f>
        <v>202502</v>
      </c>
      <c r="V1376" s="29">
        <f>DATE(YEAR(support_tickets[[#This Row],[opened_at]]),MONTH(support_tickets[[#This Row],[opened_at]]),1)</f>
        <v>45689</v>
      </c>
    </row>
    <row r="1377" spans="1:22">
      <c r="A1377">
        <v>4212617255</v>
      </c>
      <c r="B1377">
        <v>861003571</v>
      </c>
      <c r="C1377" t="s">
        <v>242</v>
      </c>
      <c r="D1377" t="s">
        <v>243</v>
      </c>
      <c r="E1377">
        <v>36687537</v>
      </c>
      <c r="F1377">
        <v>5916093622</v>
      </c>
      <c r="G1377" s="1">
        <v>45377.009745370371</v>
      </c>
      <c r="I1377" t="s">
        <v>37</v>
      </c>
      <c r="J1377" t="s">
        <v>25</v>
      </c>
      <c r="K1377" t="s">
        <v>73</v>
      </c>
      <c r="L1377" t="s">
        <v>53</v>
      </c>
      <c r="M1377">
        <v>66</v>
      </c>
      <c r="O1377">
        <v>1</v>
      </c>
      <c r="P1377" t="s">
        <v>27</v>
      </c>
      <c r="Q1377">
        <v>552</v>
      </c>
      <c r="R1377" t="s">
        <v>53</v>
      </c>
      <c r="S1377">
        <f>IF(support_tickets[[#This Row],[status_cleaned]]="closed",1,0)</f>
        <v>0</v>
      </c>
      <c r="T1377" t="str">
        <f>TEXT(support_tickets[[#This Row],[opened_at]],"mmm yyyy")</f>
        <v>Mar 2024</v>
      </c>
      <c r="U1377">
        <f>YEAR(support_tickets[[#This Row],[opened_at]])*100+MONTH(support_tickets[[#This Row],[opened_at]])</f>
        <v>202403</v>
      </c>
      <c r="V1377" s="29">
        <f>DATE(YEAR(support_tickets[[#This Row],[opened_at]]),MONTH(support_tickets[[#This Row],[opened_at]]),1)</f>
        <v>45352</v>
      </c>
    </row>
    <row r="1378" spans="1:22">
      <c r="A1378">
        <v>5238555624</v>
      </c>
      <c r="B1378">
        <v>258214411</v>
      </c>
      <c r="C1378" t="s">
        <v>394</v>
      </c>
      <c r="D1378" t="s">
        <v>395</v>
      </c>
      <c r="E1378">
        <v>31227574</v>
      </c>
      <c r="G1378" s="1">
        <v>45352.880254629628</v>
      </c>
      <c r="I1378" t="s">
        <v>3</v>
      </c>
      <c r="J1378" t="s">
        <v>59</v>
      </c>
      <c r="K1378" t="s">
        <v>73</v>
      </c>
      <c r="L1378" t="s">
        <v>53</v>
      </c>
      <c r="M1378">
        <v>31</v>
      </c>
      <c r="O1378">
        <v>1</v>
      </c>
      <c r="P1378" t="s">
        <v>61</v>
      </c>
      <c r="Q1378">
        <v>740</v>
      </c>
      <c r="R1378" t="s">
        <v>53</v>
      </c>
      <c r="S1378">
        <f>IF(support_tickets[[#This Row],[status_cleaned]]="closed",1,0)</f>
        <v>0</v>
      </c>
      <c r="T1378" t="str">
        <f>TEXT(support_tickets[[#This Row],[opened_at]],"mmm yyyy")</f>
        <v>Mar 2024</v>
      </c>
      <c r="U1378">
        <f>YEAR(support_tickets[[#This Row],[opened_at]])*100+MONTH(support_tickets[[#This Row],[opened_at]])</f>
        <v>202403</v>
      </c>
      <c r="V1378" s="29">
        <f>DATE(YEAR(support_tickets[[#This Row],[opened_at]]),MONTH(support_tickets[[#This Row],[opened_at]]),1)</f>
        <v>45352</v>
      </c>
    </row>
    <row r="1379" spans="1:22">
      <c r="A1379">
        <v>6051515351</v>
      </c>
      <c r="B1379">
        <v>804344630</v>
      </c>
      <c r="C1379" t="s">
        <v>852</v>
      </c>
      <c r="D1379" t="s">
        <v>853</v>
      </c>
      <c r="E1379">
        <v>31682744</v>
      </c>
      <c r="F1379">
        <v>3029665156</v>
      </c>
      <c r="G1379" s="1">
        <v>45781.659571759257</v>
      </c>
      <c r="I1379" t="s">
        <v>56</v>
      </c>
      <c r="J1379" t="s">
        <v>59</v>
      </c>
      <c r="K1379" t="s">
        <v>73</v>
      </c>
      <c r="L1379" t="s">
        <v>53</v>
      </c>
      <c r="M1379">
        <v>27</v>
      </c>
      <c r="O1379">
        <v>1</v>
      </c>
      <c r="P1379" t="s">
        <v>61</v>
      </c>
      <c r="Q1379">
        <v>895</v>
      </c>
      <c r="R1379" t="s">
        <v>53</v>
      </c>
      <c r="S1379">
        <f>IF(support_tickets[[#This Row],[status_cleaned]]="closed",1,0)</f>
        <v>0</v>
      </c>
      <c r="T1379" t="str">
        <f>TEXT(support_tickets[[#This Row],[opened_at]],"mmm yyyy")</f>
        <v>May 2025</v>
      </c>
      <c r="U1379">
        <f>YEAR(support_tickets[[#This Row],[opened_at]])*100+MONTH(support_tickets[[#This Row],[opened_at]])</f>
        <v>202505</v>
      </c>
      <c r="V1379" s="29">
        <f>DATE(YEAR(support_tickets[[#This Row],[opened_at]]),MONTH(support_tickets[[#This Row],[opened_at]]),1)</f>
        <v>45778</v>
      </c>
    </row>
    <row r="1380" spans="1:22">
      <c r="A1380">
        <v>6057135307</v>
      </c>
      <c r="B1380">
        <v>870257350</v>
      </c>
      <c r="C1380" t="s">
        <v>1208</v>
      </c>
      <c r="D1380" t="s">
        <v>1209</v>
      </c>
      <c r="E1380">
        <v>94374605</v>
      </c>
      <c r="G1380" s="1">
        <v>45539.434837962966</v>
      </c>
      <c r="I1380" t="s">
        <v>3</v>
      </c>
      <c r="J1380" t="s">
        <v>59</v>
      </c>
      <c r="K1380" t="s">
        <v>73</v>
      </c>
      <c r="L1380" t="s">
        <v>53</v>
      </c>
      <c r="M1380">
        <v>3</v>
      </c>
      <c r="O1380">
        <v>1</v>
      </c>
      <c r="P1380" t="s">
        <v>61</v>
      </c>
      <c r="Q1380">
        <v>897</v>
      </c>
      <c r="R1380" t="s">
        <v>53</v>
      </c>
      <c r="S1380">
        <f>IF(support_tickets[[#This Row],[status_cleaned]]="closed",1,0)</f>
        <v>0</v>
      </c>
      <c r="T1380" t="str">
        <f>TEXT(support_tickets[[#This Row],[opened_at]],"mmm yyyy")</f>
        <v>Sep 2024</v>
      </c>
      <c r="U1380">
        <f>YEAR(support_tickets[[#This Row],[opened_at]])*100+MONTH(support_tickets[[#This Row],[opened_at]])</f>
        <v>202409</v>
      </c>
      <c r="V1380" s="29">
        <f>DATE(YEAR(support_tickets[[#This Row],[opened_at]]),MONTH(support_tickets[[#This Row],[opened_at]]),1)</f>
        <v>45536</v>
      </c>
    </row>
    <row r="1381" spans="1:22">
      <c r="A1381">
        <v>6062379674</v>
      </c>
      <c r="B1381">
        <v>705180256</v>
      </c>
      <c r="C1381" t="s">
        <v>1210</v>
      </c>
      <c r="D1381" t="s">
        <v>1211</v>
      </c>
      <c r="E1381">
        <v>38898923</v>
      </c>
      <c r="F1381">
        <v>3237656262</v>
      </c>
      <c r="G1381" s="1">
        <v>45371.129942129628</v>
      </c>
      <c r="I1381" t="s">
        <v>18</v>
      </c>
      <c r="J1381" t="s">
        <v>38</v>
      </c>
      <c r="K1381" t="s">
        <v>73</v>
      </c>
      <c r="L1381" t="s">
        <v>53</v>
      </c>
      <c r="M1381">
        <v>43</v>
      </c>
      <c r="O1381">
        <v>1</v>
      </c>
      <c r="P1381" t="s">
        <v>40</v>
      </c>
      <c r="Q1381">
        <v>898</v>
      </c>
      <c r="R1381" t="s">
        <v>53</v>
      </c>
      <c r="S1381">
        <f>IF(support_tickets[[#This Row],[status_cleaned]]="closed",1,0)</f>
        <v>0</v>
      </c>
      <c r="T1381" t="str">
        <f>TEXT(support_tickets[[#This Row],[opened_at]],"mmm yyyy")</f>
        <v>Mar 2024</v>
      </c>
      <c r="U1381">
        <f>YEAR(support_tickets[[#This Row],[opened_at]])*100+MONTH(support_tickets[[#This Row],[opened_at]])</f>
        <v>202403</v>
      </c>
      <c r="V1381" s="29">
        <f>DATE(YEAR(support_tickets[[#This Row],[opened_at]]),MONTH(support_tickets[[#This Row],[opened_at]]),1)</f>
        <v>45352</v>
      </c>
    </row>
    <row r="1382" spans="1:22">
      <c r="A1382">
        <v>6249606171</v>
      </c>
      <c r="B1382">
        <v>314939857</v>
      </c>
      <c r="C1382" t="s">
        <v>1240</v>
      </c>
      <c r="D1382" t="s">
        <v>1241</v>
      </c>
      <c r="E1382">
        <v>31931511</v>
      </c>
      <c r="G1382" s="1">
        <v>45371.922546296293</v>
      </c>
      <c r="I1382" t="s">
        <v>46</v>
      </c>
      <c r="J1382" t="s">
        <v>30</v>
      </c>
      <c r="K1382" t="s">
        <v>73</v>
      </c>
      <c r="L1382" t="s">
        <v>53</v>
      </c>
      <c r="M1382">
        <v>24</v>
      </c>
      <c r="O1382">
        <v>1</v>
      </c>
      <c r="P1382" t="s">
        <v>31</v>
      </c>
      <c r="Q1382">
        <v>930</v>
      </c>
      <c r="R1382" t="s">
        <v>53</v>
      </c>
      <c r="S1382">
        <f>IF(support_tickets[[#This Row],[status_cleaned]]="closed",1,0)</f>
        <v>0</v>
      </c>
      <c r="T1382" t="str">
        <f>TEXT(support_tickets[[#This Row],[opened_at]],"mmm yyyy")</f>
        <v>Mar 2024</v>
      </c>
      <c r="U1382">
        <f>YEAR(support_tickets[[#This Row],[opened_at]])*100+MONTH(support_tickets[[#This Row],[opened_at]])</f>
        <v>202403</v>
      </c>
      <c r="V1382" s="29">
        <f>DATE(YEAR(support_tickets[[#This Row],[opened_at]]),MONTH(support_tickets[[#This Row],[opened_at]]),1)</f>
        <v>45352</v>
      </c>
    </row>
    <row r="1383" spans="1:22">
      <c r="A1383">
        <v>6297328564</v>
      </c>
      <c r="B1383">
        <v>690554938</v>
      </c>
      <c r="C1383" t="s">
        <v>240</v>
      </c>
      <c r="D1383" t="s">
        <v>241</v>
      </c>
      <c r="E1383">
        <v>63100814</v>
      </c>
      <c r="G1383" s="1">
        <v>45339.556898148148</v>
      </c>
      <c r="I1383" t="s">
        <v>52</v>
      </c>
      <c r="J1383" t="s">
        <v>19</v>
      </c>
      <c r="K1383" t="s">
        <v>73</v>
      </c>
      <c r="L1383" t="s">
        <v>53</v>
      </c>
      <c r="M1383">
        <v>55</v>
      </c>
      <c r="O1383">
        <v>1</v>
      </c>
      <c r="P1383" t="s">
        <v>22</v>
      </c>
      <c r="Q1383">
        <v>940</v>
      </c>
      <c r="R1383" t="s">
        <v>53</v>
      </c>
      <c r="S1383">
        <f>IF(support_tickets[[#This Row],[status_cleaned]]="closed",1,0)</f>
        <v>0</v>
      </c>
      <c r="T1383" t="str">
        <f>TEXT(support_tickets[[#This Row],[opened_at]],"mmm yyyy")</f>
        <v>Feb 2024</v>
      </c>
      <c r="U1383">
        <f>YEAR(support_tickets[[#This Row],[opened_at]])*100+MONTH(support_tickets[[#This Row],[opened_at]])</f>
        <v>202402</v>
      </c>
      <c r="V1383" s="29">
        <f>DATE(YEAR(support_tickets[[#This Row],[opened_at]]),MONTH(support_tickets[[#This Row],[opened_at]]),1)</f>
        <v>45323</v>
      </c>
    </row>
    <row r="1384" spans="1:22">
      <c r="A1384">
        <v>6297849570</v>
      </c>
      <c r="B1384">
        <v>593559955</v>
      </c>
      <c r="C1384" t="s">
        <v>805</v>
      </c>
      <c r="D1384" t="s">
        <v>806</v>
      </c>
      <c r="E1384">
        <v>39587039</v>
      </c>
      <c r="F1384">
        <v>1112729226</v>
      </c>
      <c r="G1384" s="1">
        <v>45878.02851851852</v>
      </c>
      <c r="I1384" t="s">
        <v>3</v>
      </c>
      <c r="J1384" t="s">
        <v>38</v>
      </c>
      <c r="K1384" t="s">
        <v>73</v>
      </c>
      <c r="L1384" t="s">
        <v>53</v>
      </c>
      <c r="M1384">
        <v>61</v>
      </c>
      <c r="O1384">
        <v>1</v>
      </c>
      <c r="P1384" t="s">
        <v>40</v>
      </c>
      <c r="Q1384">
        <v>941</v>
      </c>
      <c r="R1384" t="s">
        <v>53</v>
      </c>
      <c r="S1384">
        <f>IF(support_tickets[[#This Row],[status_cleaned]]="closed",1,0)</f>
        <v>0</v>
      </c>
      <c r="T1384" t="str">
        <f>TEXT(support_tickets[[#This Row],[opened_at]],"mmm yyyy")</f>
        <v>Aug 2025</v>
      </c>
      <c r="U1384">
        <f>YEAR(support_tickets[[#This Row],[opened_at]])*100+MONTH(support_tickets[[#This Row],[opened_at]])</f>
        <v>202508</v>
      </c>
      <c r="V1384" s="29">
        <f>DATE(YEAR(support_tickets[[#This Row],[opened_at]]),MONTH(support_tickets[[#This Row],[opened_at]]),1)</f>
        <v>45870</v>
      </c>
    </row>
    <row r="1385" spans="1:22">
      <c r="A1385">
        <v>6359398315</v>
      </c>
      <c r="B1385">
        <v>146744734</v>
      </c>
      <c r="C1385" t="s">
        <v>254</v>
      </c>
      <c r="D1385" t="s">
        <v>255</v>
      </c>
      <c r="E1385">
        <v>19289546</v>
      </c>
      <c r="F1385">
        <v>2433400257</v>
      </c>
      <c r="G1385" s="1">
        <v>45343.566562499997</v>
      </c>
      <c r="I1385" t="s">
        <v>3</v>
      </c>
      <c r="J1385" t="s">
        <v>59</v>
      </c>
      <c r="K1385" t="s">
        <v>73</v>
      </c>
      <c r="L1385" t="s">
        <v>53</v>
      </c>
      <c r="M1385">
        <v>19</v>
      </c>
      <c r="O1385">
        <v>1</v>
      </c>
      <c r="P1385" t="s">
        <v>61</v>
      </c>
      <c r="Q1385">
        <v>950</v>
      </c>
      <c r="R1385" t="s">
        <v>53</v>
      </c>
      <c r="S1385">
        <f>IF(support_tickets[[#This Row],[status_cleaned]]="closed",1,0)</f>
        <v>0</v>
      </c>
      <c r="T1385" t="str">
        <f>TEXT(support_tickets[[#This Row],[opened_at]],"mmm yyyy")</f>
        <v>Feb 2024</v>
      </c>
      <c r="U1385">
        <f>YEAR(support_tickets[[#This Row],[opened_at]])*100+MONTH(support_tickets[[#This Row],[opened_at]])</f>
        <v>202402</v>
      </c>
      <c r="V1385" s="29">
        <f>DATE(YEAR(support_tickets[[#This Row],[opened_at]]),MONTH(support_tickets[[#This Row],[opened_at]]),1)</f>
        <v>45323</v>
      </c>
    </row>
    <row r="1386" spans="1:22">
      <c r="A1386">
        <v>6561162527</v>
      </c>
      <c r="B1386">
        <v>933409017</v>
      </c>
      <c r="C1386" t="s">
        <v>1286</v>
      </c>
      <c r="D1386" t="s">
        <v>1287</v>
      </c>
      <c r="E1386">
        <v>24972279</v>
      </c>
      <c r="G1386" s="1">
        <v>45916.391400462962</v>
      </c>
      <c r="I1386" t="s">
        <v>46</v>
      </c>
      <c r="J1386" t="s">
        <v>86</v>
      </c>
      <c r="K1386" t="s">
        <v>73</v>
      </c>
      <c r="L1386" t="s">
        <v>53</v>
      </c>
      <c r="M1386">
        <v>8</v>
      </c>
      <c r="O1386">
        <v>1</v>
      </c>
      <c r="P1386" t="s">
        <v>87</v>
      </c>
      <c r="Q1386">
        <v>981</v>
      </c>
      <c r="R1386" t="s">
        <v>53</v>
      </c>
      <c r="S1386">
        <f>IF(support_tickets[[#This Row],[status_cleaned]]="closed",1,0)</f>
        <v>0</v>
      </c>
      <c r="T1386" t="str">
        <f>TEXT(support_tickets[[#This Row],[opened_at]],"mmm yyyy")</f>
        <v>Sep 2025</v>
      </c>
      <c r="U1386">
        <f>YEAR(support_tickets[[#This Row],[opened_at]])*100+MONTH(support_tickets[[#This Row],[opened_at]])</f>
        <v>202509</v>
      </c>
      <c r="V1386" s="29">
        <f>DATE(YEAR(support_tickets[[#This Row],[opened_at]]),MONTH(support_tickets[[#This Row],[opened_at]]),1)</f>
        <v>45901</v>
      </c>
    </row>
    <row r="1387" spans="1:22">
      <c r="A1387">
        <v>6676525272</v>
      </c>
      <c r="B1387">
        <v>839393192</v>
      </c>
      <c r="C1387" t="s">
        <v>28</v>
      </c>
      <c r="D1387" t="s">
        <v>29</v>
      </c>
      <c r="E1387">
        <v>22448136</v>
      </c>
      <c r="G1387" s="1">
        <v>45519.868657407409</v>
      </c>
      <c r="I1387" t="s">
        <v>3</v>
      </c>
      <c r="J1387" t="s">
        <v>86</v>
      </c>
      <c r="K1387" t="s">
        <v>73</v>
      </c>
      <c r="L1387" t="s">
        <v>53</v>
      </c>
      <c r="M1387">
        <v>45</v>
      </c>
      <c r="O1387">
        <v>1</v>
      </c>
      <c r="P1387" t="s">
        <v>87</v>
      </c>
      <c r="Q1387">
        <v>995</v>
      </c>
      <c r="R1387" t="s">
        <v>53</v>
      </c>
      <c r="S1387">
        <f>IF(support_tickets[[#This Row],[status_cleaned]]="closed",1,0)</f>
        <v>0</v>
      </c>
      <c r="T1387" t="str">
        <f>TEXT(support_tickets[[#This Row],[opened_at]],"mmm yyyy")</f>
        <v>Aug 2024</v>
      </c>
      <c r="U1387">
        <f>YEAR(support_tickets[[#This Row],[opened_at]])*100+MONTH(support_tickets[[#This Row],[opened_at]])</f>
        <v>202408</v>
      </c>
      <c r="V1387" s="29">
        <f>DATE(YEAR(support_tickets[[#This Row],[opened_at]]),MONTH(support_tickets[[#This Row],[opened_at]]),1)</f>
        <v>45505</v>
      </c>
    </row>
    <row r="1388" spans="1:22">
      <c r="A1388">
        <v>6750965191</v>
      </c>
      <c r="B1388">
        <v>798510601</v>
      </c>
      <c r="C1388" t="s">
        <v>204</v>
      </c>
      <c r="D1388" t="s">
        <v>205</v>
      </c>
      <c r="E1388">
        <v>42329237</v>
      </c>
      <c r="G1388" s="1">
        <v>45327.915555555555</v>
      </c>
      <c r="I1388" t="s">
        <v>52</v>
      </c>
      <c r="J1388" t="s">
        <v>38</v>
      </c>
      <c r="K1388" t="s">
        <v>73</v>
      </c>
      <c r="L1388" t="s">
        <v>53</v>
      </c>
      <c r="M1388">
        <v>49</v>
      </c>
      <c r="O1388">
        <v>1</v>
      </c>
      <c r="P1388" t="s">
        <v>40</v>
      </c>
      <c r="Q1388">
        <v>1004</v>
      </c>
      <c r="R1388" t="s">
        <v>53</v>
      </c>
      <c r="S1388">
        <f>IF(support_tickets[[#This Row],[status_cleaned]]="closed",1,0)</f>
        <v>0</v>
      </c>
      <c r="T1388" t="str">
        <f>TEXT(support_tickets[[#This Row],[opened_at]],"mmm yyyy")</f>
        <v>Feb 2024</v>
      </c>
      <c r="U1388">
        <f>YEAR(support_tickets[[#This Row],[opened_at]])*100+MONTH(support_tickets[[#This Row],[opened_at]])</f>
        <v>202402</v>
      </c>
      <c r="V1388" s="29">
        <f>DATE(YEAR(support_tickets[[#This Row],[opened_at]]),MONTH(support_tickets[[#This Row],[opened_at]]),1)</f>
        <v>45323</v>
      </c>
    </row>
    <row r="1389" spans="1:22">
      <c r="A1389">
        <v>7068243075</v>
      </c>
      <c r="B1389">
        <v>775663302</v>
      </c>
      <c r="C1389" t="s">
        <v>1328</v>
      </c>
      <c r="D1389" t="s">
        <v>1329</v>
      </c>
      <c r="E1389">
        <v>82383095</v>
      </c>
      <c r="F1389">
        <v>4958262912</v>
      </c>
      <c r="G1389" s="1">
        <v>45580.99795138889</v>
      </c>
      <c r="I1389" t="s">
        <v>18</v>
      </c>
      <c r="J1389" t="s">
        <v>86</v>
      </c>
      <c r="K1389" t="s">
        <v>73</v>
      </c>
      <c r="L1389" t="s">
        <v>53</v>
      </c>
      <c r="M1389">
        <v>14</v>
      </c>
      <c r="O1389">
        <v>1</v>
      </c>
      <c r="P1389" t="s">
        <v>87</v>
      </c>
      <c r="Q1389">
        <v>1043</v>
      </c>
      <c r="R1389" t="s">
        <v>53</v>
      </c>
      <c r="S1389">
        <f>IF(support_tickets[[#This Row],[status_cleaned]]="closed",1,0)</f>
        <v>0</v>
      </c>
      <c r="T1389" t="str">
        <f>TEXT(support_tickets[[#This Row],[opened_at]],"mmm yyyy")</f>
        <v>Oct 2024</v>
      </c>
      <c r="U1389">
        <f>YEAR(support_tickets[[#This Row],[opened_at]])*100+MONTH(support_tickets[[#This Row],[opened_at]])</f>
        <v>202410</v>
      </c>
      <c r="V1389" s="29">
        <f>DATE(YEAR(support_tickets[[#This Row],[opened_at]]),MONTH(support_tickets[[#This Row],[opened_at]]),1)</f>
        <v>45566</v>
      </c>
    </row>
    <row r="1390" spans="1:22">
      <c r="A1390">
        <v>7646947955</v>
      </c>
      <c r="B1390">
        <v>247395716</v>
      </c>
      <c r="C1390" t="s">
        <v>1030</v>
      </c>
      <c r="D1390" t="s">
        <v>1031</v>
      </c>
      <c r="E1390">
        <v>10076758</v>
      </c>
      <c r="F1390">
        <v>2952400435</v>
      </c>
      <c r="G1390" s="1">
        <v>45550.208101851851</v>
      </c>
      <c r="I1390" t="s">
        <v>52</v>
      </c>
      <c r="J1390" t="s">
        <v>25</v>
      </c>
      <c r="K1390" t="s">
        <v>73</v>
      </c>
      <c r="L1390" t="s">
        <v>53</v>
      </c>
      <c r="M1390">
        <v>43</v>
      </c>
      <c r="O1390">
        <v>1</v>
      </c>
      <c r="P1390" t="s">
        <v>27</v>
      </c>
      <c r="Q1390">
        <v>1134</v>
      </c>
      <c r="R1390" t="s">
        <v>53</v>
      </c>
      <c r="S1390">
        <f>IF(support_tickets[[#This Row],[status_cleaned]]="closed",1,0)</f>
        <v>0</v>
      </c>
      <c r="T1390" t="str">
        <f>TEXT(support_tickets[[#This Row],[opened_at]],"mmm yyyy")</f>
        <v>Sep 2024</v>
      </c>
      <c r="U1390">
        <f>YEAR(support_tickets[[#This Row],[opened_at]])*100+MONTH(support_tickets[[#This Row],[opened_at]])</f>
        <v>202409</v>
      </c>
      <c r="V1390" s="29">
        <f>DATE(YEAR(support_tickets[[#This Row],[opened_at]]),MONTH(support_tickets[[#This Row],[opened_at]]),1)</f>
        <v>45536</v>
      </c>
    </row>
    <row r="1391" spans="1:22">
      <c r="A1391">
        <v>7689653425</v>
      </c>
      <c r="B1391">
        <v>419561201</v>
      </c>
      <c r="C1391" t="s">
        <v>174</v>
      </c>
      <c r="D1391" t="s">
        <v>175</v>
      </c>
      <c r="E1391">
        <v>94374605</v>
      </c>
      <c r="G1391" s="1">
        <v>45754.500844907408</v>
      </c>
      <c r="I1391" t="s">
        <v>18</v>
      </c>
      <c r="J1391" t="s">
        <v>38</v>
      </c>
      <c r="K1391" t="s">
        <v>73</v>
      </c>
      <c r="L1391" t="s">
        <v>53</v>
      </c>
      <c r="M1391">
        <v>30</v>
      </c>
      <c r="O1391">
        <v>1</v>
      </c>
      <c r="P1391" t="s">
        <v>40</v>
      </c>
      <c r="Q1391">
        <v>1143</v>
      </c>
      <c r="R1391" t="s">
        <v>53</v>
      </c>
      <c r="S1391">
        <f>IF(support_tickets[[#This Row],[status_cleaned]]="closed",1,0)</f>
        <v>0</v>
      </c>
      <c r="T1391" t="str">
        <f>TEXT(support_tickets[[#This Row],[opened_at]],"mmm yyyy")</f>
        <v>Apr 2025</v>
      </c>
      <c r="U1391">
        <f>YEAR(support_tickets[[#This Row],[opened_at]])*100+MONTH(support_tickets[[#This Row],[opened_at]])</f>
        <v>202504</v>
      </c>
      <c r="V1391" s="29">
        <f>DATE(YEAR(support_tickets[[#This Row],[opened_at]]),MONTH(support_tickets[[#This Row],[opened_at]]),1)</f>
        <v>45748</v>
      </c>
    </row>
    <row r="1392" spans="1:22">
      <c r="A1392">
        <v>7701274877</v>
      </c>
      <c r="B1392">
        <v>841193655</v>
      </c>
      <c r="C1392" t="s">
        <v>1390</v>
      </c>
      <c r="D1392" t="s">
        <v>1391</v>
      </c>
      <c r="E1392">
        <v>78139880</v>
      </c>
      <c r="F1392">
        <v>8859084754</v>
      </c>
      <c r="G1392" s="1">
        <v>45944.9375</v>
      </c>
      <c r="I1392" t="s">
        <v>46</v>
      </c>
      <c r="J1392" t="s">
        <v>59</v>
      </c>
      <c r="K1392" t="s">
        <v>73</v>
      </c>
      <c r="L1392" t="s">
        <v>53</v>
      </c>
      <c r="M1392">
        <v>19</v>
      </c>
      <c r="O1392">
        <v>1</v>
      </c>
      <c r="P1392" t="s">
        <v>61</v>
      </c>
      <c r="Q1392">
        <v>1146</v>
      </c>
      <c r="R1392" t="s">
        <v>53</v>
      </c>
      <c r="S1392">
        <f>IF(support_tickets[[#This Row],[status_cleaned]]="closed",1,0)</f>
        <v>0</v>
      </c>
      <c r="T1392" t="str">
        <f>TEXT(support_tickets[[#This Row],[opened_at]],"mmm yyyy")</f>
        <v>Oct 2025</v>
      </c>
      <c r="U1392">
        <f>YEAR(support_tickets[[#This Row],[opened_at]])*100+MONTH(support_tickets[[#This Row],[opened_at]])</f>
        <v>202510</v>
      </c>
      <c r="V1392" s="29">
        <f>DATE(YEAR(support_tickets[[#This Row],[opened_at]]),MONTH(support_tickets[[#This Row],[opened_at]]),1)</f>
        <v>45931</v>
      </c>
    </row>
    <row r="1393" spans="1:22">
      <c r="A1393">
        <v>7973074025</v>
      </c>
      <c r="B1393">
        <v>852178601</v>
      </c>
      <c r="C1393" t="s">
        <v>596</v>
      </c>
      <c r="D1393" t="s">
        <v>597</v>
      </c>
      <c r="E1393">
        <v>31227574</v>
      </c>
      <c r="F1393">
        <v>4078487866</v>
      </c>
      <c r="G1393" s="1">
        <v>45860.110231481478</v>
      </c>
      <c r="I1393" t="s">
        <v>56</v>
      </c>
      <c r="J1393" t="s">
        <v>25</v>
      </c>
      <c r="K1393" t="s">
        <v>73</v>
      </c>
      <c r="L1393" t="s">
        <v>53</v>
      </c>
      <c r="M1393">
        <v>10</v>
      </c>
      <c r="O1393">
        <v>1</v>
      </c>
      <c r="P1393" t="s">
        <v>27</v>
      </c>
      <c r="Q1393">
        <v>1181</v>
      </c>
      <c r="R1393" t="s">
        <v>53</v>
      </c>
      <c r="S1393">
        <f>IF(support_tickets[[#This Row],[status_cleaned]]="closed",1,0)</f>
        <v>0</v>
      </c>
      <c r="T1393" t="str">
        <f>TEXT(support_tickets[[#This Row],[opened_at]],"mmm yyyy")</f>
        <v>Jul 2025</v>
      </c>
      <c r="U1393">
        <f>YEAR(support_tickets[[#This Row],[opened_at]])*100+MONTH(support_tickets[[#This Row],[opened_at]])</f>
        <v>202507</v>
      </c>
      <c r="V1393" s="29">
        <f>DATE(YEAR(support_tickets[[#This Row],[opened_at]]),MONTH(support_tickets[[#This Row],[opened_at]]),1)</f>
        <v>45839</v>
      </c>
    </row>
    <row r="1394" spans="1:22">
      <c r="A1394">
        <v>8018179960</v>
      </c>
      <c r="B1394">
        <v>613646933</v>
      </c>
      <c r="C1394" t="s">
        <v>41</v>
      </c>
      <c r="D1394" t="s">
        <v>1422</v>
      </c>
      <c r="E1394">
        <v>45935572</v>
      </c>
      <c r="F1394">
        <v>3957514493</v>
      </c>
      <c r="G1394" s="1">
        <v>45678.311597222222</v>
      </c>
      <c r="I1394" t="s">
        <v>3</v>
      </c>
      <c r="J1394" t="s">
        <v>19</v>
      </c>
      <c r="K1394" t="s">
        <v>73</v>
      </c>
      <c r="L1394" t="s">
        <v>53</v>
      </c>
      <c r="M1394">
        <v>39</v>
      </c>
      <c r="O1394">
        <v>1</v>
      </c>
      <c r="P1394" t="s">
        <v>22</v>
      </c>
      <c r="Q1394">
        <v>1186</v>
      </c>
      <c r="R1394" t="s">
        <v>53</v>
      </c>
      <c r="S1394">
        <f>IF(support_tickets[[#This Row],[status_cleaned]]="closed",1,0)</f>
        <v>0</v>
      </c>
      <c r="T1394" t="str">
        <f>TEXT(support_tickets[[#This Row],[opened_at]],"mmm yyyy")</f>
        <v>Jan 2025</v>
      </c>
      <c r="U1394">
        <f>YEAR(support_tickets[[#This Row],[opened_at]])*100+MONTH(support_tickets[[#This Row],[opened_at]])</f>
        <v>202501</v>
      </c>
      <c r="V1394" s="29">
        <f>DATE(YEAR(support_tickets[[#This Row],[opened_at]]),MONTH(support_tickets[[#This Row],[opened_at]]),1)</f>
        <v>45658</v>
      </c>
    </row>
    <row r="1395" spans="1:22">
      <c r="A1395">
        <v>8543193130</v>
      </c>
      <c r="B1395">
        <v>182855381</v>
      </c>
      <c r="C1395" t="s">
        <v>524</v>
      </c>
      <c r="D1395" t="s">
        <v>525</v>
      </c>
      <c r="E1395">
        <v>80823176</v>
      </c>
      <c r="G1395" s="1">
        <v>45950.392106481479</v>
      </c>
      <c r="I1395" t="s">
        <v>37</v>
      </c>
      <c r="J1395" t="s">
        <v>25</v>
      </c>
      <c r="K1395" t="s">
        <v>73</v>
      </c>
      <c r="L1395" t="s">
        <v>53</v>
      </c>
      <c r="M1395">
        <v>25</v>
      </c>
      <c r="O1395">
        <v>1</v>
      </c>
      <c r="P1395" t="s">
        <v>27</v>
      </c>
      <c r="Q1395">
        <v>1267</v>
      </c>
      <c r="R1395" t="s">
        <v>53</v>
      </c>
      <c r="S1395">
        <f>IF(support_tickets[[#This Row],[status_cleaned]]="closed",1,0)</f>
        <v>0</v>
      </c>
      <c r="T1395" t="str">
        <f>TEXT(support_tickets[[#This Row],[opened_at]],"mmm yyyy")</f>
        <v>Oct 2025</v>
      </c>
      <c r="U1395">
        <f>YEAR(support_tickets[[#This Row],[opened_at]])*100+MONTH(support_tickets[[#This Row],[opened_at]])</f>
        <v>202510</v>
      </c>
      <c r="V1395" s="29">
        <f>DATE(YEAR(support_tickets[[#This Row],[opened_at]]),MONTH(support_tickets[[#This Row],[opened_at]]),1)</f>
        <v>45931</v>
      </c>
    </row>
    <row r="1396" spans="1:22">
      <c r="A1396">
        <v>9270643759</v>
      </c>
      <c r="B1396">
        <v>676267306</v>
      </c>
      <c r="C1396" t="s">
        <v>1268</v>
      </c>
      <c r="D1396" t="s">
        <v>1269</v>
      </c>
      <c r="E1396">
        <v>60929647</v>
      </c>
      <c r="G1396" s="1">
        <v>46038.372152777774</v>
      </c>
      <c r="I1396" t="s">
        <v>3</v>
      </c>
      <c r="J1396" t="s">
        <v>59</v>
      </c>
      <c r="K1396" t="s">
        <v>73</v>
      </c>
      <c r="L1396" t="s">
        <v>53</v>
      </c>
      <c r="M1396">
        <v>70</v>
      </c>
      <c r="O1396">
        <v>1</v>
      </c>
      <c r="P1396" t="s">
        <v>61</v>
      </c>
      <c r="Q1396">
        <v>1398</v>
      </c>
      <c r="R1396" t="s">
        <v>53</v>
      </c>
      <c r="S1396">
        <f>IF(support_tickets[[#This Row],[status_cleaned]]="closed",1,0)</f>
        <v>0</v>
      </c>
      <c r="T1396" t="str">
        <f>TEXT(support_tickets[[#This Row],[opened_at]],"mmm yyyy")</f>
        <v>Jan 2026</v>
      </c>
      <c r="U1396">
        <f>YEAR(support_tickets[[#This Row],[opened_at]])*100+MONTH(support_tickets[[#This Row],[opened_at]])</f>
        <v>202601</v>
      </c>
      <c r="V1396" s="29">
        <f>DATE(YEAR(support_tickets[[#This Row],[opened_at]]),MONTH(support_tickets[[#This Row],[opened_at]]),1)</f>
        <v>46023</v>
      </c>
    </row>
    <row r="1397" spans="1:22">
      <c r="A1397">
        <v>1517459082</v>
      </c>
      <c r="B1397">
        <v>504612520</v>
      </c>
      <c r="C1397" t="s">
        <v>206</v>
      </c>
      <c r="D1397" t="s">
        <v>207</v>
      </c>
      <c r="E1397">
        <v>96977837</v>
      </c>
      <c r="G1397" s="1">
        <v>45547.044675925928</v>
      </c>
      <c r="I1397" t="s">
        <v>37</v>
      </c>
      <c r="J1397" t="s">
        <v>25</v>
      </c>
      <c r="K1397" t="s">
        <v>73</v>
      </c>
      <c r="L1397" t="s">
        <v>66</v>
      </c>
      <c r="M1397">
        <v>4</v>
      </c>
      <c r="O1397">
        <v>0</v>
      </c>
      <c r="P1397" t="s">
        <v>27</v>
      </c>
      <c r="Q1397">
        <v>87</v>
      </c>
      <c r="R1397" t="s">
        <v>1607</v>
      </c>
      <c r="S1397">
        <f>IF(support_tickets[[#This Row],[status_cleaned]]="closed",1,0)</f>
        <v>0</v>
      </c>
      <c r="T1397" t="str">
        <f>TEXT(support_tickets[[#This Row],[opened_at]],"mmm yyyy")</f>
        <v>Sep 2024</v>
      </c>
      <c r="U1397">
        <f>YEAR(support_tickets[[#This Row],[opened_at]])*100+MONTH(support_tickets[[#This Row],[opened_at]])</f>
        <v>202409</v>
      </c>
      <c r="V1397" s="29">
        <f>DATE(YEAR(support_tickets[[#This Row],[opened_at]]),MONTH(support_tickets[[#This Row],[opened_at]]),1)</f>
        <v>45536</v>
      </c>
    </row>
    <row r="1398" spans="1:22">
      <c r="A1398">
        <v>1981971938</v>
      </c>
      <c r="B1398">
        <v>300593456</v>
      </c>
      <c r="C1398" t="s">
        <v>268</v>
      </c>
      <c r="D1398" t="s">
        <v>269</v>
      </c>
      <c r="E1398">
        <v>36697396</v>
      </c>
      <c r="F1398">
        <v>7571676457</v>
      </c>
      <c r="G1398" s="1">
        <v>45673.804351851853</v>
      </c>
      <c r="I1398" t="s">
        <v>52</v>
      </c>
      <c r="J1398" t="s">
        <v>38</v>
      </c>
      <c r="K1398" t="s">
        <v>73</v>
      </c>
      <c r="L1398" t="s">
        <v>66</v>
      </c>
      <c r="M1398">
        <v>56</v>
      </c>
      <c r="O1398">
        <v>0</v>
      </c>
      <c r="P1398" t="s">
        <v>40</v>
      </c>
      <c r="Q1398">
        <v>195</v>
      </c>
      <c r="R1398" t="s">
        <v>1607</v>
      </c>
      <c r="S1398">
        <f>IF(support_tickets[[#This Row],[status_cleaned]]="closed",1,0)</f>
        <v>0</v>
      </c>
      <c r="T1398" t="str">
        <f>TEXT(support_tickets[[#This Row],[opened_at]],"mmm yyyy")</f>
        <v>Jan 2025</v>
      </c>
      <c r="U1398">
        <f>YEAR(support_tickets[[#This Row],[opened_at]])*100+MONTH(support_tickets[[#This Row],[opened_at]])</f>
        <v>202501</v>
      </c>
      <c r="V1398" s="29">
        <f>DATE(YEAR(support_tickets[[#This Row],[opened_at]]),MONTH(support_tickets[[#This Row],[opened_at]]),1)</f>
        <v>45658</v>
      </c>
    </row>
    <row r="1399" spans="1:22">
      <c r="A1399">
        <v>2140747529</v>
      </c>
      <c r="B1399">
        <v>992699085</v>
      </c>
      <c r="C1399" t="s">
        <v>418</v>
      </c>
      <c r="D1399" t="s">
        <v>419</v>
      </c>
      <c r="E1399">
        <v>20576383</v>
      </c>
      <c r="G1399" s="1">
        <v>45447.38008101852</v>
      </c>
      <c r="I1399" t="s">
        <v>43</v>
      </c>
      <c r="J1399" t="s">
        <v>25</v>
      </c>
      <c r="K1399" t="s">
        <v>73</v>
      </c>
      <c r="L1399" t="s">
        <v>66</v>
      </c>
      <c r="M1399">
        <v>10</v>
      </c>
      <c r="O1399">
        <v>0</v>
      </c>
      <c r="P1399" t="s">
        <v>27</v>
      </c>
      <c r="Q1399">
        <v>211</v>
      </c>
      <c r="R1399" t="s">
        <v>1607</v>
      </c>
      <c r="S1399">
        <f>IF(support_tickets[[#This Row],[status_cleaned]]="closed",1,0)</f>
        <v>0</v>
      </c>
      <c r="T1399" t="str">
        <f>TEXT(support_tickets[[#This Row],[opened_at]],"mmm yyyy")</f>
        <v>Jun 2024</v>
      </c>
      <c r="U1399">
        <f>YEAR(support_tickets[[#This Row],[opened_at]])*100+MONTH(support_tickets[[#This Row],[opened_at]])</f>
        <v>202406</v>
      </c>
      <c r="V1399" s="29">
        <f>DATE(YEAR(support_tickets[[#This Row],[opened_at]]),MONTH(support_tickets[[#This Row],[opened_at]]),1)</f>
        <v>45444</v>
      </c>
    </row>
    <row r="1400" spans="1:22">
      <c r="A1400">
        <v>2266952089</v>
      </c>
      <c r="B1400">
        <v>807309035</v>
      </c>
      <c r="C1400" t="s">
        <v>454</v>
      </c>
      <c r="D1400" t="s">
        <v>455</v>
      </c>
      <c r="E1400">
        <v>59684848</v>
      </c>
      <c r="G1400" s="1">
        <v>45410.358287037037</v>
      </c>
      <c r="I1400" t="s">
        <v>52</v>
      </c>
      <c r="J1400" t="s">
        <v>25</v>
      </c>
      <c r="K1400" t="s">
        <v>73</v>
      </c>
      <c r="L1400" t="s">
        <v>66</v>
      </c>
      <c r="M1400">
        <v>19</v>
      </c>
      <c r="O1400">
        <v>0</v>
      </c>
      <c r="P1400" t="s">
        <v>27</v>
      </c>
      <c r="Q1400">
        <v>237</v>
      </c>
      <c r="R1400" t="s">
        <v>1607</v>
      </c>
      <c r="S1400">
        <f>IF(support_tickets[[#This Row],[status_cleaned]]="closed",1,0)</f>
        <v>0</v>
      </c>
      <c r="T1400" t="str">
        <f>TEXT(support_tickets[[#This Row],[opened_at]],"mmm yyyy")</f>
        <v>Apr 2024</v>
      </c>
      <c r="U1400">
        <f>YEAR(support_tickets[[#This Row],[opened_at]])*100+MONTH(support_tickets[[#This Row],[opened_at]])</f>
        <v>202404</v>
      </c>
      <c r="V1400" s="29">
        <f>DATE(YEAR(support_tickets[[#This Row],[opened_at]]),MONTH(support_tickets[[#This Row],[opened_at]]),1)</f>
        <v>45383</v>
      </c>
    </row>
    <row r="1401" spans="1:22">
      <c r="A1401">
        <v>4115595475</v>
      </c>
      <c r="B1401">
        <v>902874167</v>
      </c>
      <c r="C1401" t="s">
        <v>246</v>
      </c>
      <c r="D1401" t="s">
        <v>247</v>
      </c>
      <c r="E1401">
        <v>42857966</v>
      </c>
      <c r="G1401" s="1">
        <v>45339.147766203707</v>
      </c>
      <c r="I1401" t="s">
        <v>56</v>
      </c>
      <c r="J1401" t="s">
        <v>59</v>
      </c>
      <c r="K1401" t="s">
        <v>73</v>
      </c>
      <c r="L1401" t="s">
        <v>66</v>
      </c>
      <c r="M1401">
        <v>28</v>
      </c>
      <c r="O1401">
        <v>0</v>
      </c>
      <c r="P1401" t="s">
        <v>61</v>
      </c>
      <c r="Q1401">
        <v>539</v>
      </c>
      <c r="R1401" t="s">
        <v>1607</v>
      </c>
      <c r="S1401">
        <f>IF(support_tickets[[#This Row],[status_cleaned]]="closed",1,0)</f>
        <v>0</v>
      </c>
      <c r="T1401" t="str">
        <f>TEXT(support_tickets[[#This Row],[opened_at]],"mmm yyyy")</f>
        <v>Feb 2024</v>
      </c>
      <c r="U1401">
        <f>YEAR(support_tickets[[#This Row],[opened_at]])*100+MONTH(support_tickets[[#This Row],[opened_at]])</f>
        <v>202402</v>
      </c>
      <c r="V1401" s="29">
        <f>DATE(YEAR(support_tickets[[#This Row],[opened_at]]),MONTH(support_tickets[[#This Row],[opened_at]]),1)</f>
        <v>45323</v>
      </c>
    </row>
    <row r="1402" spans="1:22">
      <c r="A1402">
        <v>4427741097</v>
      </c>
      <c r="B1402">
        <v>358303887</v>
      </c>
      <c r="C1402" t="s">
        <v>797</v>
      </c>
      <c r="D1402" t="s">
        <v>798</v>
      </c>
      <c r="E1402">
        <v>84752529</v>
      </c>
      <c r="G1402" s="1">
        <v>46048.650891203702</v>
      </c>
      <c r="I1402" t="s">
        <v>3</v>
      </c>
      <c r="J1402" t="s">
        <v>86</v>
      </c>
      <c r="K1402" t="s">
        <v>73</v>
      </c>
      <c r="L1402" t="s">
        <v>66</v>
      </c>
      <c r="M1402">
        <v>53</v>
      </c>
      <c r="O1402">
        <v>0</v>
      </c>
      <c r="P1402" t="s">
        <v>87</v>
      </c>
      <c r="Q1402">
        <v>600</v>
      </c>
      <c r="R1402" t="s">
        <v>1607</v>
      </c>
      <c r="S1402">
        <f>IF(support_tickets[[#This Row],[status_cleaned]]="closed",1,0)</f>
        <v>0</v>
      </c>
      <c r="T1402" t="str">
        <f>TEXT(support_tickets[[#This Row],[opened_at]],"mmm yyyy")</f>
        <v>Jan 2026</v>
      </c>
      <c r="U1402">
        <f>YEAR(support_tickets[[#This Row],[opened_at]])*100+MONTH(support_tickets[[#This Row],[opened_at]])</f>
        <v>202601</v>
      </c>
      <c r="V1402" s="29">
        <f>DATE(YEAR(support_tickets[[#This Row],[opened_at]]),MONTH(support_tickets[[#This Row],[opened_at]]),1)</f>
        <v>46023</v>
      </c>
    </row>
    <row r="1403" spans="1:22">
      <c r="A1403">
        <v>4962639828</v>
      </c>
      <c r="B1403">
        <v>644725317</v>
      </c>
      <c r="C1403" t="s">
        <v>1036</v>
      </c>
      <c r="D1403" t="s">
        <v>1037</v>
      </c>
      <c r="E1403">
        <v>80823176</v>
      </c>
      <c r="F1403">
        <v>7664019331</v>
      </c>
      <c r="G1403" s="1">
        <v>45693.095081018517</v>
      </c>
      <c r="I1403" t="s">
        <v>37</v>
      </c>
      <c r="J1403" t="s">
        <v>19</v>
      </c>
      <c r="K1403" t="s">
        <v>73</v>
      </c>
      <c r="L1403" t="s">
        <v>66</v>
      </c>
      <c r="M1403">
        <v>29</v>
      </c>
      <c r="O1403">
        <v>0</v>
      </c>
      <c r="P1403" t="s">
        <v>22</v>
      </c>
      <c r="Q1403">
        <v>689</v>
      </c>
      <c r="R1403" t="s">
        <v>1607</v>
      </c>
      <c r="S1403">
        <f>IF(support_tickets[[#This Row],[status_cleaned]]="closed",1,0)</f>
        <v>0</v>
      </c>
      <c r="T1403" t="str">
        <f>TEXT(support_tickets[[#This Row],[opened_at]],"mmm yyyy")</f>
        <v>Feb 2025</v>
      </c>
      <c r="U1403">
        <f>YEAR(support_tickets[[#This Row],[opened_at]])*100+MONTH(support_tickets[[#This Row],[opened_at]])</f>
        <v>202502</v>
      </c>
      <c r="V1403" s="29">
        <f>DATE(YEAR(support_tickets[[#This Row],[opened_at]]),MONTH(support_tickets[[#This Row],[opened_at]]),1)</f>
        <v>45689</v>
      </c>
    </row>
    <row r="1404" spans="1:22">
      <c r="A1404">
        <v>5163752437</v>
      </c>
      <c r="B1404">
        <v>670201461</v>
      </c>
      <c r="C1404" t="s">
        <v>1066</v>
      </c>
      <c r="D1404" t="s">
        <v>1067</v>
      </c>
      <c r="E1404">
        <v>55667651</v>
      </c>
      <c r="F1404">
        <v>2777021820</v>
      </c>
      <c r="G1404" s="1">
        <v>45616.182511574072</v>
      </c>
      <c r="I1404" t="s">
        <v>37</v>
      </c>
      <c r="J1404" t="s">
        <v>86</v>
      </c>
      <c r="K1404" t="s">
        <v>73</v>
      </c>
      <c r="L1404" t="s">
        <v>66</v>
      </c>
      <c r="M1404">
        <v>66</v>
      </c>
      <c r="O1404">
        <v>0</v>
      </c>
      <c r="P1404" t="s">
        <v>87</v>
      </c>
      <c r="Q1404">
        <v>724</v>
      </c>
      <c r="R1404" t="s">
        <v>1607</v>
      </c>
      <c r="S1404">
        <f>IF(support_tickets[[#This Row],[status_cleaned]]="closed",1,0)</f>
        <v>0</v>
      </c>
      <c r="T1404" t="str">
        <f>TEXT(support_tickets[[#This Row],[opened_at]],"mmm yyyy")</f>
        <v>Nov 2024</v>
      </c>
      <c r="U1404">
        <f>YEAR(support_tickets[[#This Row],[opened_at]])*100+MONTH(support_tickets[[#This Row],[opened_at]])</f>
        <v>202411</v>
      </c>
      <c r="V1404" s="29">
        <f>DATE(YEAR(support_tickets[[#This Row],[opened_at]]),MONTH(support_tickets[[#This Row],[opened_at]]),1)</f>
        <v>45597</v>
      </c>
    </row>
    <row r="1405" spans="1:22">
      <c r="A1405">
        <v>5324360248</v>
      </c>
      <c r="B1405">
        <v>639945876</v>
      </c>
      <c r="C1405" t="s">
        <v>1096</v>
      </c>
      <c r="D1405" t="s">
        <v>1097</v>
      </c>
      <c r="E1405">
        <v>89254563</v>
      </c>
      <c r="F1405">
        <v>2808511815</v>
      </c>
      <c r="G1405" s="1">
        <v>46074.049583333333</v>
      </c>
      <c r="I1405" t="s">
        <v>37</v>
      </c>
      <c r="J1405" t="s">
        <v>38</v>
      </c>
      <c r="K1405" t="s">
        <v>73</v>
      </c>
      <c r="L1405" t="s">
        <v>66</v>
      </c>
      <c r="M1405">
        <v>18</v>
      </c>
      <c r="O1405">
        <v>0</v>
      </c>
      <c r="P1405" t="s">
        <v>40</v>
      </c>
      <c r="Q1405">
        <v>761</v>
      </c>
      <c r="R1405" t="s">
        <v>1607</v>
      </c>
      <c r="S1405">
        <f>IF(support_tickets[[#This Row],[status_cleaned]]="closed",1,0)</f>
        <v>0</v>
      </c>
      <c r="T1405" t="str">
        <f>TEXT(support_tickets[[#This Row],[opened_at]],"mmm yyyy")</f>
        <v>Feb 2026</v>
      </c>
      <c r="U1405">
        <f>YEAR(support_tickets[[#This Row],[opened_at]])*100+MONTH(support_tickets[[#This Row],[opened_at]])</f>
        <v>202602</v>
      </c>
      <c r="V1405" s="29">
        <f>DATE(YEAR(support_tickets[[#This Row],[opened_at]]),MONTH(support_tickets[[#This Row],[opened_at]]),1)</f>
        <v>46054</v>
      </c>
    </row>
    <row r="1406" spans="1:22">
      <c r="A1406">
        <v>5336382273</v>
      </c>
      <c r="B1406">
        <v>715122372</v>
      </c>
      <c r="C1406" t="s">
        <v>1102</v>
      </c>
      <c r="D1406" t="s">
        <v>1103</v>
      </c>
      <c r="E1406">
        <v>91030736</v>
      </c>
      <c r="G1406" s="1">
        <v>45785.491064814814</v>
      </c>
      <c r="I1406" t="s">
        <v>3</v>
      </c>
      <c r="J1406" t="s">
        <v>19</v>
      </c>
      <c r="K1406" t="s">
        <v>73</v>
      </c>
      <c r="L1406" t="s">
        <v>66</v>
      </c>
      <c r="M1406">
        <v>56</v>
      </c>
      <c r="O1406">
        <v>0</v>
      </c>
      <c r="P1406" t="s">
        <v>22</v>
      </c>
      <c r="Q1406">
        <v>765</v>
      </c>
      <c r="R1406" t="s">
        <v>1607</v>
      </c>
      <c r="S1406">
        <f>IF(support_tickets[[#This Row],[status_cleaned]]="closed",1,0)</f>
        <v>0</v>
      </c>
      <c r="T1406" t="str">
        <f>TEXT(support_tickets[[#This Row],[opened_at]],"mmm yyyy")</f>
        <v>May 2025</v>
      </c>
      <c r="U1406">
        <f>YEAR(support_tickets[[#This Row],[opened_at]])*100+MONTH(support_tickets[[#This Row],[opened_at]])</f>
        <v>202505</v>
      </c>
      <c r="V1406" s="29">
        <f>DATE(YEAR(support_tickets[[#This Row],[opened_at]]),MONTH(support_tickets[[#This Row],[opened_at]]),1)</f>
        <v>45778</v>
      </c>
    </row>
    <row r="1407" spans="1:22">
      <c r="A1407">
        <v>5391495878</v>
      </c>
      <c r="B1407">
        <v>855438611</v>
      </c>
      <c r="C1407" t="s">
        <v>608</v>
      </c>
      <c r="D1407" t="s">
        <v>609</v>
      </c>
      <c r="E1407">
        <v>29175900</v>
      </c>
      <c r="G1407" s="1">
        <v>45293.36278935185</v>
      </c>
      <c r="I1407" t="s">
        <v>37</v>
      </c>
      <c r="J1407" t="s">
        <v>25</v>
      </c>
      <c r="K1407" t="s">
        <v>73</v>
      </c>
      <c r="L1407" t="s">
        <v>66</v>
      </c>
      <c r="M1407">
        <v>32</v>
      </c>
      <c r="O1407">
        <v>0</v>
      </c>
      <c r="P1407" t="s">
        <v>27</v>
      </c>
      <c r="Q1407">
        <v>779</v>
      </c>
      <c r="R1407" t="s">
        <v>1607</v>
      </c>
      <c r="S1407">
        <f>IF(support_tickets[[#This Row],[status_cleaned]]="closed",1,0)</f>
        <v>0</v>
      </c>
      <c r="T1407" t="str">
        <f>TEXT(support_tickets[[#This Row],[opened_at]],"mmm yyyy")</f>
        <v>Jan 2024</v>
      </c>
      <c r="U1407">
        <f>YEAR(support_tickets[[#This Row],[opened_at]])*100+MONTH(support_tickets[[#This Row],[opened_at]])</f>
        <v>202401</v>
      </c>
      <c r="V1407" s="29">
        <f>DATE(YEAR(support_tickets[[#This Row],[opened_at]]),MONTH(support_tickets[[#This Row],[opened_at]]),1)</f>
        <v>45292</v>
      </c>
    </row>
    <row r="1408" spans="1:22">
      <c r="A1408">
        <v>5412290640</v>
      </c>
      <c r="B1408">
        <v>715766024</v>
      </c>
      <c r="C1408" t="s">
        <v>748</v>
      </c>
      <c r="D1408" t="s">
        <v>749</v>
      </c>
      <c r="E1408">
        <v>70855700</v>
      </c>
      <c r="G1408" s="1">
        <v>45392.917858796296</v>
      </c>
      <c r="I1408" t="s">
        <v>43</v>
      </c>
      <c r="J1408" t="s">
        <v>86</v>
      </c>
      <c r="K1408" t="s">
        <v>73</v>
      </c>
      <c r="L1408" t="s">
        <v>66</v>
      </c>
      <c r="M1408">
        <v>45</v>
      </c>
      <c r="O1408">
        <v>0</v>
      </c>
      <c r="P1408" t="s">
        <v>87</v>
      </c>
      <c r="Q1408">
        <v>782</v>
      </c>
      <c r="R1408" t="s">
        <v>1607</v>
      </c>
      <c r="S1408">
        <f>IF(support_tickets[[#This Row],[status_cleaned]]="closed",1,0)</f>
        <v>0</v>
      </c>
      <c r="T1408" t="str">
        <f>TEXT(support_tickets[[#This Row],[opened_at]],"mmm yyyy")</f>
        <v>Apr 2024</v>
      </c>
      <c r="U1408">
        <f>YEAR(support_tickets[[#This Row],[opened_at]])*100+MONTH(support_tickets[[#This Row],[opened_at]])</f>
        <v>202404</v>
      </c>
      <c r="V1408" s="29">
        <f>DATE(YEAR(support_tickets[[#This Row],[opened_at]]),MONTH(support_tickets[[#This Row],[opened_at]]),1)</f>
        <v>45383</v>
      </c>
    </row>
    <row r="1409" spans="1:22">
      <c r="A1409">
        <v>5774483398</v>
      </c>
      <c r="B1409">
        <v>964027324</v>
      </c>
      <c r="C1409" t="s">
        <v>962</v>
      </c>
      <c r="D1409" t="s">
        <v>963</v>
      </c>
      <c r="E1409">
        <v>81182864</v>
      </c>
      <c r="F1409">
        <v>1478384314</v>
      </c>
      <c r="G1409" s="1">
        <v>45795.576331018521</v>
      </c>
      <c r="I1409" t="s">
        <v>43</v>
      </c>
      <c r="J1409" t="s">
        <v>30</v>
      </c>
      <c r="K1409" t="s">
        <v>73</v>
      </c>
      <c r="L1409" t="s">
        <v>66</v>
      </c>
      <c r="M1409">
        <v>49</v>
      </c>
      <c r="O1409">
        <v>0</v>
      </c>
      <c r="P1409" t="s">
        <v>31</v>
      </c>
      <c r="Q1409">
        <v>850</v>
      </c>
      <c r="R1409" t="s">
        <v>1607</v>
      </c>
      <c r="S1409">
        <f>IF(support_tickets[[#This Row],[status_cleaned]]="closed",1,0)</f>
        <v>0</v>
      </c>
      <c r="T1409" t="str">
        <f>TEXT(support_tickets[[#This Row],[opened_at]],"mmm yyyy")</f>
        <v>May 2025</v>
      </c>
      <c r="U1409">
        <f>YEAR(support_tickets[[#This Row],[opened_at]])*100+MONTH(support_tickets[[#This Row],[opened_at]])</f>
        <v>202505</v>
      </c>
      <c r="V1409" s="29">
        <f>DATE(YEAR(support_tickets[[#This Row],[opened_at]]),MONTH(support_tickets[[#This Row],[opened_at]]),1)</f>
        <v>45778</v>
      </c>
    </row>
    <row r="1410" spans="1:22">
      <c r="A1410">
        <v>6456408149</v>
      </c>
      <c r="B1410">
        <v>262598077</v>
      </c>
      <c r="C1410" t="s">
        <v>818</v>
      </c>
      <c r="D1410" t="s">
        <v>819</v>
      </c>
      <c r="E1410">
        <v>46913810</v>
      </c>
      <c r="G1410" s="1">
        <v>45433.903680555559</v>
      </c>
      <c r="I1410" t="s">
        <v>43</v>
      </c>
      <c r="J1410" t="s">
        <v>30</v>
      </c>
      <c r="K1410" t="s">
        <v>73</v>
      </c>
      <c r="L1410" t="s">
        <v>66</v>
      </c>
      <c r="M1410">
        <v>23</v>
      </c>
      <c r="O1410">
        <v>0</v>
      </c>
      <c r="P1410" t="s">
        <v>31</v>
      </c>
      <c r="Q1410">
        <v>969</v>
      </c>
      <c r="R1410" t="s">
        <v>1607</v>
      </c>
      <c r="S1410">
        <f>IF(support_tickets[[#This Row],[status_cleaned]]="closed",1,0)</f>
        <v>0</v>
      </c>
      <c r="T1410" t="str">
        <f>TEXT(support_tickets[[#This Row],[opened_at]],"mmm yyyy")</f>
        <v>May 2024</v>
      </c>
      <c r="U1410">
        <f>YEAR(support_tickets[[#This Row],[opened_at]])*100+MONTH(support_tickets[[#This Row],[opened_at]])</f>
        <v>202405</v>
      </c>
      <c r="V1410" s="29">
        <f>DATE(YEAR(support_tickets[[#This Row],[opened_at]]),MONTH(support_tickets[[#This Row],[opened_at]]),1)</f>
        <v>45413</v>
      </c>
    </row>
    <row r="1411" spans="1:22">
      <c r="A1411">
        <v>8027135747</v>
      </c>
      <c r="B1411">
        <v>924399252</v>
      </c>
      <c r="C1411" t="s">
        <v>1423</v>
      </c>
      <c r="D1411" t="s">
        <v>1424</v>
      </c>
      <c r="E1411">
        <v>83140807</v>
      </c>
      <c r="G1411" s="1">
        <v>45305.248865740738</v>
      </c>
      <c r="I1411" t="s">
        <v>52</v>
      </c>
      <c r="J1411" t="s">
        <v>59</v>
      </c>
      <c r="K1411" t="s">
        <v>73</v>
      </c>
      <c r="L1411" t="s">
        <v>66</v>
      </c>
      <c r="M1411">
        <v>80</v>
      </c>
      <c r="O1411">
        <v>0</v>
      </c>
      <c r="P1411" t="s">
        <v>61</v>
      </c>
      <c r="Q1411">
        <v>1188</v>
      </c>
      <c r="R1411" t="s">
        <v>1607</v>
      </c>
      <c r="S1411">
        <f>IF(support_tickets[[#This Row],[status_cleaned]]="closed",1,0)</f>
        <v>0</v>
      </c>
      <c r="T1411" t="str">
        <f>TEXT(support_tickets[[#This Row],[opened_at]],"mmm yyyy")</f>
        <v>Jan 2024</v>
      </c>
      <c r="U1411">
        <f>YEAR(support_tickets[[#This Row],[opened_at]])*100+MONTH(support_tickets[[#This Row],[opened_at]])</f>
        <v>202401</v>
      </c>
      <c r="V1411" s="29">
        <f>DATE(YEAR(support_tickets[[#This Row],[opened_at]]),MONTH(support_tickets[[#This Row],[opened_at]]),1)</f>
        <v>45292</v>
      </c>
    </row>
    <row r="1412" spans="1:22">
      <c r="A1412">
        <v>8108704549</v>
      </c>
      <c r="B1412">
        <v>731130400</v>
      </c>
      <c r="C1412" t="s">
        <v>390</v>
      </c>
      <c r="D1412" t="s">
        <v>391</v>
      </c>
      <c r="E1412">
        <v>20570592</v>
      </c>
      <c r="F1412">
        <v>5767649713</v>
      </c>
      <c r="G1412" s="1">
        <v>45399.247673611113</v>
      </c>
      <c r="H1412" s="1">
        <v>45399.535173611112</v>
      </c>
      <c r="I1412" t="s">
        <v>46</v>
      </c>
      <c r="J1412" t="s">
        <v>30</v>
      </c>
      <c r="K1412" t="s">
        <v>73</v>
      </c>
      <c r="L1412" t="s">
        <v>66</v>
      </c>
      <c r="M1412">
        <v>30</v>
      </c>
      <c r="N1412">
        <v>414</v>
      </c>
      <c r="O1412">
        <v>0</v>
      </c>
      <c r="P1412" t="s">
        <v>31</v>
      </c>
      <c r="Q1412">
        <v>1198</v>
      </c>
      <c r="R1412" t="s">
        <v>1607</v>
      </c>
      <c r="S1412">
        <f>IF(support_tickets[[#This Row],[status_cleaned]]="closed",1,0)</f>
        <v>0</v>
      </c>
      <c r="T1412" t="str">
        <f>TEXT(support_tickets[[#This Row],[opened_at]],"mmm yyyy")</f>
        <v>Apr 2024</v>
      </c>
      <c r="U1412">
        <f>YEAR(support_tickets[[#This Row],[opened_at]])*100+MONTH(support_tickets[[#This Row],[opened_at]])</f>
        <v>202404</v>
      </c>
      <c r="V1412" s="29">
        <f>DATE(YEAR(support_tickets[[#This Row],[opened_at]]),MONTH(support_tickets[[#This Row],[opened_at]]),1)</f>
        <v>45383</v>
      </c>
    </row>
    <row r="1413" spans="1:22">
      <c r="A1413">
        <v>8524720441</v>
      </c>
      <c r="B1413">
        <v>599714064</v>
      </c>
      <c r="C1413" t="s">
        <v>791</v>
      </c>
      <c r="D1413" t="s">
        <v>792</v>
      </c>
      <c r="E1413">
        <v>28728463</v>
      </c>
      <c r="G1413" s="1">
        <v>45687.003020833334</v>
      </c>
      <c r="I1413" t="s">
        <v>3</v>
      </c>
      <c r="J1413" t="s">
        <v>86</v>
      </c>
      <c r="K1413" t="s">
        <v>73</v>
      </c>
      <c r="L1413" t="s">
        <v>66</v>
      </c>
      <c r="M1413">
        <v>23</v>
      </c>
      <c r="O1413">
        <v>0</v>
      </c>
      <c r="P1413" t="s">
        <v>87</v>
      </c>
      <c r="Q1413">
        <v>1263</v>
      </c>
      <c r="R1413" t="s">
        <v>1607</v>
      </c>
      <c r="S1413">
        <f>IF(support_tickets[[#This Row],[status_cleaned]]="closed",1,0)</f>
        <v>0</v>
      </c>
      <c r="T1413" t="str">
        <f>TEXT(support_tickets[[#This Row],[opened_at]],"mmm yyyy")</f>
        <v>Jan 2025</v>
      </c>
      <c r="U1413">
        <f>YEAR(support_tickets[[#This Row],[opened_at]])*100+MONTH(support_tickets[[#This Row],[opened_at]])</f>
        <v>202501</v>
      </c>
      <c r="V1413" s="29">
        <f>DATE(YEAR(support_tickets[[#This Row],[opened_at]]),MONTH(support_tickets[[#This Row],[opened_at]]),1)</f>
        <v>45658</v>
      </c>
    </row>
    <row r="1414" spans="1:22">
      <c r="A1414">
        <v>8753964973</v>
      </c>
      <c r="B1414">
        <v>587853601</v>
      </c>
      <c r="C1414" t="s">
        <v>648</v>
      </c>
      <c r="D1414" t="s">
        <v>649</v>
      </c>
      <c r="E1414">
        <v>66306997</v>
      </c>
      <c r="G1414" s="1">
        <v>45707.037187499998</v>
      </c>
      <c r="I1414" t="s">
        <v>56</v>
      </c>
      <c r="J1414" t="s">
        <v>25</v>
      </c>
      <c r="K1414" t="s">
        <v>73</v>
      </c>
      <c r="L1414" t="s">
        <v>66</v>
      </c>
      <c r="M1414">
        <v>48</v>
      </c>
      <c r="O1414">
        <v>0</v>
      </c>
      <c r="P1414" t="s">
        <v>27</v>
      </c>
      <c r="Q1414">
        <v>1303</v>
      </c>
      <c r="R1414" t="s">
        <v>1607</v>
      </c>
      <c r="S1414">
        <f>IF(support_tickets[[#This Row],[status_cleaned]]="closed",1,0)</f>
        <v>0</v>
      </c>
      <c r="T1414" t="str">
        <f>TEXT(support_tickets[[#This Row],[opened_at]],"mmm yyyy")</f>
        <v>Feb 2025</v>
      </c>
      <c r="U1414">
        <f>YEAR(support_tickets[[#This Row],[opened_at]])*100+MONTH(support_tickets[[#This Row],[opened_at]])</f>
        <v>202502</v>
      </c>
      <c r="V1414" s="29">
        <f>DATE(YEAR(support_tickets[[#This Row],[opened_at]]),MONTH(support_tickets[[#This Row],[opened_at]]),1)</f>
        <v>45689</v>
      </c>
    </row>
    <row r="1415" spans="1:22">
      <c r="A1415">
        <v>8976420044</v>
      </c>
      <c r="B1415">
        <v>926178355</v>
      </c>
      <c r="C1415" t="s">
        <v>102</v>
      </c>
      <c r="D1415" t="s">
        <v>103</v>
      </c>
      <c r="E1415">
        <v>23756669</v>
      </c>
      <c r="G1415" s="1">
        <v>45919.2108912037</v>
      </c>
      <c r="H1415" s="1">
        <v>45919.639363425929</v>
      </c>
      <c r="I1415" t="s">
        <v>46</v>
      </c>
      <c r="J1415" t="s">
        <v>19</v>
      </c>
      <c r="K1415" t="s">
        <v>73</v>
      </c>
      <c r="L1415" t="s">
        <v>66</v>
      </c>
      <c r="M1415">
        <v>22</v>
      </c>
      <c r="N1415">
        <v>617</v>
      </c>
      <c r="O1415">
        <v>0</v>
      </c>
      <c r="P1415" t="s">
        <v>22</v>
      </c>
      <c r="Q1415">
        <v>1339</v>
      </c>
      <c r="R1415" t="s">
        <v>1607</v>
      </c>
      <c r="S1415">
        <f>IF(support_tickets[[#This Row],[status_cleaned]]="closed",1,0)</f>
        <v>0</v>
      </c>
      <c r="T1415" t="str">
        <f>TEXT(support_tickets[[#This Row],[opened_at]],"mmm yyyy")</f>
        <v>Sep 2025</v>
      </c>
      <c r="U1415">
        <f>YEAR(support_tickets[[#This Row],[opened_at]])*100+MONTH(support_tickets[[#This Row],[opened_at]])</f>
        <v>202509</v>
      </c>
      <c r="V1415" s="29">
        <f>DATE(YEAR(support_tickets[[#This Row],[opened_at]]),MONTH(support_tickets[[#This Row],[opened_at]]),1)</f>
        <v>45901</v>
      </c>
    </row>
    <row r="1416" spans="1:22">
      <c r="A1416">
        <v>9357444493</v>
      </c>
      <c r="B1416">
        <v>721132087</v>
      </c>
      <c r="C1416" t="s">
        <v>878</v>
      </c>
      <c r="D1416" t="s">
        <v>879</v>
      </c>
      <c r="E1416">
        <v>22201654</v>
      </c>
      <c r="F1416">
        <v>4917221541</v>
      </c>
      <c r="G1416" s="1">
        <v>45581.986597222225</v>
      </c>
      <c r="I1416" t="s">
        <v>37</v>
      </c>
      <c r="J1416" t="s">
        <v>19</v>
      </c>
      <c r="K1416" t="s">
        <v>73</v>
      </c>
      <c r="L1416" t="s">
        <v>66</v>
      </c>
      <c r="M1416">
        <v>27</v>
      </c>
      <c r="O1416">
        <v>0</v>
      </c>
      <c r="P1416" t="s">
        <v>22</v>
      </c>
      <c r="Q1416">
        <v>1412</v>
      </c>
      <c r="R1416" t="s">
        <v>1607</v>
      </c>
      <c r="S1416">
        <f>IF(support_tickets[[#This Row],[status_cleaned]]="closed",1,0)</f>
        <v>0</v>
      </c>
      <c r="T1416" t="str">
        <f>TEXT(support_tickets[[#This Row],[opened_at]],"mmm yyyy")</f>
        <v>Oct 2024</v>
      </c>
      <c r="U1416">
        <f>YEAR(support_tickets[[#This Row],[opened_at]])*100+MONTH(support_tickets[[#This Row],[opened_at]])</f>
        <v>202410</v>
      </c>
      <c r="V1416" s="29">
        <f>DATE(YEAR(support_tickets[[#This Row],[opened_at]]),MONTH(support_tickets[[#This Row],[opened_at]]),1)</f>
        <v>45566</v>
      </c>
    </row>
    <row r="1417" spans="1:22">
      <c r="A1417">
        <v>9880793275</v>
      </c>
      <c r="B1417">
        <v>582750043</v>
      </c>
      <c r="C1417" t="s">
        <v>260</v>
      </c>
      <c r="D1417" t="s">
        <v>261</v>
      </c>
      <c r="E1417">
        <v>71586053</v>
      </c>
      <c r="G1417" s="1">
        <v>45486.673067129632</v>
      </c>
      <c r="I1417" t="s">
        <v>56</v>
      </c>
      <c r="J1417" t="s">
        <v>25</v>
      </c>
      <c r="K1417" t="s">
        <v>73</v>
      </c>
      <c r="L1417" t="s">
        <v>66</v>
      </c>
      <c r="M1417">
        <v>27</v>
      </c>
      <c r="O1417">
        <v>0</v>
      </c>
      <c r="P1417" t="s">
        <v>27</v>
      </c>
      <c r="Q1417">
        <v>1490</v>
      </c>
      <c r="R1417" t="s">
        <v>1607</v>
      </c>
      <c r="S1417">
        <f>IF(support_tickets[[#This Row],[status_cleaned]]="closed",1,0)</f>
        <v>0</v>
      </c>
      <c r="T1417" t="str">
        <f>TEXT(support_tickets[[#This Row],[opened_at]],"mmm yyyy")</f>
        <v>Jul 2024</v>
      </c>
      <c r="U1417">
        <f>YEAR(support_tickets[[#This Row],[opened_at]])*100+MONTH(support_tickets[[#This Row],[opened_at]])</f>
        <v>202407</v>
      </c>
      <c r="V1417" s="29">
        <f>DATE(YEAR(support_tickets[[#This Row],[opened_at]]),MONTH(support_tickets[[#This Row],[opened_at]]),1)</f>
        <v>45474</v>
      </c>
    </row>
    <row r="1418" spans="1:22">
      <c r="A1418">
        <v>1174964107</v>
      </c>
      <c r="B1418">
        <v>989368954</v>
      </c>
      <c r="C1418" t="s">
        <v>108</v>
      </c>
      <c r="D1418" t="s">
        <v>109</v>
      </c>
      <c r="E1418">
        <v>63551839</v>
      </c>
      <c r="G1418" s="1">
        <v>45651.437893518516</v>
      </c>
      <c r="H1418" s="1">
        <v>45651.688587962963</v>
      </c>
      <c r="I1418" t="s">
        <v>56</v>
      </c>
      <c r="J1418" t="s">
        <v>38</v>
      </c>
      <c r="K1418" t="s">
        <v>73</v>
      </c>
      <c r="L1418" t="s">
        <v>21</v>
      </c>
      <c r="M1418">
        <v>54</v>
      </c>
      <c r="N1418">
        <v>361</v>
      </c>
      <c r="O1418">
        <v>0</v>
      </c>
      <c r="P1418" t="s">
        <v>40</v>
      </c>
      <c r="Q1418">
        <v>33</v>
      </c>
      <c r="R1418" t="s">
        <v>39</v>
      </c>
      <c r="S1418">
        <f>IF(support_tickets[[#This Row],[status_cleaned]]="closed",1,0)</f>
        <v>1</v>
      </c>
      <c r="T1418" t="str">
        <f>TEXT(support_tickets[[#This Row],[opened_at]],"mmm yyyy")</f>
        <v>Dec 2024</v>
      </c>
      <c r="U1418">
        <f>YEAR(support_tickets[[#This Row],[opened_at]])*100+MONTH(support_tickets[[#This Row],[opened_at]])</f>
        <v>202412</v>
      </c>
      <c r="V1418" s="29">
        <f>DATE(YEAR(support_tickets[[#This Row],[opened_at]]),MONTH(support_tickets[[#This Row],[opened_at]]),1)</f>
        <v>45627</v>
      </c>
    </row>
    <row r="1419" spans="1:22">
      <c r="A1419">
        <v>1202908421</v>
      </c>
      <c r="B1419">
        <v>549661921</v>
      </c>
      <c r="C1419" t="s">
        <v>118</v>
      </c>
      <c r="D1419" t="s">
        <v>119</v>
      </c>
      <c r="E1419">
        <v>56164955</v>
      </c>
      <c r="F1419">
        <v>6817218959</v>
      </c>
      <c r="G1419" s="1">
        <v>45627.117800925924</v>
      </c>
      <c r="H1419" s="1">
        <v>45627.468495370369</v>
      </c>
      <c r="I1419" t="s">
        <v>18</v>
      </c>
      <c r="J1419" t="s">
        <v>19</v>
      </c>
      <c r="K1419" t="s">
        <v>73</v>
      </c>
      <c r="L1419" t="s">
        <v>21</v>
      </c>
      <c r="M1419">
        <v>1</v>
      </c>
      <c r="N1419">
        <v>505</v>
      </c>
      <c r="O1419">
        <v>0</v>
      </c>
      <c r="P1419" t="s">
        <v>22</v>
      </c>
      <c r="Q1419">
        <v>38</v>
      </c>
      <c r="R1419" t="s">
        <v>39</v>
      </c>
      <c r="S1419">
        <f>IF(support_tickets[[#This Row],[status_cleaned]]="closed",1,0)</f>
        <v>1</v>
      </c>
      <c r="T1419" t="str">
        <f>TEXT(support_tickets[[#This Row],[opened_at]],"mmm yyyy")</f>
        <v>Dec 2024</v>
      </c>
      <c r="U1419">
        <f>YEAR(support_tickets[[#This Row],[opened_at]])*100+MONTH(support_tickets[[#This Row],[opened_at]])</f>
        <v>202412</v>
      </c>
      <c r="V1419" s="29">
        <f>DATE(YEAR(support_tickets[[#This Row],[opened_at]]),MONTH(support_tickets[[#This Row],[opened_at]]),1)</f>
        <v>45627</v>
      </c>
    </row>
    <row r="1420" spans="1:22">
      <c r="A1420">
        <v>1577539020</v>
      </c>
      <c r="B1420">
        <v>365713980</v>
      </c>
      <c r="C1420" t="s">
        <v>228</v>
      </c>
      <c r="D1420" t="s">
        <v>229</v>
      </c>
      <c r="E1420">
        <v>49349722</v>
      </c>
      <c r="F1420">
        <v>8309328395</v>
      </c>
      <c r="G1420" s="1">
        <v>45368.387928240743</v>
      </c>
      <c r="H1420" s="1">
        <v>45368.580983796295</v>
      </c>
      <c r="I1420" t="s">
        <v>56</v>
      </c>
      <c r="J1420" t="s">
        <v>38</v>
      </c>
      <c r="K1420" t="s">
        <v>73</v>
      </c>
      <c r="L1420" t="s">
        <v>21</v>
      </c>
      <c r="M1420">
        <v>13</v>
      </c>
      <c r="N1420">
        <v>278</v>
      </c>
      <c r="O1420">
        <v>0</v>
      </c>
      <c r="P1420" t="s">
        <v>40</v>
      </c>
      <c r="Q1420">
        <v>99</v>
      </c>
      <c r="R1420" t="s">
        <v>39</v>
      </c>
      <c r="S1420">
        <f>IF(support_tickets[[#This Row],[status_cleaned]]="closed",1,0)</f>
        <v>1</v>
      </c>
      <c r="T1420" t="str">
        <f>TEXT(support_tickets[[#This Row],[opened_at]],"mmm yyyy")</f>
        <v>Mar 2024</v>
      </c>
      <c r="U1420">
        <f>YEAR(support_tickets[[#This Row],[opened_at]])*100+MONTH(support_tickets[[#This Row],[opened_at]])</f>
        <v>202403</v>
      </c>
      <c r="V1420" s="29">
        <f>DATE(YEAR(support_tickets[[#This Row],[opened_at]]),MONTH(support_tickets[[#This Row],[opened_at]]),1)</f>
        <v>45352</v>
      </c>
    </row>
    <row r="1421" spans="1:22">
      <c r="A1421">
        <v>1620377358</v>
      </c>
      <c r="B1421">
        <v>334517688</v>
      </c>
      <c r="C1421" t="s">
        <v>248</v>
      </c>
      <c r="D1421" t="s">
        <v>249</v>
      </c>
      <c r="E1421">
        <v>26753883</v>
      </c>
      <c r="G1421" s="1">
        <v>45625.390185185184</v>
      </c>
      <c r="H1421" s="1">
        <v>45625.786712962959</v>
      </c>
      <c r="I1421" t="s">
        <v>46</v>
      </c>
      <c r="J1421" t="s">
        <v>59</v>
      </c>
      <c r="K1421" t="s">
        <v>73</v>
      </c>
      <c r="L1421" t="s">
        <v>21</v>
      </c>
      <c r="M1421">
        <v>61</v>
      </c>
      <c r="N1421">
        <v>571</v>
      </c>
      <c r="O1421">
        <v>0</v>
      </c>
      <c r="P1421" t="s">
        <v>61</v>
      </c>
      <c r="Q1421">
        <v>111</v>
      </c>
      <c r="R1421" t="s">
        <v>39</v>
      </c>
      <c r="S1421">
        <f>IF(support_tickets[[#This Row],[status_cleaned]]="closed",1,0)</f>
        <v>1</v>
      </c>
      <c r="T1421" t="str">
        <f>TEXT(support_tickets[[#This Row],[opened_at]],"mmm yyyy")</f>
        <v>Nov 2024</v>
      </c>
      <c r="U1421">
        <f>YEAR(support_tickets[[#This Row],[opened_at]])*100+MONTH(support_tickets[[#This Row],[opened_at]])</f>
        <v>202411</v>
      </c>
      <c r="V1421" s="29">
        <f>DATE(YEAR(support_tickets[[#This Row],[opened_at]]),MONTH(support_tickets[[#This Row],[opened_at]]),1)</f>
        <v>45597</v>
      </c>
    </row>
    <row r="1422" spans="1:22">
      <c r="A1422">
        <v>1625237388</v>
      </c>
      <c r="B1422">
        <v>817029885</v>
      </c>
      <c r="C1422" t="s">
        <v>252</v>
      </c>
      <c r="D1422" t="s">
        <v>253</v>
      </c>
      <c r="E1422">
        <v>55657579</v>
      </c>
      <c r="G1422" s="1">
        <v>46109.830567129633</v>
      </c>
      <c r="H1422" s="1">
        <v>46110.205567129633</v>
      </c>
      <c r="I1422" t="s">
        <v>18</v>
      </c>
      <c r="J1422" t="s">
        <v>38</v>
      </c>
      <c r="K1422" t="s">
        <v>73</v>
      </c>
      <c r="L1422" t="s">
        <v>21</v>
      </c>
      <c r="M1422">
        <v>82</v>
      </c>
      <c r="N1422">
        <v>540</v>
      </c>
      <c r="O1422">
        <v>0</v>
      </c>
      <c r="P1422" t="s">
        <v>40</v>
      </c>
      <c r="Q1422">
        <v>113</v>
      </c>
      <c r="R1422" t="s">
        <v>39</v>
      </c>
      <c r="S1422">
        <f>IF(support_tickets[[#This Row],[status_cleaned]]="closed",1,0)</f>
        <v>1</v>
      </c>
      <c r="T1422" t="str">
        <f>TEXT(support_tickets[[#This Row],[opened_at]],"mmm yyyy")</f>
        <v>Mar 2026</v>
      </c>
      <c r="U1422">
        <f>YEAR(support_tickets[[#This Row],[opened_at]])*100+MONTH(support_tickets[[#This Row],[opened_at]])</f>
        <v>202603</v>
      </c>
      <c r="V1422" s="29">
        <f>DATE(YEAR(support_tickets[[#This Row],[opened_at]]),MONTH(support_tickets[[#This Row],[opened_at]]),1)</f>
        <v>46082</v>
      </c>
    </row>
    <row r="1423" spans="1:22">
      <c r="A1423">
        <v>1642756977</v>
      </c>
      <c r="B1423">
        <v>299929730</v>
      </c>
      <c r="C1423" t="s">
        <v>256</v>
      </c>
      <c r="D1423" t="s">
        <v>257</v>
      </c>
      <c r="E1423">
        <v>18883684</v>
      </c>
      <c r="G1423" s="1">
        <v>45616.795023148145</v>
      </c>
      <c r="H1423" s="1">
        <v>45617.120717592596</v>
      </c>
      <c r="I1423" t="s">
        <v>56</v>
      </c>
      <c r="J1423" t="s">
        <v>38</v>
      </c>
      <c r="K1423" t="s">
        <v>73</v>
      </c>
      <c r="L1423" t="s">
        <v>21</v>
      </c>
      <c r="M1423">
        <v>29</v>
      </c>
      <c r="N1423">
        <v>469</v>
      </c>
      <c r="O1423">
        <v>0</v>
      </c>
      <c r="P1423" t="s">
        <v>40</v>
      </c>
      <c r="Q1423">
        <v>115</v>
      </c>
      <c r="R1423" t="s">
        <v>39</v>
      </c>
      <c r="S1423">
        <f>IF(support_tickets[[#This Row],[status_cleaned]]="closed",1,0)</f>
        <v>1</v>
      </c>
      <c r="T1423" t="str">
        <f>TEXT(support_tickets[[#This Row],[opened_at]],"mmm yyyy")</f>
        <v>Nov 2024</v>
      </c>
      <c r="U1423">
        <f>YEAR(support_tickets[[#This Row],[opened_at]])*100+MONTH(support_tickets[[#This Row],[opened_at]])</f>
        <v>202411</v>
      </c>
      <c r="V1423" s="29">
        <f>DATE(YEAR(support_tickets[[#This Row],[opened_at]]),MONTH(support_tickets[[#This Row],[opened_at]]),1)</f>
        <v>45597</v>
      </c>
    </row>
    <row r="1424" spans="1:22">
      <c r="A1424">
        <v>1745022857</v>
      </c>
      <c r="B1424">
        <v>857563699</v>
      </c>
      <c r="C1424" t="s">
        <v>296</v>
      </c>
      <c r="D1424" t="s">
        <v>297</v>
      </c>
      <c r="E1424">
        <v>66722344</v>
      </c>
      <c r="F1424">
        <v>7966945268</v>
      </c>
      <c r="G1424" s="1">
        <v>46004.868125000001</v>
      </c>
      <c r="H1424" s="1">
        <v>46005.111180555556</v>
      </c>
      <c r="I1424" t="s">
        <v>3</v>
      </c>
      <c r="J1424" t="s">
        <v>59</v>
      </c>
      <c r="K1424" t="s">
        <v>73</v>
      </c>
      <c r="L1424" t="s">
        <v>21</v>
      </c>
      <c r="M1424">
        <v>3</v>
      </c>
      <c r="N1424">
        <v>350</v>
      </c>
      <c r="O1424">
        <v>0</v>
      </c>
      <c r="P1424" t="s">
        <v>61</v>
      </c>
      <c r="Q1424">
        <v>138</v>
      </c>
      <c r="R1424" t="s">
        <v>39</v>
      </c>
      <c r="S1424">
        <f>IF(support_tickets[[#This Row],[status_cleaned]]="closed",1,0)</f>
        <v>1</v>
      </c>
      <c r="T1424" t="str">
        <f>TEXT(support_tickets[[#This Row],[opened_at]],"mmm yyyy")</f>
        <v>Dec 2025</v>
      </c>
      <c r="U1424">
        <f>YEAR(support_tickets[[#This Row],[opened_at]])*100+MONTH(support_tickets[[#This Row],[opened_at]])</f>
        <v>202512</v>
      </c>
      <c r="V1424" s="29">
        <f>DATE(YEAR(support_tickets[[#This Row],[opened_at]]),MONTH(support_tickets[[#This Row],[opened_at]]),1)</f>
        <v>45992</v>
      </c>
    </row>
    <row r="1425" spans="1:22">
      <c r="A1425">
        <v>1771514551</v>
      </c>
      <c r="B1425">
        <v>861863296</v>
      </c>
      <c r="C1425" t="s">
        <v>312</v>
      </c>
      <c r="D1425" t="s">
        <v>313</v>
      </c>
      <c r="E1425">
        <v>40742311</v>
      </c>
      <c r="G1425" s="1">
        <v>46034.242152777777</v>
      </c>
      <c r="H1425" s="1">
        <v>46034.295624999999</v>
      </c>
      <c r="I1425" t="s">
        <v>43</v>
      </c>
      <c r="J1425" t="s">
        <v>38</v>
      </c>
      <c r="K1425" t="s">
        <v>73</v>
      </c>
      <c r="L1425" t="s">
        <v>21</v>
      </c>
      <c r="M1425">
        <v>21</v>
      </c>
      <c r="N1425">
        <v>77</v>
      </c>
      <c r="O1425">
        <v>0</v>
      </c>
      <c r="P1425" t="s">
        <v>40</v>
      </c>
      <c r="Q1425">
        <v>147</v>
      </c>
      <c r="R1425" t="s">
        <v>39</v>
      </c>
      <c r="S1425">
        <f>IF(support_tickets[[#This Row],[status_cleaned]]="closed",1,0)</f>
        <v>1</v>
      </c>
      <c r="T1425" t="str">
        <f>TEXT(support_tickets[[#This Row],[opened_at]],"mmm yyyy")</f>
        <v>Jan 2026</v>
      </c>
      <c r="U1425">
        <f>YEAR(support_tickets[[#This Row],[opened_at]])*100+MONTH(support_tickets[[#This Row],[opened_at]])</f>
        <v>202601</v>
      </c>
      <c r="V1425" s="29">
        <f>DATE(YEAR(support_tickets[[#This Row],[opened_at]]),MONTH(support_tickets[[#This Row],[opened_at]]),1)</f>
        <v>46023</v>
      </c>
    </row>
    <row r="1426" spans="1:22">
      <c r="A1426">
        <v>1805270533</v>
      </c>
      <c r="B1426">
        <v>919395339</v>
      </c>
      <c r="C1426" t="s">
        <v>126</v>
      </c>
      <c r="D1426" t="s">
        <v>127</v>
      </c>
      <c r="E1426">
        <v>36998038</v>
      </c>
      <c r="F1426">
        <v>1383428853</v>
      </c>
      <c r="G1426" s="1">
        <v>45661.193692129629</v>
      </c>
      <c r="H1426" s="1">
        <v>45661.314525462964</v>
      </c>
      <c r="I1426" t="s">
        <v>3</v>
      </c>
      <c r="J1426" t="s">
        <v>59</v>
      </c>
      <c r="K1426" t="s">
        <v>73</v>
      </c>
      <c r="L1426" t="s">
        <v>21</v>
      </c>
      <c r="M1426">
        <v>32</v>
      </c>
      <c r="N1426">
        <v>174</v>
      </c>
      <c r="O1426">
        <v>0</v>
      </c>
      <c r="P1426" t="s">
        <v>61</v>
      </c>
      <c r="Q1426">
        <v>158</v>
      </c>
      <c r="R1426" t="s">
        <v>39</v>
      </c>
      <c r="S1426">
        <f>IF(support_tickets[[#This Row],[status_cleaned]]="closed",1,0)</f>
        <v>1</v>
      </c>
      <c r="T1426" t="str">
        <f>TEXT(support_tickets[[#This Row],[opened_at]],"mmm yyyy")</f>
        <v>Jan 2025</v>
      </c>
      <c r="U1426">
        <f>YEAR(support_tickets[[#This Row],[opened_at]])*100+MONTH(support_tickets[[#This Row],[opened_at]])</f>
        <v>202501</v>
      </c>
      <c r="V1426" s="29">
        <f>DATE(YEAR(support_tickets[[#This Row],[opened_at]]),MONTH(support_tickets[[#This Row],[opened_at]]),1)</f>
        <v>45658</v>
      </c>
    </row>
    <row r="1427" spans="1:22">
      <c r="A1427">
        <v>1854571069</v>
      </c>
      <c r="B1427">
        <v>266371119</v>
      </c>
      <c r="C1427" t="s">
        <v>112</v>
      </c>
      <c r="D1427" t="s">
        <v>113</v>
      </c>
      <c r="E1427">
        <v>49392920</v>
      </c>
      <c r="G1427" s="1">
        <v>45562.911909722221</v>
      </c>
      <c r="H1427" s="1">
        <v>45563.061909722222</v>
      </c>
      <c r="I1427" t="s">
        <v>3</v>
      </c>
      <c r="J1427" t="s">
        <v>59</v>
      </c>
      <c r="K1427" t="s">
        <v>73</v>
      </c>
      <c r="L1427" t="s">
        <v>21</v>
      </c>
      <c r="M1427">
        <v>79</v>
      </c>
      <c r="N1427">
        <v>216</v>
      </c>
      <c r="O1427">
        <v>0</v>
      </c>
      <c r="P1427" t="s">
        <v>61</v>
      </c>
      <c r="Q1427">
        <v>168</v>
      </c>
      <c r="R1427" t="s">
        <v>39</v>
      </c>
      <c r="S1427">
        <f>IF(support_tickets[[#This Row],[status_cleaned]]="closed",1,0)</f>
        <v>1</v>
      </c>
      <c r="T1427" t="str">
        <f>TEXT(support_tickets[[#This Row],[opened_at]],"mmm yyyy")</f>
        <v>Sep 2024</v>
      </c>
      <c r="U1427">
        <f>YEAR(support_tickets[[#This Row],[opened_at]])*100+MONTH(support_tickets[[#This Row],[opened_at]])</f>
        <v>202409</v>
      </c>
      <c r="V1427" s="29">
        <f>DATE(YEAR(support_tickets[[#This Row],[opened_at]]),MONTH(support_tickets[[#This Row],[opened_at]]),1)</f>
        <v>45536</v>
      </c>
    </row>
    <row r="1428" spans="1:22">
      <c r="A1428">
        <v>1888518891</v>
      </c>
      <c r="B1428">
        <v>991617660</v>
      </c>
      <c r="C1428" t="s">
        <v>148</v>
      </c>
      <c r="D1428" t="s">
        <v>149</v>
      </c>
      <c r="E1428">
        <v>16150444</v>
      </c>
      <c r="G1428" s="1">
        <v>45692.923495370371</v>
      </c>
      <c r="H1428" s="1">
        <v>45692.963078703702</v>
      </c>
      <c r="I1428" t="s">
        <v>3</v>
      </c>
      <c r="J1428" t="s">
        <v>25</v>
      </c>
      <c r="K1428" t="s">
        <v>73</v>
      </c>
      <c r="L1428" t="s">
        <v>21</v>
      </c>
      <c r="M1428">
        <v>5</v>
      </c>
      <c r="N1428">
        <v>57</v>
      </c>
      <c r="O1428">
        <v>0</v>
      </c>
      <c r="P1428" t="s">
        <v>27</v>
      </c>
      <c r="Q1428">
        <v>177</v>
      </c>
      <c r="R1428" t="s">
        <v>39</v>
      </c>
      <c r="S1428">
        <f>IF(support_tickets[[#This Row],[status_cleaned]]="closed",1,0)</f>
        <v>1</v>
      </c>
      <c r="T1428" t="str">
        <f>TEXT(support_tickets[[#This Row],[opened_at]],"mmm yyyy")</f>
        <v>Feb 2025</v>
      </c>
      <c r="U1428">
        <f>YEAR(support_tickets[[#This Row],[opened_at]])*100+MONTH(support_tickets[[#This Row],[opened_at]])</f>
        <v>202502</v>
      </c>
      <c r="V1428" s="29">
        <f>DATE(YEAR(support_tickets[[#This Row],[opened_at]]),MONTH(support_tickets[[#This Row],[opened_at]]),1)</f>
        <v>45689</v>
      </c>
    </row>
    <row r="1429" spans="1:22">
      <c r="A1429">
        <v>1929916407</v>
      </c>
      <c r="B1429">
        <v>603601664</v>
      </c>
      <c r="C1429" t="s">
        <v>368</v>
      </c>
      <c r="D1429" t="s">
        <v>369</v>
      </c>
      <c r="E1429">
        <v>42868828</v>
      </c>
      <c r="G1429" s="1">
        <v>45550.200856481482</v>
      </c>
      <c r="H1429" s="1">
        <v>45550.291134259256</v>
      </c>
      <c r="I1429" t="s">
        <v>52</v>
      </c>
      <c r="J1429" t="s">
        <v>25</v>
      </c>
      <c r="K1429" t="s">
        <v>73</v>
      </c>
      <c r="L1429" t="s">
        <v>21</v>
      </c>
      <c r="M1429">
        <v>4</v>
      </c>
      <c r="N1429">
        <v>130</v>
      </c>
      <c r="O1429">
        <v>0</v>
      </c>
      <c r="P1429" t="s">
        <v>27</v>
      </c>
      <c r="Q1429">
        <v>184</v>
      </c>
      <c r="R1429" t="s">
        <v>39</v>
      </c>
      <c r="S1429">
        <f>IF(support_tickets[[#This Row],[status_cleaned]]="closed",1,0)</f>
        <v>1</v>
      </c>
      <c r="T1429" t="str">
        <f>TEXT(support_tickets[[#This Row],[opened_at]],"mmm yyyy")</f>
        <v>Sep 2024</v>
      </c>
      <c r="U1429">
        <f>YEAR(support_tickets[[#This Row],[opened_at]])*100+MONTH(support_tickets[[#This Row],[opened_at]])</f>
        <v>202409</v>
      </c>
      <c r="V1429" s="29">
        <f>DATE(YEAR(support_tickets[[#This Row],[opened_at]]),MONTH(support_tickets[[#This Row],[opened_at]]),1)</f>
        <v>45536</v>
      </c>
    </row>
    <row r="1430" spans="1:22">
      <c r="A1430">
        <v>2144183760</v>
      </c>
      <c r="B1430">
        <v>835172306</v>
      </c>
      <c r="C1430" t="s">
        <v>192</v>
      </c>
      <c r="D1430" t="s">
        <v>193</v>
      </c>
      <c r="E1430">
        <v>95899313</v>
      </c>
      <c r="G1430" s="1">
        <v>45421.27416666667</v>
      </c>
      <c r="H1430" s="1">
        <v>45421.549861111111</v>
      </c>
      <c r="I1430" t="s">
        <v>46</v>
      </c>
      <c r="J1430" t="s">
        <v>30</v>
      </c>
      <c r="K1430" t="s">
        <v>73</v>
      </c>
      <c r="L1430" t="s">
        <v>21</v>
      </c>
      <c r="M1430">
        <v>39</v>
      </c>
      <c r="N1430">
        <v>397</v>
      </c>
      <c r="O1430">
        <v>0</v>
      </c>
      <c r="P1430" t="s">
        <v>31</v>
      </c>
      <c r="Q1430">
        <v>214</v>
      </c>
      <c r="R1430" t="s">
        <v>39</v>
      </c>
      <c r="S1430">
        <f>IF(support_tickets[[#This Row],[status_cleaned]]="closed",1,0)</f>
        <v>1</v>
      </c>
      <c r="T1430" t="str">
        <f>TEXT(support_tickets[[#This Row],[opened_at]],"mmm yyyy")</f>
        <v>May 2024</v>
      </c>
      <c r="U1430">
        <f>YEAR(support_tickets[[#This Row],[opened_at]])*100+MONTH(support_tickets[[#This Row],[opened_at]])</f>
        <v>202405</v>
      </c>
      <c r="V1430" s="29">
        <f>DATE(YEAR(support_tickets[[#This Row],[opened_at]]),MONTH(support_tickets[[#This Row],[opened_at]]),1)</f>
        <v>45413</v>
      </c>
    </row>
    <row r="1431" spans="1:22">
      <c r="A1431">
        <v>2185507525</v>
      </c>
      <c r="B1431">
        <v>656931857</v>
      </c>
      <c r="C1431" t="s">
        <v>428</v>
      </c>
      <c r="D1431" t="s">
        <v>429</v>
      </c>
      <c r="E1431">
        <v>81971316</v>
      </c>
      <c r="F1431">
        <v>3820033816</v>
      </c>
      <c r="G1431" s="1">
        <v>45948.292881944442</v>
      </c>
      <c r="H1431" s="1">
        <v>45948.460243055553</v>
      </c>
      <c r="I1431" t="s">
        <v>52</v>
      </c>
      <c r="J1431" t="s">
        <v>30</v>
      </c>
      <c r="K1431" t="s">
        <v>73</v>
      </c>
      <c r="L1431" t="s">
        <v>21</v>
      </c>
      <c r="M1431">
        <v>10</v>
      </c>
      <c r="N1431">
        <v>241</v>
      </c>
      <c r="O1431">
        <v>0</v>
      </c>
      <c r="P1431" t="s">
        <v>31</v>
      </c>
      <c r="Q1431">
        <v>222</v>
      </c>
      <c r="R1431" t="s">
        <v>39</v>
      </c>
      <c r="S1431">
        <f>IF(support_tickets[[#This Row],[status_cleaned]]="closed",1,0)</f>
        <v>1</v>
      </c>
      <c r="T1431" t="str">
        <f>TEXT(support_tickets[[#This Row],[opened_at]],"mmm yyyy")</f>
        <v>Oct 2025</v>
      </c>
      <c r="U1431">
        <f>YEAR(support_tickets[[#This Row],[opened_at]])*100+MONTH(support_tickets[[#This Row],[opened_at]])</f>
        <v>202510</v>
      </c>
      <c r="V1431" s="29">
        <f>DATE(YEAR(support_tickets[[#This Row],[opened_at]]),MONTH(support_tickets[[#This Row],[opened_at]]),1)</f>
        <v>45931</v>
      </c>
    </row>
    <row r="1432" spans="1:22">
      <c r="A1432">
        <v>2311141183</v>
      </c>
      <c r="B1432">
        <v>935924516</v>
      </c>
      <c r="C1432" t="s">
        <v>458</v>
      </c>
      <c r="D1432" t="s">
        <v>459</v>
      </c>
      <c r="E1432">
        <v>82070937</v>
      </c>
      <c r="G1432" s="1">
        <v>45330.605173611111</v>
      </c>
      <c r="H1432" s="1">
        <v>45331.03434027778</v>
      </c>
      <c r="I1432" t="s">
        <v>56</v>
      </c>
      <c r="J1432" t="s">
        <v>59</v>
      </c>
      <c r="K1432" t="s">
        <v>73</v>
      </c>
      <c r="L1432" t="s">
        <v>21</v>
      </c>
      <c r="M1432">
        <v>67</v>
      </c>
      <c r="N1432">
        <v>618</v>
      </c>
      <c r="O1432">
        <v>0</v>
      </c>
      <c r="P1432" t="s">
        <v>61</v>
      </c>
      <c r="Q1432">
        <v>239</v>
      </c>
      <c r="R1432" t="s">
        <v>39</v>
      </c>
      <c r="S1432">
        <f>IF(support_tickets[[#This Row],[status_cleaned]]="closed",1,0)</f>
        <v>1</v>
      </c>
      <c r="T1432" t="str">
        <f>TEXT(support_tickets[[#This Row],[opened_at]],"mmm yyyy")</f>
        <v>Feb 2024</v>
      </c>
      <c r="U1432">
        <f>YEAR(support_tickets[[#This Row],[opened_at]])*100+MONTH(support_tickets[[#This Row],[opened_at]])</f>
        <v>202402</v>
      </c>
      <c r="V1432" s="29">
        <f>DATE(YEAR(support_tickets[[#This Row],[opened_at]]),MONTH(support_tickets[[#This Row],[opened_at]]),1)</f>
        <v>45323</v>
      </c>
    </row>
    <row r="1433" spans="1:22">
      <c r="A1433">
        <v>2535540532</v>
      </c>
      <c r="B1433">
        <v>922816526</v>
      </c>
      <c r="C1433" t="s">
        <v>518</v>
      </c>
      <c r="D1433" t="s">
        <v>519</v>
      </c>
      <c r="E1433">
        <v>58181396</v>
      </c>
      <c r="G1433" s="1">
        <v>46039.863287037035</v>
      </c>
      <c r="H1433" s="1">
        <v>46039.979953703703</v>
      </c>
      <c r="I1433" t="s">
        <v>52</v>
      </c>
      <c r="J1433" t="s">
        <v>30</v>
      </c>
      <c r="K1433" t="s">
        <v>73</v>
      </c>
      <c r="L1433" t="s">
        <v>21</v>
      </c>
      <c r="M1433">
        <v>33</v>
      </c>
      <c r="N1433">
        <v>168</v>
      </c>
      <c r="O1433">
        <v>0</v>
      </c>
      <c r="P1433" t="s">
        <v>31</v>
      </c>
      <c r="Q1433">
        <v>280</v>
      </c>
      <c r="R1433" t="s">
        <v>39</v>
      </c>
      <c r="S1433">
        <f>IF(support_tickets[[#This Row],[status_cleaned]]="closed",1,0)</f>
        <v>1</v>
      </c>
      <c r="T1433" t="str">
        <f>TEXT(support_tickets[[#This Row],[opened_at]],"mmm yyyy")</f>
        <v>Jan 2026</v>
      </c>
      <c r="U1433">
        <f>YEAR(support_tickets[[#This Row],[opened_at]])*100+MONTH(support_tickets[[#This Row],[opened_at]])</f>
        <v>202601</v>
      </c>
      <c r="V1433" s="29">
        <f>DATE(YEAR(support_tickets[[#This Row],[opened_at]]),MONTH(support_tickets[[#This Row],[opened_at]]),1)</f>
        <v>46023</v>
      </c>
    </row>
    <row r="1434" spans="1:22">
      <c r="A1434">
        <v>2553084324</v>
      </c>
      <c r="B1434">
        <v>600184588</v>
      </c>
      <c r="C1434" t="s">
        <v>522</v>
      </c>
      <c r="D1434" t="s">
        <v>523</v>
      </c>
      <c r="E1434">
        <v>18883684</v>
      </c>
      <c r="G1434" s="1">
        <v>45679.895798611113</v>
      </c>
      <c r="H1434" s="1">
        <v>45680.378437500003</v>
      </c>
      <c r="I1434" t="s">
        <v>37</v>
      </c>
      <c r="J1434" t="s">
        <v>30</v>
      </c>
      <c r="K1434" t="s">
        <v>73</v>
      </c>
      <c r="L1434" t="s">
        <v>21</v>
      </c>
      <c r="M1434">
        <v>53</v>
      </c>
      <c r="N1434">
        <v>695</v>
      </c>
      <c r="O1434">
        <v>0</v>
      </c>
      <c r="P1434" t="s">
        <v>31</v>
      </c>
      <c r="Q1434">
        <v>282</v>
      </c>
      <c r="R1434" t="s">
        <v>39</v>
      </c>
      <c r="S1434">
        <f>IF(support_tickets[[#This Row],[status_cleaned]]="closed",1,0)</f>
        <v>1</v>
      </c>
      <c r="T1434" t="str">
        <f>TEXT(support_tickets[[#This Row],[opened_at]],"mmm yyyy")</f>
        <v>Jan 2025</v>
      </c>
      <c r="U1434">
        <f>YEAR(support_tickets[[#This Row],[opened_at]])*100+MONTH(support_tickets[[#This Row],[opened_at]])</f>
        <v>202501</v>
      </c>
      <c r="V1434" s="29">
        <f>DATE(YEAR(support_tickets[[#This Row],[opened_at]]),MONTH(support_tickets[[#This Row],[opened_at]]),1)</f>
        <v>45658</v>
      </c>
    </row>
    <row r="1435" spans="1:22">
      <c r="A1435">
        <v>2700934484</v>
      </c>
      <c r="B1435">
        <v>457039137</v>
      </c>
      <c r="C1435" t="s">
        <v>548</v>
      </c>
      <c r="D1435" t="s">
        <v>549</v>
      </c>
      <c r="E1435">
        <v>90388981</v>
      </c>
      <c r="G1435" s="1">
        <v>45435.429247685184</v>
      </c>
      <c r="H1435" s="1">
        <v>45435.838275462964</v>
      </c>
      <c r="I1435" t="s">
        <v>43</v>
      </c>
      <c r="J1435" t="s">
        <v>38</v>
      </c>
      <c r="K1435" t="s">
        <v>73</v>
      </c>
      <c r="L1435" t="s">
        <v>21</v>
      </c>
      <c r="M1435">
        <v>23</v>
      </c>
      <c r="N1435">
        <v>589</v>
      </c>
      <c r="O1435">
        <v>0</v>
      </c>
      <c r="P1435" t="s">
        <v>40</v>
      </c>
      <c r="Q1435">
        <v>303</v>
      </c>
      <c r="R1435" t="s">
        <v>39</v>
      </c>
      <c r="S1435">
        <f>IF(support_tickets[[#This Row],[status_cleaned]]="closed",1,0)</f>
        <v>1</v>
      </c>
      <c r="T1435" t="str">
        <f>TEXT(support_tickets[[#This Row],[opened_at]],"mmm yyyy")</f>
        <v>May 2024</v>
      </c>
      <c r="U1435">
        <f>YEAR(support_tickets[[#This Row],[opened_at]])*100+MONTH(support_tickets[[#This Row],[opened_at]])</f>
        <v>202405</v>
      </c>
      <c r="V1435" s="29">
        <f>DATE(YEAR(support_tickets[[#This Row],[opened_at]]),MONTH(support_tickets[[#This Row],[opened_at]]),1)</f>
        <v>45413</v>
      </c>
    </row>
    <row r="1436" spans="1:22">
      <c r="A1436">
        <v>2847702690</v>
      </c>
      <c r="B1436">
        <v>756007396</v>
      </c>
      <c r="C1436" t="s">
        <v>560</v>
      </c>
      <c r="D1436" t="s">
        <v>561</v>
      </c>
      <c r="E1436">
        <v>96977837</v>
      </c>
      <c r="G1436" s="1">
        <v>45948.922777777778</v>
      </c>
      <c r="H1436" s="1">
        <v>45949.472083333334</v>
      </c>
      <c r="I1436" t="s">
        <v>52</v>
      </c>
      <c r="J1436" t="s">
        <v>19</v>
      </c>
      <c r="K1436" t="s">
        <v>73</v>
      </c>
      <c r="L1436" t="s">
        <v>21</v>
      </c>
      <c r="M1436">
        <v>49</v>
      </c>
      <c r="N1436">
        <v>791</v>
      </c>
      <c r="O1436">
        <v>0</v>
      </c>
      <c r="P1436" t="s">
        <v>22</v>
      </c>
      <c r="Q1436">
        <v>332</v>
      </c>
      <c r="R1436" t="s">
        <v>39</v>
      </c>
      <c r="S1436">
        <f>IF(support_tickets[[#This Row],[status_cleaned]]="closed",1,0)</f>
        <v>1</v>
      </c>
      <c r="T1436" t="str">
        <f>TEXT(support_tickets[[#This Row],[opened_at]],"mmm yyyy")</f>
        <v>Oct 2025</v>
      </c>
      <c r="U1436">
        <f>YEAR(support_tickets[[#This Row],[opened_at]])*100+MONTH(support_tickets[[#This Row],[opened_at]])</f>
        <v>202510</v>
      </c>
      <c r="V1436" s="29">
        <f>DATE(YEAR(support_tickets[[#This Row],[opened_at]]),MONTH(support_tickets[[#This Row],[opened_at]]),1)</f>
        <v>45931</v>
      </c>
    </row>
    <row r="1437" spans="1:22">
      <c r="A1437">
        <v>2999805893</v>
      </c>
      <c r="B1437">
        <v>219032752</v>
      </c>
      <c r="C1437" t="s">
        <v>632</v>
      </c>
      <c r="D1437" t="s">
        <v>633</v>
      </c>
      <c r="E1437">
        <v>77187530</v>
      </c>
      <c r="G1437" s="1">
        <v>45963.753263888888</v>
      </c>
      <c r="H1437" s="1">
        <v>45963.774791666663</v>
      </c>
      <c r="I1437" t="s">
        <v>52</v>
      </c>
      <c r="J1437" t="s">
        <v>30</v>
      </c>
      <c r="K1437" t="s">
        <v>73</v>
      </c>
      <c r="L1437" t="s">
        <v>21</v>
      </c>
      <c r="M1437">
        <v>26</v>
      </c>
      <c r="N1437">
        <v>31</v>
      </c>
      <c r="O1437">
        <v>0</v>
      </c>
      <c r="P1437" t="s">
        <v>31</v>
      </c>
      <c r="Q1437">
        <v>363</v>
      </c>
      <c r="R1437" t="s">
        <v>39</v>
      </c>
      <c r="S1437">
        <f>IF(support_tickets[[#This Row],[status_cleaned]]="closed",1,0)</f>
        <v>1</v>
      </c>
      <c r="T1437" t="str">
        <f>TEXT(support_tickets[[#This Row],[opened_at]],"mmm yyyy")</f>
        <v>Nov 2025</v>
      </c>
      <c r="U1437">
        <f>YEAR(support_tickets[[#This Row],[opened_at]])*100+MONTH(support_tickets[[#This Row],[opened_at]])</f>
        <v>202511</v>
      </c>
      <c r="V1437" s="29">
        <f>DATE(YEAR(support_tickets[[#This Row],[opened_at]]),MONTH(support_tickets[[#This Row],[opened_at]]),1)</f>
        <v>45962</v>
      </c>
    </row>
    <row r="1438" spans="1:22">
      <c r="A1438">
        <v>3131206829</v>
      </c>
      <c r="B1438">
        <v>392956587</v>
      </c>
      <c r="C1438" t="s">
        <v>198</v>
      </c>
      <c r="D1438" t="s">
        <v>199</v>
      </c>
      <c r="E1438">
        <v>36697396</v>
      </c>
      <c r="G1438" s="1">
        <v>45588.556979166664</v>
      </c>
      <c r="H1438" s="1">
        <v>45588.958368055559</v>
      </c>
      <c r="I1438" t="s">
        <v>56</v>
      </c>
      <c r="J1438" t="s">
        <v>19</v>
      </c>
      <c r="K1438" t="s">
        <v>73</v>
      </c>
      <c r="L1438" t="s">
        <v>21</v>
      </c>
      <c r="M1438">
        <v>57</v>
      </c>
      <c r="N1438">
        <v>578</v>
      </c>
      <c r="O1438">
        <v>0</v>
      </c>
      <c r="P1438" t="s">
        <v>22</v>
      </c>
      <c r="Q1438">
        <v>388</v>
      </c>
      <c r="R1438" t="s">
        <v>39</v>
      </c>
      <c r="S1438">
        <f>IF(support_tickets[[#This Row],[status_cleaned]]="closed",1,0)</f>
        <v>1</v>
      </c>
      <c r="T1438" t="str">
        <f>TEXT(support_tickets[[#This Row],[opened_at]],"mmm yyyy")</f>
        <v>Oct 2024</v>
      </c>
      <c r="U1438">
        <f>YEAR(support_tickets[[#This Row],[opened_at]])*100+MONTH(support_tickets[[#This Row],[opened_at]])</f>
        <v>202410</v>
      </c>
      <c r="V1438" s="29">
        <f>DATE(YEAR(support_tickets[[#This Row],[opened_at]]),MONTH(support_tickets[[#This Row],[opened_at]]),1)</f>
        <v>45566</v>
      </c>
    </row>
    <row r="1439" spans="1:22">
      <c r="A1439">
        <v>3308131068</v>
      </c>
      <c r="B1439">
        <v>843937341</v>
      </c>
      <c r="C1439" t="s">
        <v>698</v>
      </c>
      <c r="D1439" t="s">
        <v>699</v>
      </c>
      <c r="E1439">
        <v>40742311</v>
      </c>
      <c r="G1439" s="1">
        <v>45663.006354166668</v>
      </c>
      <c r="H1439" s="1">
        <v>45663.341770833336</v>
      </c>
      <c r="I1439" t="s">
        <v>37</v>
      </c>
      <c r="J1439" t="s">
        <v>86</v>
      </c>
      <c r="K1439" t="s">
        <v>73</v>
      </c>
      <c r="L1439" t="s">
        <v>21</v>
      </c>
      <c r="M1439">
        <v>35</v>
      </c>
      <c r="N1439">
        <v>483</v>
      </c>
      <c r="O1439">
        <v>0</v>
      </c>
      <c r="P1439" t="s">
        <v>87</v>
      </c>
      <c r="Q1439">
        <v>414</v>
      </c>
      <c r="R1439" t="s">
        <v>39</v>
      </c>
      <c r="S1439">
        <f>IF(support_tickets[[#This Row],[status_cleaned]]="closed",1,0)</f>
        <v>1</v>
      </c>
      <c r="T1439" t="str">
        <f>TEXT(support_tickets[[#This Row],[opened_at]],"mmm yyyy")</f>
        <v>Jan 2025</v>
      </c>
      <c r="U1439">
        <f>YEAR(support_tickets[[#This Row],[opened_at]])*100+MONTH(support_tickets[[#This Row],[opened_at]])</f>
        <v>202501</v>
      </c>
      <c r="V1439" s="29">
        <f>DATE(YEAR(support_tickets[[#This Row],[opened_at]]),MONTH(support_tickets[[#This Row],[opened_at]]),1)</f>
        <v>45658</v>
      </c>
    </row>
    <row r="1440" spans="1:22">
      <c r="A1440">
        <v>3415643663</v>
      </c>
      <c r="B1440">
        <v>698967370</v>
      </c>
      <c r="C1440" t="s">
        <v>732</v>
      </c>
      <c r="D1440" t="s">
        <v>733</v>
      </c>
      <c r="E1440">
        <v>91756179</v>
      </c>
      <c r="G1440" s="1">
        <v>45578.45585648148</v>
      </c>
      <c r="H1440" s="1">
        <v>45578.797523148147</v>
      </c>
      <c r="I1440" t="s">
        <v>43</v>
      </c>
      <c r="J1440" t="s">
        <v>38</v>
      </c>
      <c r="K1440" t="s">
        <v>73</v>
      </c>
      <c r="L1440" t="s">
        <v>21</v>
      </c>
      <c r="M1440">
        <v>38</v>
      </c>
      <c r="N1440">
        <v>492</v>
      </c>
      <c r="O1440">
        <v>0</v>
      </c>
      <c r="P1440" t="s">
        <v>40</v>
      </c>
      <c r="Q1440">
        <v>434</v>
      </c>
      <c r="R1440" t="s">
        <v>39</v>
      </c>
      <c r="S1440">
        <f>IF(support_tickets[[#This Row],[status_cleaned]]="closed",1,0)</f>
        <v>1</v>
      </c>
      <c r="T1440" t="str">
        <f>TEXT(support_tickets[[#This Row],[opened_at]],"mmm yyyy")</f>
        <v>Oct 2024</v>
      </c>
      <c r="U1440">
        <f>YEAR(support_tickets[[#This Row],[opened_at]])*100+MONTH(support_tickets[[#This Row],[opened_at]])</f>
        <v>202410</v>
      </c>
      <c r="V1440" s="29">
        <f>DATE(YEAR(support_tickets[[#This Row],[opened_at]]),MONTH(support_tickets[[#This Row],[opened_at]]),1)</f>
        <v>45566</v>
      </c>
    </row>
    <row r="1441" spans="1:22">
      <c r="A1441">
        <v>3741028043</v>
      </c>
      <c r="B1441">
        <v>809656613</v>
      </c>
      <c r="C1441" t="s">
        <v>76</v>
      </c>
      <c r="D1441" t="s">
        <v>77</v>
      </c>
      <c r="E1441">
        <v>90801586</v>
      </c>
      <c r="G1441" s="1">
        <v>45484.436111111114</v>
      </c>
      <c r="H1441" s="1">
        <v>45484.644444444442</v>
      </c>
      <c r="I1441" t="s">
        <v>56</v>
      </c>
      <c r="J1441" t="s">
        <v>19</v>
      </c>
      <c r="K1441" t="s">
        <v>73</v>
      </c>
      <c r="L1441" t="s">
        <v>21</v>
      </c>
      <c r="M1441">
        <v>10</v>
      </c>
      <c r="N1441">
        <v>300</v>
      </c>
      <c r="O1441">
        <v>0</v>
      </c>
      <c r="P1441" t="s">
        <v>22</v>
      </c>
      <c r="Q1441">
        <v>487</v>
      </c>
      <c r="R1441" t="s">
        <v>39</v>
      </c>
      <c r="S1441">
        <f>IF(support_tickets[[#This Row],[status_cleaned]]="closed",1,0)</f>
        <v>1</v>
      </c>
      <c r="T1441" t="str">
        <f>TEXT(support_tickets[[#This Row],[opened_at]],"mmm yyyy")</f>
        <v>Jul 2024</v>
      </c>
      <c r="U1441">
        <f>YEAR(support_tickets[[#This Row],[opened_at]])*100+MONTH(support_tickets[[#This Row],[opened_at]])</f>
        <v>202407</v>
      </c>
      <c r="V1441" s="29">
        <f>DATE(YEAR(support_tickets[[#This Row],[opened_at]]),MONTH(support_tickets[[#This Row],[opened_at]]),1)</f>
        <v>45474</v>
      </c>
    </row>
    <row r="1442" spans="1:22">
      <c r="A1442">
        <v>3794488784</v>
      </c>
      <c r="B1442">
        <v>364697908</v>
      </c>
      <c r="C1442" t="s">
        <v>88</v>
      </c>
      <c r="D1442" t="s">
        <v>89</v>
      </c>
      <c r="E1442">
        <v>78387461</v>
      </c>
      <c r="G1442" s="1">
        <v>45339.908402777779</v>
      </c>
      <c r="H1442" s="1">
        <v>45340.009097222224</v>
      </c>
      <c r="I1442" t="s">
        <v>43</v>
      </c>
      <c r="J1442" t="s">
        <v>25</v>
      </c>
      <c r="K1442" t="s">
        <v>73</v>
      </c>
      <c r="L1442" t="s">
        <v>21</v>
      </c>
      <c r="M1442">
        <v>34</v>
      </c>
      <c r="N1442">
        <v>145</v>
      </c>
      <c r="O1442">
        <v>0</v>
      </c>
      <c r="P1442" t="s">
        <v>27</v>
      </c>
      <c r="Q1442">
        <v>499</v>
      </c>
      <c r="R1442" t="s">
        <v>39</v>
      </c>
      <c r="S1442">
        <f>IF(support_tickets[[#This Row],[status_cleaned]]="closed",1,0)</f>
        <v>1</v>
      </c>
      <c r="T1442" t="str">
        <f>TEXT(support_tickets[[#This Row],[opened_at]],"mmm yyyy")</f>
        <v>Feb 2024</v>
      </c>
      <c r="U1442">
        <f>YEAR(support_tickets[[#This Row],[opened_at]])*100+MONTH(support_tickets[[#This Row],[opened_at]])</f>
        <v>202402</v>
      </c>
      <c r="V1442" s="29">
        <f>DATE(YEAR(support_tickets[[#This Row],[opened_at]]),MONTH(support_tickets[[#This Row],[opened_at]]),1)</f>
        <v>45323</v>
      </c>
    </row>
    <row r="1443" spans="1:22">
      <c r="A1443">
        <v>3844949673</v>
      </c>
      <c r="B1443">
        <v>549533634</v>
      </c>
      <c r="C1443" t="s">
        <v>822</v>
      </c>
      <c r="D1443" t="s">
        <v>823</v>
      </c>
      <c r="E1443">
        <v>72043515</v>
      </c>
      <c r="G1443" s="1">
        <v>45722.16097222222</v>
      </c>
      <c r="H1443" s="1">
        <v>45722.447083333333</v>
      </c>
      <c r="I1443" t="s">
        <v>43</v>
      </c>
      <c r="J1443" t="s">
        <v>30</v>
      </c>
      <c r="K1443" t="s">
        <v>73</v>
      </c>
      <c r="L1443" t="s">
        <v>21</v>
      </c>
      <c r="M1443">
        <v>8</v>
      </c>
      <c r="N1443">
        <v>412</v>
      </c>
      <c r="O1443">
        <v>0</v>
      </c>
      <c r="P1443" t="s">
        <v>31</v>
      </c>
      <c r="Q1443">
        <v>506</v>
      </c>
      <c r="R1443" t="s">
        <v>39</v>
      </c>
      <c r="S1443">
        <f>IF(support_tickets[[#This Row],[status_cleaned]]="closed",1,0)</f>
        <v>1</v>
      </c>
      <c r="T1443" t="str">
        <f>TEXT(support_tickets[[#This Row],[opened_at]],"mmm yyyy")</f>
        <v>Mar 2025</v>
      </c>
      <c r="U1443">
        <f>YEAR(support_tickets[[#This Row],[opened_at]])*100+MONTH(support_tickets[[#This Row],[opened_at]])</f>
        <v>202503</v>
      </c>
      <c r="V1443" s="29">
        <f>DATE(YEAR(support_tickets[[#This Row],[opened_at]]),MONTH(support_tickets[[#This Row],[opened_at]]),1)</f>
        <v>45717</v>
      </c>
    </row>
    <row r="1444" spans="1:22">
      <c r="A1444">
        <v>3973225507</v>
      </c>
      <c r="B1444">
        <v>405939035</v>
      </c>
      <c r="C1444" t="s">
        <v>840</v>
      </c>
      <c r="D1444" t="s">
        <v>841</v>
      </c>
      <c r="E1444">
        <v>13999315</v>
      </c>
      <c r="G1444" s="1">
        <v>45867.141828703701</v>
      </c>
      <c r="H1444" s="1">
        <v>45867.461273148147</v>
      </c>
      <c r="I1444" t="s">
        <v>18</v>
      </c>
      <c r="J1444" t="s">
        <v>38</v>
      </c>
      <c r="K1444" t="s">
        <v>73</v>
      </c>
      <c r="L1444" t="s">
        <v>21</v>
      </c>
      <c r="M1444">
        <v>15</v>
      </c>
      <c r="N1444">
        <v>460</v>
      </c>
      <c r="O1444">
        <v>0</v>
      </c>
      <c r="P1444" t="s">
        <v>40</v>
      </c>
      <c r="Q1444">
        <v>518</v>
      </c>
      <c r="R1444" t="s">
        <v>39</v>
      </c>
      <c r="S1444">
        <f>IF(support_tickets[[#This Row],[status_cleaned]]="closed",1,0)</f>
        <v>1</v>
      </c>
      <c r="T1444" t="str">
        <f>TEXT(support_tickets[[#This Row],[opened_at]],"mmm yyyy")</f>
        <v>Jul 2025</v>
      </c>
      <c r="U1444">
        <f>YEAR(support_tickets[[#This Row],[opened_at]])*100+MONTH(support_tickets[[#This Row],[opened_at]])</f>
        <v>202507</v>
      </c>
      <c r="V1444" s="29">
        <f>DATE(YEAR(support_tickets[[#This Row],[opened_at]]),MONTH(support_tickets[[#This Row],[opened_at]]),1)</f>
        <v>45839</v>
      </c>
    </row>
    <row r="1445" spans="1:22">
      <c r="A1445">
        <v>4001612479</v>
      </c>
      <c r="B1445">
        <v>322562836</v>
      </c>
      <c r="C1445" t="s">
        <v>850</v>
      </c>
      <c r="D1445" t="s">
        <v>851</v>
      </c>
      <c r="E1445">
        <v>82383095</v>
      </c>
      <c r="G1445" s="1">
        <v>45565.157557870371</v>
      </c>
      <c r="H1445" s="1">
        <v>45565.205474537041</v>
      </c>
      <c r="I1445" t="s">
        <v>43</v>
      </c>
      <c r="J1445" t="s">
        <v>59</v>
      </c>
      <c r="K1445" t="s">
        <v>73</v>
      </c>
      <c r="L1445" t="s">
        <v>21</v>
      </c>
      <c r="M1445">
        <v>64</v>
      </c>
      <c r="N1445">
        <v>69</v>
      </c>
      <c r="O1445">
        <v>0</v>
      </c>
      <c r="P1445" t="s">
        <v>61</v>
      </c>
      <c r="Q1445">
        <v>523</v>
      </c>
      <c r="R1445" t="s">
        <v>39</v>
      </c>
      <c r="S1445">
        <f>IF(support_tickets[[#This Row],[status_cleaned]]="closed",1,0)</f>
        <v>1</v>
      </c>
      <c r="T1445" t="str">
        <f>TEXT(support_tickets[[#This Row],[opened_at]],"mmm yyyy")</f>
        <v>Sep 2024</v>
      </c>
      <c r="U1445">
        <f>YEAR(support_tickets[[#This Row],[opened_at]])*100+MONTH(support_tickets[[#This Row],[opened_at]])</f>
        <v>202409</v>
      </c>
      <c r="V1445" s="29">
        <f>DATE(YEAR(support_tickets[[#This Row],[opened_at]]),MONTH(support_tickets[[#This Row],[opened_at]]),1)</f>
        <v>45536</v>
      </c>
    </row>
    <row r="1446" spans="1:22">
      <c r="A1446">
        <v>4304824415</v>
      </c>
      <c r="B1446">
        <v>992699085</v>
      </c>
      <c r="C1446" t="s">
        <v>418</v>
      </c>
      <c r="D1446" t="s">
        <v>419</v>
      </c>
      <c r="E1446">
        <v>23556182</v>
      </c>
      <c r="G1446" s="1">
        <v>45616.488634259258</v>
      </c>
      <c r="H1446" s="1">
        <v>45616.627523148149</v>
      </c>
      <c r="I1446" t="s">
        <v>43</v>
      </c>
      <c r="J1446" t="s">
        <v>30</v>
      </c>
      <c r="K1446" t="s">
        <v>73</v>
      </c>
      <c r="L1446" t="s">
        <v>21</v>
      </c>
      <c r="M1446">
        <v>6</v>
      </c>
      <c r="N1446">
        <v>200</v>
      </c>
      <c r="O1446">
        <v>0</v>
      </c>
      <c r="P1446" t="s">
        <v>31</v>
      </c>
      <c r="Q1446">
        <v>569</v>
      </c>
      <c r="R1446" t="s">
        <v>39</v>
      </c>
      <c r="S1446">
        <f>IF(support_tickets[[#This Row],[status_cleaned]]="closed",1,0)</f>
        <v>1</v>
      </c>
      <c r="T1446" t="str">
        <f>TEXT(support_tickets[[#This Row],[opened_at]],"mmm yyyy")</f>
        <v>Nov 2024</v>
      </c>
      <c r="U1446">
        <f>YEAR(support_tickets[[#This Row],[opened_at]])*100+MONTH(support_tickets[[#This Row],[opened_at]])</f>
        <v>202411</v>
      </c>
      <c r="V1446" s="29">
        <f>DATE(YEAR(support_tickets[[#This Row],[opened_at]]),MONTH(support_tickets[[#This Row],[opened_at]]),1)</f>
        <v>45597</v>
      </c>
    </row>
    <row r="1447" spans="1:22">
      <c r="A1447">
        <v>4315727014</v>
      </c>
      <c r="B1447">
        <v>635008544</v>
      </c>
      <c r="C1447" t="s">
        <v>212</v>
      </c>
      <c r="D1447" t="s">
        <v>213</v>
      </c>
      <c r="E1447">
        <v>94374605</v>
      </c>
      <c r="G1447" s="1">
        <v>46060.065405092595</v>
      </c>
      <c r="H1447" s="1">
        <v>46060.243877314817</v>
      </c>
      <c r="I1447" t="s">
        <v>52</v>
      </c>
      <c r="J1447" t="s">
        <v>59</v>
      </c>
      <c r="K1447" t="s">
        <v>73</v>
      </c>
      <c r="L1447" t="s">
        <v>21</v>
      </c>
      <c r="M1447">
        <v>5</v>
      </c>
      <c r="N1447">
        <v>257</v>
      </c>
      <c r="O1447">
        <v>0</v>
      </c>
      <c r="P1447" t="s">
        <v>61</v>
      </c>
      <c r="Q1447">
        <v>574</v>
      </c>
      <c r="R1447" t="s">
        <v>39</v>
      </c>
      <c r="S1447">
        <f>IF(support_tickets[[#This Row],[status_cleaned]]="closed",1,0)</f>
        <v>1</v>
      </c>
      <c r="T1447" t="str">
        <f>TEXT(support_tickets[[#This Row],[opened_at]],"mmm yyyy")</f>
        <v>Feb 2026</v>
      </c>
      <c r="U1447">
        <f>YEAR(support_tickets[[#This Row],[opened_at]])*100+MONTH(support_tickets[[#This Row],[opened_at]])</f>
        <v>202602</v>
      </c>
      <c r="V1447" s="29">
        <f>DATE(YEAR(support_tickets[[#This Row],[opened_at]]),MONTH(support_tickets[[#This Row],[opened_at]]),1)</f>
        <v>46054</v>
      </c>
    </row>
    <row r="1448" spans="1:22">
      <c r="A1448">
        <v>4327357022</v>
      </c>
      <c r="B1448">
        <v>227572362</v>
      </c>
      <c r="C1448" t="s">
        <v>900</v>
      </c>
      <c r="D1448" t="s">
        <v>901</v>
      </c>
      <c r="E1448">
        <v>30514014</v>
      </c>
      <c r="F1448">
        <v>3880210528</v>
      </c>
      <c r="G1448" s="1">
        <v>45475.344513888886</v>
      </c>
      <c r="H1448" s="1">
        <v>45475.740347222221</v>
      </c>
      <c r="I1448" t="s">
        <v>46</v>
      </c>
      <c r="J1448" t="s">
        <v>86</v>
      </c>
      <c r="K1448" t="s">
        <v>73</v>
      </c>
      <c r="L1448" t="s">
        <v>21</v>
      </c>
      <c r="M1448">
        <v>87</v>
      </c>
      <c r="N1448">
        <v>570</v>
      </c>
      <c r="O1448">
        <v>0</v>
      </c>
      <c r="P1448" t="s">
        <v>87</v>
      </c>
      <c r="Q1448">
        <v>575</v>
      </c>
      <c r="R1448" t="s">
        <v>39</v>
      </c>
      <c r="S1448">
        <f>IF(support_tickets[[#This Row],[status_cleaned]]="closed",1,0)</f>
        <v>1</v>
      </c>
      <c r="T1448" t="str">
        <f>TEXT(support_tickets[[#This Row],[opened_at]],"mmm yyyy")</f>
        <v>Jul 2024</v>
      </c>
      <c r="U1448">
        <f>YEAR(support_tickets[[#This Row],[opened_at]])*100+MONTH(support_tickets[[#This Row],[opened_at]])</f>
        <v>202407</v>
      </c>
      <c r="V1448" s="29">
        <f>DATE(YEAR(support_tickets[[#This Row],[opened_at]]),MONTH(support_tickets[[#This Row],[opened_at]]),1)</f>
        <v>45474</v>
      </c>
    </row>
    <row r="1449" spans="1:22">
      <c r="A1449">
        <v>4403105235</v>
      </c>
      <c r="B1449">
        <v>866213410</v>
      </c>
      <c r="C1449" t="s">
        <v>922</v>
      </c>
      <c r="D1449" t="s">
        <v>923</v>
      </c>
      <c r="E1449">
        <v>93926371</v>
      </c>
      <c r="G1449" s="1">
        <v>45342.792395833334</v>
      </c>
      <c r="H1449" s="1">
        <v>45343.12295138889</v>
      </c>
      <c r="I1449" t="s">
        <v>56</v>
      </c>
      <c r="J1449" t="s">
        <v>30</v>
      </c>
      <c r="K1449" t="s">
        <v>73</v>
      </c>
      <c r="L1449" t="s">
        <v>21</v>
      </c>
      <c r="M1449">
        <v>29</v>
      </c>
      <c r="N1449">
        <v>476</v>
      </c>
      <c r="O1449">
        <v>0</v>
      </c>
      <c r="P1449" t="s">
        <v>31</v>
      </c>
      <c r="Q1449">
        <v>591</v>
      </c>
      <c r="R1449" t="s">
        <v>39</v>
      </c>
      <c r="S1449">
        <f>IF(support_tickets[[#This Row],[status_cleaned]]="closed",1,0)</f>
        <v>1</v>
      </c>
      <c r="T1449" t="str">
        <f>TEXT(support_tickets[[#This Row],[opened_at]],"mmm yyyy")</f>
        <v>Feb 2024</v>
      </c>
      <c r="U1449">
        <f>YEAR(support_tickets[[#This Row],[opened_at]])*100+MONTH(support_tickets[[#This Row],[opened_at]])</f>
        <v>202402</v>
      </c>
      <c r="V1449" s="29">
        <f>DATE(YEAR(support_tickets[[#This Row],[opened_at]]),MONTH(support_tickets[[#This Row],[opened_at]]),1)</f>
        <v>45323</v>
      </c>
    </row>
    <row r="1450" spans="1:22">
      <c r="A1450">
        <v>4455149413</v>
      </c>
      <c r="B1450">
        <v>749715626</v>
      </c>
      <c r="C1450" t="s">
        <v>934</v>
      </c>
      <c r="D1450" t="s">
        <v>935</v>
      </c>
      <c r="E1450">
        <v>89254563</v>
      </c>
      <c r="G1450" s="1">
        <v>45591.926759259259</v>
      </c>
      <c r="H1450" s="1">
        <v>45592.064259259256</v>
      </c>
      <c r="I1450" t="s">
        <v>3</v>
      </c>
      <c r="J1450" t="s">
        <v>86</v>
      </c>
      <c r="K1450" t="s">
        <v>73</v>
      </c>
      <c r="L1450" t="s">
        <v>21</v>
      </c>
      <c r="M1450">
        <v>33</v>
      </c>
      <c r="N1450">
        <v>198</v>
      </c>
      <c r="O1450">
        <v>0</v>
      </c>
      <c r="P1450" t="s">
        <v>87</v>
      </c>
      <c r="Q1450">
        <v>602</v>
      </c>
      <c r="R1450" t="s">
        <v>39</v>
      </c>
      <c r="S1450">
        <f>IF(support_tickets[[#This Row],[status_cleaned]]="closed",1,0)</f>
        <v>1</v>
      </c>
      <c r="T1450" t="str">
        <f>TEXT(support_tickets[[#This Row],[opened_at]],"mmm yyyy")</f>
        <v>Oct 2024</v>
      </c>
      <c r="U1450">
        <f>YEAR(support_tickets[[#This Row],[opened_at]])*100+MONTH(support_tickets[[#This Row],[opened_at]])</f>
        <v>202410</v>
      </c>
      <c r="V1450" s="29">
        <f>DATE(YEAR(support_tickets[[#This Row],[opened_at]]),MONTH(support_tickets[[#This Row],[opened_at]]),1)</f>
        <v>45566</v>
      </c>
    </row>
    <row r="1451" spans="1:22">
      <c r="A1451">
        <v>4466811717</v>
      </c>
      <c r="B1451">
        <v>692326390</v>
      </c>
      <c r="C1451" t="s">
        <v>936</v>
      </c>
      <c r="D1451" t="s">
        <v>937</v>
      </c>
      <c r="E1451">
        <v>45351479</v>
      </c>
      <c r="G1451" s="1">
        <v>45506.191284722219</v>
      </c>
      <c r="H1451" s="1">
        <v>45506.651006944441</v>
      </c>
      <c r="I1451" t="s">
        <v>43</v>
      </c>
      <c r="J1451" t="s">
        <v>38</v>
      </c>
      <c r="K1451" t="s">
        <v>73</v>
      </c>
      <c r="L1451" t="s">
        <v>21</v>
      </c>
      <c r="M1451">
        <v>15</v>
      </c>
      <c r="N1451">
        <v>662</v>
      </c>
      <c r="O1451">
        <v>0</v>
      </c>
      <c r="P1451" t="s">
        <v>40</v>
      </c>
      <c r="Q1451">
        <v>604</v>
      </c>
      <c r="R1451" t="s">
        <v>39</v>
      </c>
      <c r="S1451">
        <f>IF(support_tickets[[#This Row],[status_cleaned]]="closed",1,0)</f>
        <v>1</v>
      </c>
      <c r="T1451" t="str">
        <f>TEXT(support_tickets[[#This Row],[opened_at]],"mmm yyyy")</f>
        <v>Aug 2024</v>
      </c>
      <c r="U1451">
        <f>YEAR(support_tickets[[#This Row],[opened_at]])*100+MONTH(support_tickets[[#This Row],[opened_at]])</f>
        <v>202408</v>
      </c>
      <c r="V1451" s="29">
        <f>DATE(YEAR(support_tickets[[#This Row],[opened_at]]),MONTH(support_tickets[[#This Row],[opened_at]]),1)</f>
        <v>45505</v>
      </c>
    </row>
    <row r="1452" spans="1:22">
      <c r="A1452">
        <v>4644428470</v>
      </c>
      <c r="B1452">
        <v>813363254</v>
      </c>
      <c r="C1452" t="s">
        <v>976</v>
      </c>
      <c r="D1452" t="s">
        <v>977</v>
      </c>
      <c r="E1452">
        <v>85345555</v>
      </c>
      <c r="G1452" s="1">
        <v>45345.724976851852</v>
      </c>
      <c r="H1452" s="1">
        <v>45345.926365740743</v>
      </c>
      <c r="I1452" t="s">
        <v>46</v>
      </c>
      <c r="J1452" t="s">
        <v>25</v>
      </c>
      <c r="K1452" t="s">
        <v>73</v>
      </c>
      <c r="L1452" t="s">
        <v>21</v>
      </c>
      <c r="M1452">
        <v>5</v>
      </c>
      <c r="N1452">
        <v>290</v>
      </c>
      <c r="O1452">
        <v>0</v>
      </c>
      <c r="P1452" t="s">
        <v>27</v>
      </c>
      <c r="Q1452">
        <v>636</v>
      </c>
      <c r="R1452" t="s">
        <v>39</v>
      </c>
      <c r="S1452">
        <f>IF(support_tickets[[#This Row],[status_cleaned]]="closed",1,0)</f>
        <v>1</v>
      </c>
      <c r="T1452" t="str">
        <f>TEXT(support_tickets[[#This Row],[opened_at]],"mmm yyyy")</f>
        <v>Feb 2024</v>
      </c>
      <c r="U1452">
        <f>YEAR(support_tickets[[#This Row],[opened_at]])*100+MONTH(support_tickets[[#This Row],[opened_at]])</f>
        <v>202402</v>
      </c>
      <c r="V1452" s="29">
        <f>DATE(YEAR(support_tickets[[#This Row],[opened_at]]),MONTH(support_tickets[[#This Row],[opened_at]]),1)</f>
        <v>45323</v>
      </c>
    </row>
    <row r="1453" spans="1:22">
      <c r="A1453">
        <v>4652885723</v>
      </c>
      <c r="B1453">
        <v>945432844</v>
      </c>
      <c r="C1453" t="s">
        <v>360</v>
      </c>
      <c r="D1453" t="s">
        <v>361</v>
      </c>
      <c r="E1453">
        <v>38317637</v>
      </c>
      <c r="G1453" s="1">
        <v>45368.793263888889</v>
      </c>
      <c r="H1453" s="1">
        <v>45368.949513888889</v>
      </c>
      <c r="I1453" t="s">
        <v>56</v>
      </c>
      <c r="J1453" t="s">
        <v>25</v>
      </c>
      <c r="K1453" t="s">
        <v>73</v>
      </c>
      <c r="L1453" t="s">
        <v>21</v>
      </c>
      <c r="M1453">
        <v>52</v>
      </c>
      <c r="N1453">
        <v>225</v>
      </c>
      <c r="O1453">
        <v>0</v>
      </c>
      <c r="P1453" t="s">
        <v>27</v>
      </c>
      <c r="Q1453">
        <v>639</v>
      </c>
      <c r="R1453" t="s">
        <v>39</v>
      </c>
      <c r="S1453">
        <f>IF(support_tickets[[#This Row],[status_cleaned]]="closed",1,0)</f>
        <v>1</v>
      </c>
      <c r="T1453" t="str">
        <f>TEXT(support_tickets[[#This Row],[opened_at]],"mmm yyyy")</f>
        <v>Mar 2024</v>
      </c>
      <c r="U1453">
        <f>YEAR(support_tickets[[#This Row],[opened_at]])*100+MONTH(support_tickets[[#This Row],[opened_at]])</f>
        <v>202403</v>
      </c>
      <c r="V1453" s="29">
        <f>DATE(YEAR(support_tickets[[#This Row],[opened_at]]),MONTH(support_tickets[[#This Row],[opened_at]]),1)</f>
        <v>45352</v>
      </c>
    </row>
    <row r="1454" spans="1:22">
      <c r="A1454">
        <v>4703402229</v>
      </c>
      <c r="B1454">
        <v>385111130</v>
      </c>
      <c r="C1454" t="s">
        <v>990</v>
      </c>
      <c r="D1454" t="s">
        <v>991</v>
      </c>
      <c r="E1454">
        <v>38427073</v>
      </c>
      <c r="F1454">
        <v>9736322281</v>
      </c>
      <c r="G1454" s="1">
        <v>45320.434328703705</v>
      </c>
      <c r="H1454" s="1">
        <v>45320.735023148147</v>
      </c>
      <c r="I1454" t="s">
        <v>43</v>
      </c>
      <c r="J1454" t="s">
        <v>25</v>
      </c>
      <c r="K1454" t="s">
        <v>73</v>
      </c>
      <c r="L1454" t="s">
        <v>21</v>
      </c>
      <c r="M1454">
        <v>65</v>
      </c>
      <c r="N1454">
        <v>433</v>
      </c>
      <c r="O1454">
        <v>0</v>
      </c>
      <c r="P1454" t="s">
        <v>27</v>
      </c>
      <c r="Q1454">
        <v>647</v>
      </c>
      <c r="R1454" t="s">
        <v>39</v>
      </c>
      <c r="S1454">
        <f>IF(support_tickets[[#This Row],[status_cleaned]]="closed",1,0)</f>
        <v>1</v>
      </c>
      <c r="T1454" t="str">
        <f>TEXT(support_tickets[[#This Row],[opened_at]],"mmm yyyy")</f>
        <v>Jan 2024</v>
      </c>
      <c r="U1454">
        <f>YEAR(support_tickets[[#This Row],[opened_at]])*100+MONTH(support_tickets[[#This Row],[opened_at]])</f>
        <v>202401</v>
      </c>
      <c r="V1454" s="29">
        <f>DATE(YEAR(support_tickets[[#This Row],[opened_at]]),MONTH(support_tickets[[#This Row],[opened_at]]),1)</f>
        <v>45292</v>
      </c>
    </row>
    <row r="1455" spans="1:22">
      <c r="A1455">
        <v>4875741885</v>
      </c>
      <c r="B1455">
        <v>210163669</v>
      </c>
      <c r="C1455" t="s">
        <v>1024</v>
      </c>
      <c r="D1455" t="s">
        <v>1025</v>
      </c>
      <c r="E1455">
        <v>88461803</v>
      </c>
      <c r="F1455">
        <v>6520394348</v>
      </c>
      <c r="G1455" s="1">
        <v>45494.376655092594</v>
      </c>
      <c r="H1455" s="1">
        <v>45494.715543981481</v>
      </c>
      <c r="I1455" t="s">
        <v>46</v>
      </c>
      <c r="J1455" t="s">
        <v>38</v>
      </c>
      <c r="K1455" t="s">
        <v>73</v>
      </c>
      <c r="L1455" t="s">
        <v>21</v>
      </c>
      <c r="M1455">
        <v>13</v>
      </c>
      <c r="N1455">
        <v>488</v>
      </c>
      <c r="O1455">
        <v>0</v>
      </c>
      <c r="P1455" t="s">
        <v>40</v>
      </c>
      <c r="Q1455">
        <v>676</v>
      </c>
      <c r="R1455" t="s">
        <v>39</v>
      </c>
      <c r="S1455">
        <f>IF(support_tickets[[#This Row],[status_cleaned]]="closed",1,0)</f>
        <v>1</v>
      </c>
      <c r="T1455" t="str">
        <f>TEXT(support_tickets[[#This Row],[opened_at]],"mmm yyyy")</f>
        <v>Jul 2024</v>
      </c>
      <c r="U1455">
        <f>YEAR(support_tickets[[#This Row],[opened_at]])*100+MONTH(support_tickets[[#This Row],[opened_at]])</f>
        <v>202407</v>
      </c>
      <c r="V1455" s="29">
        <f>DATE(YEAR(support_tickets[[#This Row],[opened_at]]),MONTH(support_tickets[[#This Row],[opened_at]]),1)</f>
        <v>45474</v>
      </c>
    </row>
    <row r="1456" spans="1:22">
      <c r="A1456">
        <v>4954163864</v>
      </c>
      <c r="B1456">
        <v>512477736</v>
      </c>
      <c r="C1456" t="s">
        <v>1032</v>
      </c>
      <c r="D1456" t="s">
        <v>1033</v>
      </c>
      <c r="E1456">
        <v>70897765</v>
      </c>
      <c r="F1456">
        <v>3282647005</v>
      </c>
      <c r="G1456" s="1">
        <v>45998.265694444446</v>
      </c>
      <c r="H1456" s="1">
        <v>45998.732361111113</v>
      </c>
      <c r="I1456" t="s">
        <v>37</v>
      </c>
      <c r="J1456" t="s">
        <v>25</v>
      </c>
      <c r="K1456" t="s">
        <v>73</v>
      </c>
      <c r="L1456" t="s">
        <v>21</v>
      </c>
      <c r="M1456">
        <v>9</v>
      </c>
      <c r="N1456">
        <v>672</v>
      </c>
      <c r="O1456">
        <v>0</v>
      </c>
      <c r="P1456" t="s">
        <v>27</v>
      </c>
      <c r="Q1456">
        <v>685</v>
      </c>
      <c r="R1456" t="s">
        <v>39</v>
      </c>
      <c r="S1456">
        <f>IF(support_tickets[[#This Row],[status_cleaned]]="closed",1,0)</f>
        <v>1</v>
      </c>
      <c r="T1456" t="str">
        <f>TEXT(support_tickets[[#This Row],[opened_at]],"mmm yyyy")</f>
        <v>Dec 2025</v>
      </c>
      <c r="U1456">
        <f>YEAR(support_tickets[[#This Row],[opened_at]])*100+MONTH(support_tickets[[#This Row],[opened_at]])</f>
        <v>202512</v>
      </c>
      <c r="V1456" s="29">
        <f>DATE(YEAR(support_tickets[[#This Row],[opened_at]]),MONTH(support_tickets[[#This Row],[opened_at]]),1)</f>
        <v>45992</v>
      </c>
    </row>
    <row r="1457" spans="1:22">
      <c r="A1457">
        <v>4964036872</v>
      </c>
      <c r="B1457">
        <v>579678614</v>
      </c>
      <c r="C1457" t="s">
        <v>1038</v>
      </c>
      <c r="D1457" t="s">
        <v>1039</v>
      </c>
      <c r="E1457">
        <v>57683626</v>
      </c>
      <c r="F1457">
        <v>1912995701</v>
      </c>
      <c r="G1457" s="1">
        <v>45452.556712962964</v>
      </c>
      <c r="H1457" s="1">
        <v>45452.931712962964</v>
      </c>
      <c r="I1457" t="s">
        <v>56</v>
      </c>
      <c r="J1457" t="s">
        <v>30</v>
      </c>
      <c r="K1457" t="s">
        <v>73</v>
      </c>
      <c r="L1457" t="s">
        <v>21</v>
      </c>
      <c r="M1457">
        <v>32</v>
      </c>
      <c r="N1457">
        <v>540</v>
      </c>
      <c r="O1457">
        <v>0</v>
      </c>
      <c r="P1457" t="s">
        <v>31</v>
      </c>
      <c r="Q1457">
        <v>690</v>
      </c>
      <c r="R1457" t="s">
        <v>39</v>
      </c>
      <c r="S1457">
        <f>IF(support_tickets[[#This Row],[status_cleaned]]="closed",1,0)</f>
        <v>1</v>
      </c>
      <c r="T1457" t="str">
        <f>TEXT(support_tickets[[#This Row],[opened_at]],"mmm yyyy")</f>
        <v>Jun 2024</v>
      </c>
      <c r="U1457">
        <f>YEAR(support_tickets[[#This Row],[opened_at]])*100+MONTH(support_tickets[[#This Row],[opened_at]])</f>
        <v>202406</v>
      </c>
      <c r="V1457" s="29">
        <f>DATE(YEAR(support_tickets[[#This Row],[opened_at]]),MONTH(support_tickets[[#This Row],[opened_at]]),1)</f>
        <v>45444</v>
      </c>
    </row>
    <row r="1458" spans="1:22">
      <c r="A1458">
        <v>4983352173</v>
      </c>
      <c r="B1458">
        <v>634764290</v>
      </c>
      <c r="C1458" t="s">
        <v>692</v>
      </c>
      <c r="D1458" t="s">
        <v>693</v>
      </c>
      <c r="E1458">
        <v>85345555</v>
      </c>
      <c r="F1458">
        <v>8788600364</v>
      </c>
      <c r="G1458" s="1">
        <v>45869.485821759263</v>
      </c>
      <c r="H1458" s="1">
        <v>45869.57471064815</v>
      </c>
      <c r="I1458" t="s">
        <v>56</v>
      </c>
      <c r="J1458" t="s">
        <v>25</v>
      </c>
      <c r="K1458" t="s">
        <v>73</v>
      </c>
      <c r="L1458" t="s">
        <v>21</v>
      </c>
      <c r="M1458">
        <v>40</v>
      </c>
      <c r="N1458">
        <v>128</v>
      </c>
      <c r="O1458">
        <v>0</v>
      </c>
      <c r="P1458" t="s">
        <v>27</v>
      </c>
      <c r="Q1458">
        <v>694</v>
      </c>
      <c r="R1458" t="s">
        <v>39</v>
      </c>
      <c r="S1458">
        <f>IF(support_tickets[[#This Row],[status_cleaned]]="closed",1,0)</f>
        <v>1</v>
      </c>
      <c r="T1458" t="str">
        <f>TEXT(support_tickets[[#This Row],[opened_at]],"mmm yyyy")</f>
        <v>Jul 2025</v>
      </c>
      <c r="U1458">
        <f>YEAR(support_tickets[[#This Row],[opened_at]])*100+MONTH(support_tickets[[#This Row],[opened_at]])</f>
        <v>202507</v>
      </c>
      <c r="V1458" s="29">
        <f>DATE(YEAR(support_tickets[[#This Row],[opened_at]]),MONTH(support_tickets[[#This Row],[opened_at]]),1)</f>
        <v>45839</v>
      </c>
    </row>
    <row r="1459" spans="1:22">
      <c r="A1459">
        <v>5009619919</v>
      </c>
      <c r="B1459">
        <v>677155220</v>
      </c>
      <c r="C1459" t="s">
        <v>1044</v>
      </c>
      <c r="D1459" t="s">
        <v>1045</v>
      </c>
      <c r="E1459">
        <v>28728463</v>
      </c>
      <c r="F1459">
        <v>3130137051</v>
      </c>
      <c r="G1459" s="1">
        <v>45615.460069444445</v>
      </c>
      <c r="H1459" s="1">
        <v>45615.802430555559</v>
      </c>
      <c r="I1459" t="s">
        <v>52</v>
      </c>
      <c r="J1459" t="s">
        <v>59</v>
      </c>
      <c r="K1459" t="s">
        <v>73</v>
      </c>
      <c r="L1459" t="s">
        <v>21</v>
      </c>
      <c r="M1459">
        <v>33</v>
      </c>
      <c r="N1459">
        <v>493</v>
      </c>
      <c r="O1459">
        <v>0</v>
      </c>
      <c r="P1459" t="s">
        <v>61</v>
      </c>
      <c r="Q1459">
        <v>698</v>
      </c>
      <c r="R1459" t="s">
        <v>39</v>
      </c>
      <c r="S1459">
        <f>IF(support_tickets[[#This Row],[status_cleaned]]="closed",1,0)</f>
        <v>1</v>
      </c>
      <c r="T1459" t="str">
        <f>TEXT(support_tickets[[#This Row],[opened_at]],"mmm yyyy")</f>
        <v>Nov 2024</v>
      </c>
      <c r="U1459">
        <f>YEAR(support_tickets[[#This Row],[opened_at]])*100+MONTH(support_tickets[[#This Row],[opened_at]])</f>
        <v>202411</v>
      </c>
      <c r="V1459" s="29">
        <f>DATE(YEAR(support_tickets[[#This Row],[opened_at]]),MONTH(support_tickets[[#This Row],[opened_at]]),1)</f>
        <v>45597</v>
      </c>
    </row>
    <row r="1460" spans="1:22">
      <c r="A1460">
        <v>5086141034</v>
      </c>
      <c r="B1460">
        <v>782546314</v>
      </c>
      <c r="C1460" t="s">
        <v>1056</v>
      </c>
      <c r="D1460" t="s">
        <v>1057</v>
      </c>
      <c r="E1460">
        <v>33978249</v>
      </c>
      <c r="F1460">
        <v>1966088651</v>
      </c>
      <c r="G1460" s="1">
        <v>45350.343229166669</v>
      </c>
      <c r="H1460" s="1">
        <v>45350.737673611111</v>
      </c>
      <c r="I1460" t="s">
        <v>43</v>
      </c>
      <c r="J1460" t="s">
        <v>38</v>
      </c>
      <c r="K1460" t="s">
        <v>73</v>
      </c>
      <c r="L1460" t="s">
        <v>21</v>
      </c>
      <c r="M1460">
        <v>33</v>
      </c>
      <c r="N1460">
        <v>568</v>
      </c>
      <c r="O1460">
        <v>0</v>
      </c>
      <c r="P1460" t="s">
        <v>40</v>
      </c>
      <c r="Q1460">
        <v>711</v>
      </c>
      <c r="R1460" t="s">
        <v>39</v>
      </c>
      <c r="S1460">
        <f>IF(support_tickets[[#This Row],[status_cleaned]]="closed",1,0)</f>
        <v>1</v>
      </c>
      <c r="T1460" t="str">
        <f>TEXT(support_tickets[[#This Row],[opened_at]],"mmm yyyy")</f>
        <v>Feb 2024</v>
      </c>
      <c r="U1460">
        <f>YEAR(support_tickets[[#This Row],[opened_at]])*100+MONTH(support_tickets[[#This Row],[opened_at]])</f>
        <v>202402</v>
      </c>
      <c r="V1460" s="29">
        <f>DATE(YEAR(support_tickets[[#This Row],[opened_at]]),MONTH(support_tickets[[#This Row],[opened_at]]),1)</f>
        <v>45323</v>
      </c>
    </row>
    <row r="1461" spans="1:22">
      <c r="A1461">
        <v>5315093457</v>
      </c>
      <c r="B1461">
        <v>243247463</v>
      </c>
      <c r="C1461" t="s">
        <v>1092</v>
      </c>
      <c r="D1461" t="s">
        <v>1093</v>
      </c>
      <c r="E1461">
        <v>73791320</v>
      </c>
      <c r="G1461" s="1">
        <v>45414.33289351852</v>
      </c>
      <c r="H1461" s="1">
        <v>45414.563449074078</v>
      </c>
      <c r="I1461" t="s">
        <v>52</v>
      </c>
      <c r="J1461" t="s">
        <v>25</v>
      </c>
      <c r="K1461" t="s">
        <v>73</v>
      </c>
      <c r="L1461" t="s">
        <v>21</v>
      </c>
      <c r="M1461">
        <v>4</v>
      </c>
      <c r="N1461">
        <v>332</v>
      </c>
      <c r="O1461">
        <v>0</v>
      </c>
      <c r="P1461" t="s">
        <v>27</v>
      </c>
      <c r="Q1461">
        <v>756</v>
      </c>
      <c r="R1461" t="s">
        <v>39</v>
      </c>
      <c r="S1461">
        <f>IF(support_tickets[[#This Row],[status_cleaned]]="closed",1,0)</f>
        <v>1</v>
      </c>
      <c r="T1461" t="str">
        <f>TEXT(support_tickets[[#This Row],[opened_at]],"mmm yyyy")</f>
        <v>May 2024</v>
      </c>
      <c r="U1461">
        <f>YEAR(support_tickets[[#This Row],[opened_at]])*100+MONTH(support_tickets[[#This Row],[opened_at]])</f>
        <v>202405</v>
      </c>
      <c r="V1461" s="29">
        <f>DATE(YEAR(support_tickets[[#This Row],[opened_at]]),MONTH(support_tickets[[#This Row],[opened_at]]),1)</f>
        <v>45413</v>
      </c>
    </row>
    <row r="1462" spans="1:22">
      <c r="A1462">
        <v>5377604860</v>
      </c>
      <c r="B1462">
        <v>108780419</v>
      </c>
      <c r="C1462" t="s">
        <v>1114</v>
      </c>
      <c r="D1462" t="s">
        <v>1115</v>
      </c>
      <c r="E1462">
        <v>58718453</v>
      </c>
      <c r="G1462" s="1">
        <v>45302.773969907408</v>
      </c>
      <c r="H1462" s="1">
        <v>45303.214247685188</v>
      </c>
      <c r="I1462" t="s">
        <v>52</v>
      </c>
      <c r="J1462" t="s">
        <v>19</v>
      </c>
      <c r="K1462" t="s">
        <v>73</v>
      </c>
      <c r="L1462" t="s">
        <v>21</v>
      </c>
      <c r="M1462">
        <v>34</v>
      </c>
      <c r="N1462">
        <v>634</v>
      </c>
      <c r="O1462">
        <v>0</v>
      </c>
      <c r="P1462" t="s">
        <v>22</v>
      </c>
      <c r="Q1462">
        <v>775</v>
      </c>
      <c r="R1462" t="s">
        <v>39</v>
      </c>
      <c r="S1462">
        <f>IF(support_tickets[[#This Row],[status_cleaned]]="closed",1,0)</f>
        <v>1</v>
      </c>
      <c r="T1462" t="str">
        <f>TEXT(support_tickets[[#This Row],[opened_at]],"mmm yyyy")</f>
        <v>Jan 2024</v>
      </c>
      <c r="U1462">
        <f>YEAR(support_tickets[[#This Row],[opened_at]])*100+MONTH(support_tickets[[#This Row],[opened_at]])</f>
        <v>202401</v>
      </c>
      <c r="V1462" s="29">
        <f>DATE(YEAR(support_tickets[[#This Row],[opened_at]]),MONTH(support_tickets[[#This Row],[opened_at]]),1)</f>
        <v>45292</v>
      </c>
    </row>
    <row r="1463" spans="1:22">
      <c r="A1463">
        <v>5546178608</v>
      </c>
      <c r="B1463">
        <v>747233283</v>
      </c>
      <c r="C1463" t="s">
        <v>1010</v>
      </c>
      <c r="D1463" t="s">
        <v>1011</v>
      </c>
      <c r="E1463">
        <v>33978249</v>
      </c>
      <c r="G1463" s="1">
        <v>46049.454930555556</v>
      </c>
      <c r="H1463" s="1">
        <v>46049.797291666669</v>
      </c>
      <c r="I1463" t="s">
        <v>18</v>
      </c>
      <c r="J1463" t="s">
        <v>30</v>
      </c>
      <c r="K1463" t="s">
        <v>73</v>
      </c>
      <c r="L1463" t="s">
        <v>21</v>
      </c>
      <c r="M1463">
        <v>24</v>
      </c>
      <c r="N1463">
        <v>493</v>
      </c>
      <c r="O1463">
        <v>0</v>
      </c>
      <c r="P1463" t="s">
        <v>31</v>
      </c>
      <c r="Q1463">
        <v>811</v>
      </c>
      <c r="R1463" t="s">
        <v>39</v>
      </c>
      <c r="S1463">
        <f>IF(support_tickets[[#This Row],[status_cleaned]]="closed",1,0)</f>
        <v>1</v>
      </c>
      <c r="T1463" t="str">
        <f>TEXT(support_tickets[[#This Row],[opened_at]],"mmm yyyy")</f>
        <v>Jan 2026</v>
      </c>
      <c r="U1463">
        <f>YEAR(support_tickets[[#This Row],[opened_at]])*100+MONTH(support_tickets[[#This Row],[opened_at]])</f>
        <v>202601</v>
      </c>
      <c r="V1463" s="29">
        <f>DATE(YEAR(support_tickets[[#This Row],[opened_at]]),MONTH(support_tickets[[#This Row],[opened_at]]),1)</f>
        <v>46023</v>
      </c>
    </row>
    <row r="1464" spans="1:22">
      <c r="A1464">
        <v>5720777989</v>
      </c>
      <c r="B1464">
        <v>426551245</v>
      </c>
      <c r="C1464" t="s">
        <v>562</v>
      </c>
      <c r="D1464" t="s">
        <v>563</v>
      </c>
      <c r="E1464">
        <v>87490893</v>
      </c>
      <c r="G1464" s="1">
        <v>45583.412465277775</v>
      </c>
      <c r="H1464" s="1">
        <v>45583.611076388886</v>
      </c>
      <c r="I1464" t="s">
        <v>18</v>
      </c>
      <c r="J1464" t="s">
        <v>19</v>
      </c>
      <c r="K1464" t="s">
        <v>73</v>
      </c>
      <c r="L1464" t="s">
        <v>21</v>
      </c>
      <c r="M1464">
        <v>62</v>
      </c>
      <c r="N1464">
        <v>286</v>
      </c>
      <c r="O1464">
        <v>0</v>
      </c>
      <c r="P1464" t="s">
        <v>22</v>
      </c>
      <c r="Q1464">
        <v>839</v>
      </c>
      <c r="R1464" t="s">
        <v>39</v>
      </c>
      <c r="S1464">
        <f>IF(support_tickets[[#This Row],[status_cleaned]]="closed",1,0)</f>
        <v>1</v>
      </c>
      <c r="T1464" t="str">
        <f>TEXT(support_tickets[[#This Row],[opened_at]],"mmm yyyy")</f>
        <v>Oct 2024</v>
      </c>
      <c r="U1464">
        <f>YEAR(support_tickets[[#This Row],[opened_at]])*100+MONTH(support_tickets[[#This Row],[opened_at]])</f>
        <v>202410</v>
      </c>
      <c r="V1464" s="29">
        <f>DATE(YEAR(support_tickets[[#This Row],[opened_at]]),MONTH(support_tickets[[#This Row],[opened_at]]),1)</f>
        <v>45566</v>
      </c>
    </row>
    <row r="1465" spans="1:22">
      <c r="A1465">
        <v>6064374162</v>
      </c>
      <c r="B1465">
        <v>817029885</v>
      </c>
      <c r="C1465" t="s">
        <v>252</v>
      </c>
      <c r="D1465" t="s">
        <v>253</v>
      </c>
      <c r="E1465">
        <v>58966946</v>
      </c>
      <c r="G1465" s="1">
        <v>46088.674375000002</v>
      </c>
      <c r="H1465" s="1">
        <v>46089.268125000002</v>
      </c>
      <c r="I1465" t="s">
        <v>3</v>
      </c>
      <c r="J1465" t="s">
        <v>38</v>
      </c>
      <c r="K1465" t="s">
        <v>73</v>
      </c>
      <c r="L1465" t="s">
        <v>21</v>
      </c>
      <c r="M1465">
        <v>20</v>
      </c>
      <c r="N1465">
        <v>855</v>
      </c>
      <c r="O1465">
        <v>0</v>
      </c>
      <c r="P1465" t="s">
        <v>40</v>
      </c>
      <c r="Q1465">
        <v>899</v>
      </c>
      <c r="R1465" t="s">
        <v>39</v>
      </c>
      <c r="S1465">
        <f>IF(support_tickets[[#This Row],[status_cleaned]]="closed",1,0)</f>
        <v>1</v>
      </c>
      <c r="T1465" t="str">
        <f>TEXT(support_tickets[[#This Row],[opened_at]],"mmm yyyy")</f>
        <v>Mar 2026</v>
      </c>
      <c r="U1465">
        <f>YEAR(support_tickets[[#This Row],[opened_at]])*100+MONTH(support_tickets[[#This Row],[opened_at]])</f>
        <v>202603</v>
      </c>
      <c r="V1465" s="29">
        <f>DATE(YEAR(support_tickets[[#This Row],[opened_at]]),MONTH(support_tickets[[#This Row],[opened_at]]),1)</f>
        <v>46082</v>
      </c>
    </row>
    <row r="1466" spans="1:22">
      <c r="A1466">
        <v>6065743990</v>
      </c>
      <c r="B1466">
        <v>217687031</v>
      </c>
      <c r="C1466" t="s">
        <v>1212</v>
      </c>
      <c r="D1466" t="s">
        <v>1213</v>
      </c>
      <c r="E1466">
        <v>28566572</v>
      </c>
      <c r="F1466">
        <v>3065210717</v>
      </c>
      <c r="G1466" s="1">
        <v>45925.707615740743</v>
      </c>
      <c r="H1466" s="1">
        <v>45925.946504629632</v>
      </c>
      <c r="I1466" t="s">
        <v>3</v>
      </c>
      <c r="J1466" t="s">
        <v>30</v>
      </c>
      <c r="K1466" t="s">
        <v>73</v>
      </c>
      <c r="L1466" t="s">
        <v>21</v>
      </c>
      <c r="M1466">
        <v>17</v>
      </c>
      <c r="N1466">
        <v>344</v>
      </c>
      <c r="O1466">
        <v>0</v>
      </c>
      <c r="P1466" t="s">
        <v>31</v>
      </c>
      <c r="Q1466">
        <v>900</v>
      </c>
      <c r="R1466" t="s">
        <v>39</v>
      </c>
      <c r="S1466">
        <f>IF(support_tickets[[#This Row],[status_cleaned]]="closed",1,0)</f>
        <v>1</v>
      </c>
      <c r="T1466" t="str">
        <f>TEXT(support_tickets[[#This Row],[opened_at]],"mmm yyyy")</f>
        <v>Sep 2025</v>
      </c>
      <c r="U1466">
        <f>YEAR(support_tickets[[#This Row],[opened_at]])*100+MONTH(support_tickets[[#This Row],[opened_at]])</f>
        <v>202509</v>
      </c>
      <c r="V1466" s="29">
        <f>DATE(YEAR(support_tickets[[#This Row],[opened_at]]),MONTH(support_tickets[[#This Row],[opened_at]]),1)</f>
        <v>45901</v>
      </c>
    </row>
    <row r="1467" spans="1:22">
      <c r="A1467">
        <v>6083264777</v>
      </c>
      <c r="B1467">
        <v>855954847</v>
      </c>
      <c r="C1467" t="s">
        <v>1218</v>
      </c>
      <c r="D1467" t="s">
        <v>1219</v>
      </c>
      <c r="E1467">
        <v>42329237</v>
      </c>
      <c r="G1467" s="1">
        <v>45751.147303240738</v>
      </c>
      <c r="H1467" s="1">
        <v>45751.846608796295</v>
      </c>
      <c r="I1467" t="s">
        <v>3</v>
      </c>
      <c r="J1467" t="s">
        <v>59</v>
      </c>
      <c r="K1467" t="s">
        <v>73</v>
      </c>
      <c r="L1467" t="s">
        <v>21</v>
      </c>
      <c r="M1467">
        <v>69</v>
      </c>
      <c r="N1467">
        <v>1007</v>
      </c>
      <c r="O1467">
        <v>0</v>
      </c>
      <c r="P1467" t="s">
        <v>61</v>
      </c>
      <c r="Q1467">
        <v>907</v>
      </c>
      <c r="R1467" t="s">
        <v>39</v>
      </c>
      <c r="S1467">
        <f>IF(support_tickets[[#This Row],[status_cleaned]]="closed",1,0)</f>
        <v>1</v>
      </c>
      <c r="T1467" t="str">
        <f>TEXT(support_tickets[[#This Row],[opened_at]],"mmm yyyy")</f>
        <v>Apr 2025</v>
      </c>
      <c r="U1467">
        <f>YEAR(support_tickets[[#This Row],[opened_at]])*100+MONTH(support_tickets[[#This Row],[opened_at]])</f>
        <v>202504</v>
      </c>
      <c r="V1467" s="29">
        <f>DATE(YEAR(support_tickets[[#This Row],[opened_at]]),MONTH(support_tickets[[#This Row],[opened_at]]),1)</f>
        <v>45748</v>
      </c>
    </row>
    <row r="1468" spans="1:22">
      <c r="A1468">
        <v>6230296253</v>
      </c>
      <c r="B1468">
        <v>496115351</v>
      </c>
      <c r="C1468" t="s">
        <v>1238</v>
      </c>
      <c r="D1468" t="s">
        <v>1239</v>
      </c>
      <c r="E1468">
        <v>42868828</v>
      </c>
      <c r="G1468" s="1">
        <v>45776.467673611114</v>
      </c>
      <c r="H1468" s="1">
        <v>45776.627395833333</v>
      </c>
      <c r="I1468" t="s">
        <v>56</v>
      </c>
      <c r="J1468" t="s">
        <v>38</v>
      </c>
      <c r="K1468" t="s">
        <v>73</v>
      </c>
      <c r="L1468" t="s">
        <v>21</v>
      </c>
      <c r="M1468">
        <v>65</v>
      </c>
      <c r="N1468">
        <v>230</v>
      </c>
      <c r="O1468">
        <v>0</v>
      </c>
      <c r="P1468" t="s">
        <v>40</v>
      </c>
      <c r="Q1468">
        <v>926</v>
      </c>
      <c r="R1468" t="s">
        <v>39</v>
      </c>
      <c r="S1468">
        <f>IF(support_tickets[[#This Row],[status_cleaned]]="closed",1,0)</f>
        <v>1</v>
      </c>
      <c r="T1468" t="str">
        <f>TEXT(support_tickets[[#This Row],[opened_at]],"mmm yyyy")</f>
        <v>Apr 2025</v>
      </c>
      <c r="U1468">
        <f>YEAR(support_tickets[[#This Row],[opened_at]])*100+MONTH(support_tickets[[#This Row],[opened_at]])</f>
        <v>202504</v>
      </c>
      <c r="V1468" s="29">
        <f>DATE(YEAR(support_tickets[[#This Row],[opened_at]]),MONTH(support_tickets[[#This Row],[opened_at]]),1)</f>
        <v>45748</v>
      </c>
    </row>
    <row r="1469" spans="1:22">
      <c r="A1469">
        <v>6284790737</v>
      </c>
      <c r="B1469">
        <v>645127678</v>
      </c>
      <c r="C1469" t="s">
        <v>1244</v>
      </c>
      <c r="D1469" t="s">
        <v>1245</v>
      </c>
      <c r="E1469">
        <v>27232410</v>
      </c>
      <c r="G1469" s="1">
        <v>46066.968923611108</v>
      </c>
      <c r="H1469" s="1">
        <v>46067.051562499997</v>
      </c>
      <c r="I1469" t="s">
        <v>43</v>
      </c>
      <c r="J1469" t="s">
        <v>25</v>
      </c>
      <c r="K1469" t="s">
        <v>73</v>
      </c>
      <c r="L1469" t="s">
        <v>21</v>
      </c>
      <c r="M1469">
        <v>13</v>
      </c>
      <c r="N1469">
        <v>119</v>
      </c>
      <c r="O1469">
        <v>0</v>
      </c>
      <c r="P1469" t="s">
        <v>27</v>
      </c>
      <c r="Q1469">
        <v>936</v>
      </c>
      <c r="R1469" t="s">
        <v>39</v>
      </c>
      <c r="S1469">
        <f>IF(support_tickets[[#This Row],[status_cleaned]]="closed",1,0)</f>
        <v>1</v>
      </c>
      <c r="T1469" t="str">
        <f>TEXT(support_tickets[[#This Row],[opened_at]],"mmm yyyy")</f>
        <v>Feb 2026</v>
      </c>
      <c r="U1469">
        <f>YEAR(support_tickets[[#This Row],[opened_at]])*100+MONTH(support_tickets[[#This Row],[opened_at]])</f>
        <v>202602</v>
      </c>
      <c r="V1469" s="29">
        <f>DATE(YEAR(support_tickets[[#This Row],[opened_at]]),MONTH(support_tickets[[#This Row],[opened_at]]),1)</f>
        <v>46054</v>
      </c>
    </row>
    <row r="1470" spans="1:22">
      <c r="A1470">
        <v>6376760111</v>
      </c>
      <c r="B1470">
        <v>438868427</v>
      </c>
      <c r="C1470" t="s">
        <v>1058</v>
      </c>
      <c r="D1470" t="s">
        <v>1059</v>
      </c>
      <c r="E1470">
        <v>33978249</v>
      </c>
      <c r="F1470">
        <v>8604576329</v>
      </c>
      <c r="G1470" s="1">
        <v>45847.352534722224</v>
      </c>
      <c r="H1470" s="1">
        <v>45847.79420138889</v>
      </c>
      <c r="I1470" t="s">
        <v>37</v>
      </c>
      <c r="J1470" t="s">
        <v>25</v>
      </c>
      <c r="K1470" t="s">
        <v>73</v>
      </c>
      <c r="L1470" t="s">
        <v>21</v>
      </c>
      <c r="M1470">
        <v>48</v>
      </c>
      <c r="N1470">
        <v>636</v>
      </c>
      <c r="O1470">
        <v>0</v>
      </c>
      <c r="P1470" t="s">
        <v>27</v>
      </c>
      <c r="Q1470">
        <v>955</v>
      </c>
      <c r="R1470" t="s">
        <v>39</v>
      </c>
      <c r="S1470">
        <f>IF(support_tickets[[#This Row],[status_cleaned]]="closed",1,0)</f>
        <v>1</v>
      </c>
      <c r="T1470" t="str">
        <f>TEXT(support_tickets[[#This Row],[opened_at]],"mmm yyyy")</f>
        <v>Jul 2025</v>
      </c>
      <c r="U1470">
        <f>YEAR(support_tickets[[#This Row],[opened_at]])*100+MONTH(support_tickets[[#This Row],[opened_at]])</f>
        <v>202507</v>
      </c>
      <c r="V1470" s="29">
        <f>DATE(YEAR(support_tickets[[#This Row],[opened_at]]),MONTH(support_tickets[[#This Row],[opened_at]]),1)</f>
        <v>45839</v>
      </c>
    </row>
    <row r="1471" spans="1:22">
      <c r="A1471">
        <v>6407956109</v>
      </c>
      <c r="B1471">
        <v>151329185</v>
      </c>
      <c r="C1471" t="s">
        <v>1266</v>
      </c>
      <c r="D1471" t="s">
        <v>1267</v>
      </c>
      <c r="E1471">
        <v>12614124</v>
      </c>
      <c r="G1471" s="1">
        <v>45453.221678240741</v>
      </c>
      <c r="H1471" s="1">
        <v>45453.411956018521</v>
      </c>
      <c r="I1471" t="s">
        <v>37</v>
      </c>
      <c r="J1471" t="s">
        <v>19</v>
      </c>
      <c r="K1471" t="s">
        <v>73</v>
      </c>
      <c r="L1471" t="s">
        <v>21</v>
      </c>
      <c r="M1471">
        <v>33</v>
      </c>
      <c r="N1471">
        <v>274</v>
      </c>
      <c r="O1471">
        <v>0</v>
      </c>
      <c r="P1471" t="s">
        <v>22</v>
      </c>
      <c r="Q1471">
        <v>962</v>
      </c>
      <c r="R1471" t="s">
        <v>39</v>
      </c>
      <c r="S1471">
        <f>IF(support_tickets[[#This Row],[status_cleaned]]="closed",1,0)</f>
        <v>1</v>
      </c>
      <c r="T1471" t="str">
        <f>TEXT(support_tickets[[#This Row],[opened_at]],"mmm yyyy")</f>
        <v>Jun 2024</v>
      </c>
      <c r="U1471">
        <f>YEAR(support_tickets[[#This Row],[opened_at]])*100+MONTH(support_tickets[[#This Row],[opened_at]])</f>
        <v>202406</v>
      </c>
      <c r="V1471" s="29">
        <f>DATE(YEAR(support_tickets[[#This Row],[opened_at]]),MONTH(support_tickets[[#This Row],[opened_at]]),1)</f>
        <v>45444</v>
      </c>
    </row>
    <row r="1472" spans="1:22">
      <c r="A1472">
        <v>6614623134</v>
      </c>
      <c r="B1472">
        <v>902425085</v>
      </c>
      <c r="C1472" t="s">
        <v>764</v>
      </c>
      <c r="D1472" t="s">
        <v>765</v>
      </c>
      <c r="E1472">
        <v>16150444</v>
      </c>
      <c r="G1472" s="1">
        <v>45722.776805555557</v>
      </c>
      <c r="H1472" s="1">
        <v>45722.910138888888</v>
      </c>
      <c r="I1472" t="s">
        <v>43</v>
      </c>
      <c r="J1472" t="s">
        <v>30</v>
      </c>
      <c r="K1472" t="s">
        <v>73</v>
      </c>
      <c r="L1472" t="s">
        <v>21</v>
      </c>
      <c r="M1472">
        <v>67</v>
      </c>
      <c r="N1472">
        <v>192</v>
      </c>
      <c r="O1472">
        <v>0</v>
      </c>
      <c r="P1472" t="s">
        <v>31</v>
      </c>
      <c r="Q1472">
        <v>987</v>
      </c>
      <c r="R1472" t="s">
        <v>39</v>
      </c>
      <c r="S1472">
        <f>IF(support_tickets[[#This Row],[status_cleaned]]="closed",1,0)</f>
        <v>1</v>
      </c>
      <c r="T1472" t="str">
        <f>TEXT(support_tickets[[#This Row],[opened_at]],"mmm yyyy")</f>
        <v>Mar 2025</v>
      </c>
      <c r="U1472">
        <f>YEAR(support_tickets[[#This Row],[opened_at]])*100+MONTH(support_tickets[[#This Row],[opened_at]])</f>
        <v>202503</v>
      </c>
      <c r="V1472" s="29">
        <f>DATE(YEAR(support_tickets[[#This Row],[opened_at]]),MONTH(support_tickets[[#This Row],[opened_at]]),1)</f>
        <v>45717</v>
      </c>
    </row>
    <row r="1473" spans="1:22">
      <c r="A1473">
        <v>6691245684</v>
      </c>
      <c r="B1473">
        <v>148644109</v>
      </c>
      <c r="C1473" t="s">
        <v>1300</v>
      </c>
      <c r="D1473" t="s">
        <v>1301</v>
      </c>
      <c r="E1473">
        <v>47295260</v>
      </c>
      <c r="F1473">
        <v>8015937115</v>
      </c>
      <c r="G1473" s="1">
        <v>46087.687858796293</v>
      </c>
      <c r="H1473" s="1">
        <v>46088.092719907407</v>
      </c>
      <c r="I1473" t="s">
        <v>46</v>
      </c>
      <c r="J1473" t="s">
        <v>30</v>
      </c>
      <c r="K1473" t="s">
        <v>73</v>
      </c>
      <c r="L1473" t="s">
        <v>21</v>
      </c>
      <c r="M1473">
        <v>4</v>
      </c>
      <c r="N1473">
        <v>583</v>
      </c>
      <c r="O1473">
        <v>0</v>
      </c>
      <c r="P1473" t="s">
        <v>31</v>
      </c>
      <c r="Q1473">
        <v>997</v>
      </c>
      <c r="R1473" t="s">
        <v>39</v>
      </c>
      <c r="S1473">
        <f>IF(support_tickets[[#This Row],[status_cleaned]]="closed",1,0)</f>
        <v>1</v>
      </c>
      <c r="T1473" t="str">
        <f>TEXT(support_tickets[[#This Row],[opened_at]],"mmm yyyy")</f>
        <v>Mar 2026</v>
      </c>
      <c r="U1473">
        <f>YEAR(support_tickets[[#This Row],[opened_at]])*100+MONTH(support_tickets[[#This Row],[opened_at]])</f>
        <v>202603</v>
      </c>
      <c r="V1473" s="29">
        <f>DATE(YEAR(support_tickets[[#This Row],[opened_at]]),MONTH(support_tickets[[#This Row],[opened_at]]),1)</f>
        <v>46082</v>
      </c>
    </row>
    <row r="1474" spans="1:22">
      <c r="A1474">
        <v>6702392602</v>
      </c>
      <c r="B1474">
        <v>855438611</v>
      </c>
      <c r="C1474" t="s">
        <v>608</v>
      </c>
      <c r="D1474" t="s">
        <v>609</v>
      </c>
      <c r="E1474">
        <v>50056581</v>
      </c>
      <c r="G1474" s="1">
        <v>46055.502939814818</v>
      </c>
      <c r="H1474" s="1">
        <v>46055.798078703701</v>
      </c>
      <c r="I1474" t="s">
        <v>3</v>
      </c>
      <c r="J1474" t="s">
        <v>86</v>
      </c>
      <c r="K1474" t="s">
        <v>73</v>
      </c>
      <c r="L1474" t="s">
        <v>21</v>
      </c>
      <c r="M1474">
        <v>38</v>
      </c>
      <c r="N1474">
        <v>425</v>
      </c>
      <c r="O1474">
        <v>0</v>
      </c>
      <c r="P1474" t="s">
        <v>87</v>
      </c>
      <c r="Q1474">
        <v>1000</v>
      </c>
      <c r="R1474" t="s">
        <v>39</v>
      </c>
      <c r="S1474">
        <f>IF(support_tickets[[#This Row],[status_cleaned]]="closed",1,0)</f>
        <v>1</v>
      </c>
      <c r="T1474" t="str">
        <f>TEXT(support_tickets[[#This Row],[opened_at]],"mmm yyyy")</f>
        <v>Feb 2026</v>
      </c>
      <c r="U1474">
        <f>YEAR(support_tickets[[#This Row],[opened_at]])*100+MONTH(support_tickets[[#This Row],[opened_at]])</f>
        <v>202602</v>
      </c>
      <c r="V1474" s="29">
        <f>DATE(YEAR(support_tickets[[#This Row],[opened_at]]),MONTH(support_tickets[[#This Row],[opened_at]]),1)</f>
        <v>46054</v>
      </c>
    </row>
    <row r="1475" spans="1:22">
      <c r="A1475">
        <v>6742199636</v>
      </c>
      <c r="B1475">
        <v>567013808</v>
      </c>
      <c r="C1475" t="s">
        <v>474</v>
      </c>
      <c r="D1475" t="s">
        <v>475</v>
      </c>
      <c r="E1475">
        <v>58718453</v>
      </c>
      <c r="F1475">
        <v>2149575829</v>
      </c>
      <c r="G1475" s="1">
        <v>45675.721585648149</v>
      </c>
      <c r="H1475" s="1">
        <v>45675.911168981482</v>
      </c>
      <c r="I1475" t="s">
        <v>43</v>
      </c>
      <c r="J1475" t="s">
        <v>19</v>
      </c>
      <c r="K1475" t="s">
        <v>73</v>
      </c>
      <c r="L1475" t="s">
        <v>21</v>
      </c>
      <c r="M1475">
        <v>111</v>
      </c>
      <c r="N1475">
        <v>273</v>
      </c>
      <c r="O1475">
        <v>0</v>
      </c>
      <c r="P1475" t="s">
        <v>22</v>
      </c>
      <c r="Q1475">
        <v>1002</v>
      </c>
      <c r="R1475" t="s">
        <v>39</v>
      </c>
      <c r="S1475">
        <f>IF(support_tickets[[#This Row],[status_cleaned]]="closed",1,0)</f>
        <v>1</v>
      </c>
      <c r="T1475" t="str">
        <f>TEXT(support_tickets[[#This Row],[opened_at]],"mmm yyyy")</f>
        <v>Jan 2025</v>
      </c>
      <c r="U1475">
        <f>YEAR(support_tickets[[#This Row],[opened_at]])*100+MONTH(support_tickets[[#This Row],[opened_at]])</f>
        <v>202501</v>
      </c>
      <c r="V1475" s="29">
        <f>DATE(YEAR(support_tickets[[#This Row],[opened_at]]),MONTH(support_tickets[[#This Row],[opened_at]]),1)</f>
        <v>45658</v>
      </c>
    </row>
    <row r="1476" spans="1:22">
      <c r="A1476">
        <v>6824402929</v>
      </c>
      <c r="B1476">
        <v>512477736</v>
      </c>
      <c r="C1476" t="s">
        <v>1032</v>
      </c>
      <c r="D1476" t="s">
        <v>1033</v>
      </c>
      <c r="E1476">
        <v>58181396</v>
      </c>
      <c r="F1476">
        <v>3282647005</v>
      </c>
      <c r="G1476" s="1">
        <v>46043.823055555556</v>
      </c>
      <c r="H1476" s="1">
        <v>46044.273055555554</v>
      </c>
      <c r="I1476" t="s">
        <v>43</v>
      </c>
      <c r="J1476" t="s">
        <v>19</v>
      </c>
      <c r="K1476" t="s">
        <v>73</v>
      </c>
      <c r="L1476" t="s">
        <v>21</v>
      </c>
      <c r="M1476">
        <v>33</v>
      </c>
      <c r="N1476">
        <v>648</v>
      </c>
      <c r="O1476">
        <v>0</v>
      </c>
      <c r="P1476" t="s">
        <v>22</v>
      </c>
      <c r="Q1476">
        <v>1011</v>
      </c>
      <c r="R1476" t="s">
        <v>39</v>
      </c>
      <c r="S1476">
        <f>IF(support_tickets[[#This Row],[status_cleaned]]="closed",1,0)</f>
        <v>1</v>
      </c>
      <c r="T1476" t="str">
        <f>TEXT(support_tickets[[#This Row],[opened_at]],"mmm yyyy")</f>
        <v>Jan 2026</v>
      </c>
      <c r="U1476">
        <f>YEAR(support_tickets[[#This Row],[opened_at]])*100+MONTH(support_tickets[[#This Row],[opened_at]])</f>
        <v>202601</v>
      </c>
      <c r="V1476" s="29">
        <f>DATE(YEAR(support_tickets[[#This Row],[opened_at]]),MONTH(support_tickets[[#This Row],[opened_at]]),1)</f>
        <v>46023</v>
      </c>
    </row>
    <row r="1477" spans="1:22">
      <c r="A1477">
        <v>6848258538</v>
      </c>
      <c r="B1477">
        <v>379484009</v>
      </c>
      <c r="C1477" t="s">
        <v>1312</v>
      </c>
      <c r="D1477" t="s">
        <v>1313</v>
      </c>
      <c r="E1477">
        <v>17507864</v>
      </c>
      <c r="G1477" s="1">
        <v>45763.697280092594</v>
      </c>
      <c r="H1477" s="1">
        <v>45764.273668981485</v>
      </c>
      <c r="I1477" t="s">
        <v>46</v>
      </c>
      <c r="J1477" t="s">
        <v>19</v>
      </c>
      <c r="K1477" t="s">
        <v>73</v>
      </c>
      <c r="L1477" t="s">
        <v>21</v>
      </c>
      <c r="M1477">
        <v>46</v>
      </c>
      <c r="N1477">
        <v>830</v>
      </c>
      <c r="O1477">
        <v>0</v>
      </c>
      <c r="P1477" t="s">
        <v>22</v>
      </c>
      <c r="Q1477">
        <v>1015</v>
      </c>
      <c r="R1477" t="s">
        <v>39</v>
      </c>
      <c r="S1477">
        <f>IF(support_tickets[[#This Row],[status_cleaned]]="closed",1,0)</f>
        <v>1</v>
      </c>
      <c r="T1477" t="str">
        <f>TEXT(support_tickets[[#This Row],[opened_at]],"mmm yyyy")</f>
        <v>Apr 2025</v>
      </c>
      <c r="U1477">
        <f>YEAR(support_tickets[[#This Row],[opened_at]])*100+MONTH(support_tickets[[#This Row],[opened_at]])</f>
        <v>202504</v>
      </c>
      <c r="V1477" s="29">
        <f>DATE(YEAR(support_tickets[[#This Row],[opened_at]]),MONTH(support_tickets[[#This Row],[opened_at]]),1)</f>
        <v>45748</v>
      </c>
    </row>
    <row r="1478" spans="1:22">
      <c r="A1478">
        <v>7126644332</v>
      </c>
      <c r="B1478">
        <v>416794215</v>
      </c>
      <c r="C1478" t="s">
        <v>98</v>
      </c>
      <c r="D1478" t="s">
        <v>99</v>
      </c>
      <c r="E1478">
        <v>51273847</v>
      </c>
      <c r="F1478">
        <v>9312541476</v>
      </c>
      <c r="G1478" s="1">
        <v>45553.776493055557</v>
      </c>
      <c r="H1478" s="1">
        <v>45554.09107638889</v>
      </c>
      <c r="I1478" t="s">
        <v>46</v>
      </c>
      <c r="J1478" t="s">
        <v>38</v>
      </c>
      <c r="K1478" t="s">
        <v>73</v>
      </c>
      <c r="L1478" t="s">
        <v>21</v>
      </c>
      <c r="M1478">
        <v>33</v>
      </c>
      <c r="N1478">
        <v>453</v>
      </c>
      <c r="O1478">
        <v>0</v>
      </c>
      <c r="P1478" t="s">
        <v>40</v>
      </c>
      <c r="Q1478">
        <v>1049</v>
      </c>
      <c r="R1478" t="s">
        <v>39</v>
      </c>
      <c r="S1478">
        <f>IF(support_tickets[[#This Row],[status_cleaned]]="closed",1,0)</f>
        <v>1</v>
      </c>
      <c r="T1478" t="str">
        <f>TEXT(support_tickets[[#This Row],[opened_at]],"mmm yyyy")</f>
        <v>Sep 2024</v>
      </c>
      <c r="U1478">
        <f>YEAR(support_tickets[[#This Row],[opened_at]])*100+MONTH(support_tickets[[#This Row],[opened_at]])</f>
        <v>202409</v>
      </c>
      <c r="V1478" s="29">
        <f>DATE(YEAR(support_tickets[[#This Row],[opened_at]]),MONTH(support_tickets[[#This Row],[opened_at]]),1)</f>
        <v>45536</v>
      </c>
    </row>
    <row r="1479" spans="1:22">
      <c r="A1479">
        <v>7191696152</v>
      </c>
      <c r="B1479">
        <v>757074545</v>
      </c>
      <c r="C1479" t="s">
        <v>1332</v>
      </c>
      <c r="D1479" t="s">
        <v>1333</v>
      </c>
      <c r="E1479">
        <v>97971488</v>
      </c>
      <c r="F1479">
        <v>6188202204</v>
      </c>
      <c r="G1479" s="1">
        <v>45606.064571759256</v>
      </c>
      <c r="H1479" s="1">
        <v>45606.381932870368</v>
      </c>
      <c r="I1479" t="s">
        <v>43</v>
      </c>
      <c r="J1479" t="s">
        <v>86</v>
      </c>
      <c r="K1479" t="s">
        <v>73</v>
      </c>
      <c r="L1479" t="s">
        <v>21</v>
      </c>
      <c r="M1479">
        <v>46</v>
      </c>
      <c r="N1479">
        <v>457</v>
      </c>
      <c r="O1479">
        <v>0</v>
      </c>
      <c r="P1479" t="s">
        <v>87</v>
      </c>
      <c r="Q1479">
        <v>1061</v>
      </c>
      <c r="R1479" t="s">
        <v>39</v>
      </c>
      <c r="S1479">
        <f>IF(support_tickets[[#This Row],[status_cleaned]]="closed",1,0)</f>
        <v>1</v>
      </c>
      <c r="T1479" t="str">
        <f>TEXT(support_tickets[[#This Row],[opened_at]],"mmm yyyy")</f>
        <v>Nov 2024</v>
      </c>
      <c r="U1479">
        <f>YEAR(support_tickets[[#This Row],[opened_at]])*100+MONTH(support_tickets[[#This Row],[opened_at]])</f>
        <v>202411</v>
      </c>
      <c r="V1479" s="29">
        <f>DATE(YEAR(support_tickets[[#This Row],[opened_at]]),MONTH(support_tickets[[#This Row],[opened_at]]),1)</f>
        <v>45597</v>
      </c>
    </row>
    <row r="1480" spans="1:22">
      <c r="A1480">
        <v>7361371066</v>
      </c>
      <c r="B1480">
        <v>750407244</v>
      </c>
      <c r="C1480" t="s">
        <v>1350</v>
      </c>
      <c r="D1480" t="s">
        <v>1351</v>
      </c>
      <c r="E1480">
        <v>51273847</v>
      </c>
      <c r="G1480" s="1">
        <v>46097.592523148145</v>
      </c>
      <c r="H1480" s="1">
        <v>46097.94599537037</v>
      </c>
      <c r="I1480" t="s">
        <v>3</v>
      </c>
      <c r="J1480" t="s">
        <v>38</v>
      </c>
      <c r="K1480" t="s">
        <v>73</v>
      </c>
      <c r="L1480" t="s">
        <v>21</v>
      </c>
      <c r="M1480">
        <v>21</v>
      </c>
      <c r="N1480">
        <v>509</v>
      </c>
      <c r="O1480">
        <v>0</v>
      </c>
      <c r="P1480" t="s">
        <v>40</v>
      </c>
      <c r="Q1480">
        <v>1083</v>
      </c>
      <c r="R1480" t="s">
        <v>39</v>
      </c>
      <c r="S1480">
        <f>IF(support_tickets[[#This Row],[status_cleaned]]="closed",1,0)</f>
        <v>1</v>
      </c>
      <c r="T1480" t="str">
        <f>TEXT(support_tickets[[#This Row],[opened_at]],"mmm yyyy")</f>
        <v>Mar 2026</v>
      </c>
      <c r="U1480">
        <f>YEAR(support_tickets[[#This Row],[opened_at]])*100+MONTH(support_tickets[[#This Row],[opened_at]])</f>
        <v>202603</v>
      </c>
      <c r="V1480" s="29">
        <f>DATE(YEAR(support_tickets[[#This Row],[opened_at]]),MONTH(support_tickets[[#This Row],[opened_at]]),1)</f>
        <v>46082</v>
      </c>
    </row>
    <row r="1481" spans="1:22">
      <c r="A1481">
        <v>7615038909</v>
      </c>
      <c r="B1481">
        <v>480412754</v>
      </c>
      <c r="C1481" t="s">
        <v>314</v>
      </c>
      <c r="D1481" t="s">
        <v>315</v>
      </c>
      <c r="E1481">
        <v>81691040</v>
      </c>
      <c r="G1481" s="1">
        <v>45776.632893518516</v>
      </c>
      <c r="H1481" s="1">
        <v>45777.33289351852</v>
      </c>
      <c r="I1481" t="s">
        <v>37</v>
      </c>
      <c r="J1481" t="s">
        <v>19</v>
      </c>
      <c r="K1481" t="s">
        <v>73</v>
      </c>
      <c r="L1481" t="s">
        <v>21</v>
      </c>
      <c r="M1481">
        <v>38</v>
      </c>
      <c r="N1481">
        <v>1008</v>
      </c>
      <c r="O1481">
        <v>0</v>
      </c>
      <c r="P1481" t="s">
        <v>22</v>
      </c>
      <c r="Q1481">
        <v>1127</v>
      </c>
      <c r="R1481" t="s">
        <v>39</v>
      </c>
      <c r="S1481">
        <f>IF(support_tickets[[#This Row],[status_cleaned]]="closed",1,0)</f>
        <v>1</v>
      </c>
      <c r="T1481" t="str">
        <f>TEXT(support_tickets[[#This Row],[opened_at]],"mmm yyyy")</f>
        <v>Apr 2025</v>
      </c>
      <c r="U1481">
        <f>YEAR(support_tickets[[#This Row],[opened_at]])*100+MONTH(support_tickets[[#This Row],[opened_at]])</f>
        <v>202504</v>
      </c>
      <c r="V1481" s="29">
        <f>DATE(YEAR(support_tickets[[#This Row],[opened_at]]),MONTH(support_tickets[[#This Row],[opened_at]]),1)</f>
        <v>45748</v>
      </c>
    </row>
    <row r="1482" spans="1:22">
      <c r="A1482">
        <v>7662459946</v>
      </c>
      <c r="B1482">
        <v>861888313</v>
      </c>
      <c r="C1482" t="s">
        <v>1118</v>
      </c>
      <c r="D1482" t="s">
        <v>1119</v>
      </c>
      <c r="E1482">
        <v>94214382</v>
      </c>
      <c r="G1482" s="1">
        <v>45515.996180555558</v>
      </c>
      <c r="H1482" s="1">
        <v>45516.567013888889</v>
      </c>
      <c r="I1482" t="s">
        <v>56</v>
      </c>
      <c r="J1482" t="s">
        <v>25</v>
      </c>
      <c r="K1482" t="s">
        <v>73</v>
      </c>
      <c r="L1482" t="s">
        <v>21</v>
      </c>
      <c r="M1482">
        <v>32</v>
      </c>
      <c r="N1482">
        <v>822</v>
      </c>
      <c r="O1482">
        <v>0</v>
      </c>
      <c r="P1482" t="s">
        <v>27</v>
      </c>
      <c r="Q1482">
        <v>1136</v>
      </c>
      <c r="R1482" t="s">
        <v>39</v>
      </c>
      <c r="S1482">
        <f>IF(support_tickets[[#This Row],[status_cleaned]]="closed",1,0)</f>
        <v>1</v>
      </c>
      <c r="T1482" t="str">
        <f>TEXT(support_tickets[[#This Row],[opened_at]],"mmm yyyy")</f>
        <v>Aug 2024</v>
      </c>
      <c r="U1482">
        <f>YEAR(support_tickets[[#This Row],[opened_at]])*100+MONTH(support_tickets[[#This Row],[opened_at]])</f>
        <v>202408</v>
      </c>
      <c r="V1482" s="29">
        <f>DATE(YEAR(support_tickets[[#This Row],[opened_at]]),MONTH(support_tickets[[#This Row],[opened_at]]),1)</f>
        <v>45505</v>
      </c>
    </row>
    <row r="1483" spans="1:22">
      <c r="A1483">
        <v>7666433379</v>
      </c>
      <c r="B1483">
        <v>946066287</v>
      </c>
      <c r="C1483" t="s">
        <v>320</v>
      </c>
      <c r="D1483" t="s">
        <v>321</v>
      </c>
      <c r="E1483">
        <v>15831819</v>
      </c>
      <c r="G1483" s="1">
        <v>45603.911377314813</v>
      </c>
      <c r="H1483" s="1">
        <v>45604.078043981484</v>
      </c>
      <c r="I1483" t="s">
        <v>3</v>
      </c>
      <c r="J1483" t="s">
        <v>30</v>
      </c>
      <c r="K1483" t="s">
        <v>73</v>
      </c>
      <c r="L1483" t="s">
        <v>21</v>
      </c>
      <c r="M1483">
        <v>9</v>
      </c>
      <c r="N1483">
        <v>240</v>
      </c>
      <c r="O1483">
        <v>0</v>
      </c>
      <c r="P1483" t="s">
        <v>31</v>
      </c>
      <c r="Q1483">
        <v>1138</v>
      </c>
      <c r="R1483" t="s">
        <v>39</v>
      </c>
      <c r="S1483">
        <f>IF(support_tickets[[#This Row],[status_cleaned]]="closed",1,0)</f>
        <v>1</v>
      </c>
      <c r="T1483" t="str">
        <f>TEXT(support_tickets[[#This Row],[opened_at]],"mmm yyyy")</f>
        <v>Nov 2024</v>
      </c>
      <c r="U1483">
        <f>YEAR(support_tickets[[#This Row],[opened_at]])*100+MONTH(support_tickets[[#This Row],[opened_at]])</f>
        <v>202411</v>
      </c>
      <c r="V1483" s="29">
        <f>DATE(YEAR(support_tickets[[#This Row],[opened_at]]),MONTH(support_tickets[[#This Row],[opened_at]]),1)</f>
        <v>45597</v>
      </c>
    </row>
    <row r="1484" spans="1:22">
      <c r="A1484">
        <v>7802399223</v>
      </c>
      <c r="B1484">
        <v>871588919</v>
      </c>
      <c r="C1484" t="s">
        <v>1126</v>
      </c>
      <c r="D1484" t="s">
        <v>1127</v>
      </c>
      <c r="E1484">
        <v>28566572</v>
      </c>
      <c r="F1484">
        <v>9506361521</v>
      </c>
      <c r="G1484" s="1">
        <v>45702.788576388892</v>
      </c>
      <c r="H1484" s="1">
        <v>45703.014270833337</v>
      </c>
      <c r="I1484" t="s">
        <v>46</v>
      </c>
      <c r="J1484" t="s">
        <v>30</v>
      </c>
      <c r="K1484" t="s">
        <v>73</v>
      </c>
      <c r="L1484" t="s">
        <v>21</v>
      </c>
      <c r="M1484">
        <v>59</v>
      </c>
      <c r="N1484">
        <v>325</v>
      </c>
      <c r="O1484">
        <v>0</v>
      </c>
      <c r="P1484" t="s">
        <v>31</v>
      </c>
      <c r="Q1484">
        <v>1158</v>
      </c>
      <c r="R1484" t="s">
        <v>39</v>
      </c>
      <c r="S1484">
        <f>IF(support_tickets[[#This Row],[status_cleaned]]="closed",1,0)</f>
        <v>1</v>
      </c>
      <c r="T1484" t="str">
        <f>TEXT(support_tickets[[#This Row],[opened_at]],"mmm yyyy")</f>
        <v>Feb 2025</v>
      </c>
      <c r="U1484">
        <f>YEAR(support_tickets[[#This Row],[opened_at]])*100+MONTH(support_tickets[[#This Row],[opened_at]])</f>
        <v>202502</v>
      </c>
      <c r="V1484" s="29">
        <f>DATE(YEAR(support_tickets[[#This Row],[opened_at]]),MONTH(support_tickets[[#This Row],[opened_at]]),1)</f>
        <v>45689</v>
      </c>
    </row>
    <row r="1485" spans="1:22">
      <c r="A1485">
        <v>7870160337</v>
      </c>
      <c r="B1485">
        <v>715122372</v>
      </c>
      <c r="C1485" t="s">
        <v>1102</v>
      </c>
      <c r="D1485" t="s">
        <v>1103</v>
      </c>
      <c r="E1485">
        <v>83793389</v>
      </c>
      <c r="F1485">
        <v>9649635759</v>
      </c>
      <c r="G1485" s="1">
        <v>46062.683958333335</v>
      </c>
      <c r="H1485" s="1">
        <v>46062.873541666668</v>
      </c>
      <c r="I1485" t="s">
        <v>43</v>
      </c>
      <c r="J1485" t="s">
        <v>86</v>
      </c>
      <c r="K1485" t="s">
        <v>73</v>
      </c>
      <c r="L1485" t="s">
        <v>21</v>
      </c>
      <c r="M1485">
        <v>20</v>
      </c>
      <c r="N1485">
        <v>273</v>
      </c>
      <c r="O1485">
        <v>0</v>
      </c>
      <c r="P1485" t="s">
        <v>87</v>
      </c>
      <c r="Q1485">
        <v>1169</v>
      </c>
      <c r="R1485" t="s">
        <v>39</v>
      </c>
      <c r="S1485">
        <f>IF(support_tickets[[#This Row],[status_cleaned]]="closed",1,0)</f>
        <v>1</v>
      </c>
      <c r="T1485" t="str">
        <f>TEXT(support_tickets[[#This Row],[opened_at]],"mmm yyyy")</f>
        <v>Feb 2026</v>
      </c>
      <c r="U1485">
        <f>YEAR(support_tickets[[#This Row],[opened_at]])*100+MONTH(support_tickets[[#This Row],[opened_at]])</f>
        <v>202602</v>
      </c>
      <c r="V1485" s="29">
        <f>DATE(YEAR(support_tickets[[#This Row],[opened_at]]),MONTH(support_tickets[[#This Row],[opened_at]]),1)</f>
        <v>46054</v>
      </c>
    </row>
    <row r="1486" spans="1:22">
      <c r="A1486">
        <v>8016945819</v>
      </c>
      <c r="B1486">
        <v>393622794</v>
      </c>
      <c r="C1486" t="s">
        <v>424</v>
      </c>
      <c r="D1486" t="s">
        <v>425</v>
      </c>
      <c r="E1486">
        <v>49349722</v>
      </c>
      <c r="G1486" s="1">
        <v>45361.766006944446</v>
      </c>
      <c r="H1486" s="1">
        <v>45361.880590277775</v>
      </c>
      <c r="I1486" t="s">
        <v>3</v>
      </c>
      <c r="J1486" t="s">
        <v>25</v>
      </c>
      <c r="K1486" t="s">
        <v>73</v>
      </c>
      <c r="L1486" t="s">
        <v>21</v>
      </c>
      <c r="M1486">
        <v>55</v>
      </c>
      <c r="N1486">
        <v>165</v>
      </c>
      <c r="O1486">
        <v>0</v>
      </c>
      <c r="P1486" t="s">
        <v>27</v>
      </c>
      <c r="Q1486">
        <v>1184</v>
      </c>
      <c r="R1486" t="s">
        <v>39</v>
      </c>
      <c r="S1486">
        <f>IF(support_tickets[[#This Row],[status_cleaned]]="closed",1,0)</f>
        <v>1</v>
      </c>
      <c r="T1486" t="str">
        <f>TEXT(support_tickets[[#This Row],[opened_at]],"mmm yyyy")</f>
        <v>Mar 2024</v>
      </c>
      <c r="U1486">
        <f>YEAR(support_tickets[[#This Row],[opened_at]])*100+MONTH(support_tickets[[#This Row],[opened_at]])</f>
        <v>202403</v>
      </c>
      <c r="V1486" s="29">
        <f>DATE(YEAR(support_tickets[[#This Row],[opened_at]]),MONTH(support_tickets[[#This Row],[opened_at]]),1)</f>
        <v>45352</v>
      </c>
    </row>
    <row r="1487" spans="1:22">
      <c r="A1487">
        <v>8214072080</v>
      </c>
      <c r="B1487">
        <v>139711044</v>
      </c>
      <c r="C1487" t="s">
        <v>154</v>
      </c>
      <c r="D1487" t="s">
        <v>155</v>
      </c>
      <c r="E1487">
        <v>97226012</v>
      </c>
      <c r="F1487">
        <v>4329701564</v>
      </c>
      <c r="G1487" s="1">
        <v>45302.046053240738</v>
      </c>
      <c r="H1487" s="1">
        <v>45302.191192129627</v>
      </c>
      <c r="I1487" t="s">
        <v>56</v>
      </c>
      <c r="J1487" t="s">
        <v>19</v>
      </c>
      <c r="K1487" t="s">
        <v>73</v>
      </c>
      <c r="L1487" t="s">
        <v>21</v>
      </c>
      <c r="M1487">
        <v>5</v>
      </c>
      <c r="N1487">
        <v>209</v>
      </c>
      <c r="O1487">
        <v>0</v>
      </c>
      <c r="P1487" t="s">
        <v>22</v>
      </c>
      <c r="Q1487">
        <v>1215</v>
      </c>
      <c r="R1487" t="s">
        <v>39</v>
      </c>
      <c r="S1487">
        <f>IF(support_tickets[[#This Row],[status_cleaned]]="closed",1,0)</f>
        <v>1</v>
      </c>
      <c r="T1487" t="str">
        <f>TEXT(support_tickets[[#This Row],[opened_at]],"mmm yyyy")</f>
        <v>Jan 2024</v>
      </c>
      <c r="U1487">
        <f>YEAR(support_tickets[[#This Row],[opened_at]])*100+MONTH(support_tickets[[#This Row],[opened_at]])</f>
        <v>202401</v>
      </c>
      <c r="V1487" s="29">
        <f>DATE(YEAR(support_tickets[[#This Row],[opened_at]]),MONTH(support_tickets[[#This Row],[opened_at]]),1)</f>
        <v>45292</v>
      </c>
    </row>
    <row r="1488" spans="1:22">
      <c r="A1488">
        <v>8277690297</v>
      </c>
      <c r="B1488">
        <v>380016058</v>
      </c>
      <c r="C1488" t="s">
        <v>214</v>
      </c>
      <c r="D1488" t="s">
        <v>215</v>
      </c>
      <c r="E1488">
        <v>81971316</v>
      </c>
      <c r="G1488" s="1">
        <v>46096.818807870368</v>
      </c>
      <c r="H1488" s="1">
        <v>46097.445891203701</v>
      </c>
      <c r="I1488" t="s">
        <v>46</v>
      </c>
      <c r="J1488" t="s">
        <v>59</v>
      </c>
      <c r="K1488" t="s">
        <v>73</v>
      </c>
      <c r="L1488" t="s">
        <v>21</v>
      </c>
      <c r="M1488">
        <v>18</v>
      </c>
      <c r="N1488">
        <v>903</v>
      </c>
      <c r="O1488">
        <v>0</v>
      </c>
      <c r="P1488" t="s">
        <v>61</v>
      </c>
      <c r="Q1488">
        <v>1227</v>
      </c>
      <c r="R1488" t="s">
        <v>39</v>
      </c>
      <c r="S1488">
        <f>IF(support_tickets[[#This Row],[status_cleaned]]="closed",1,0)</f>
        <v>1</v>
      </c>
      <c r="T1488" t="str">
        <f>TEXT(support_tickets[[#This Row],[opened_at]],"mmm yyyy")</f>
        <v>Mar 2026</v>
      </c>
      <c r="U1488">
        <f>YEAR(support_tickets[[#This Row],[opened_at]])*100+MONTH(support_tickets[[#This Row],[opened_at]])</f>
        <v>202603</v>
      </c>
      <c r="V1488" s="29">
        <f>DATE(YEAR(support_tickets[[#This Row],[opened_at]]),MONTH(support_tickets[[#This Row],[opened_at]]),1)</f>
        <v>46082</v>
      </c>
    </row>
    <row r="1489" spans="1:22">
      <c r="A1489">
        <v>8288083077</v>
      </c>
      <c r="B1489">
        <v>581682167</v>
      </c>
      <c r="C1489" t="s">
        <v>1094</v>
      </c>
      <c r="D1489" t="s">
        <v>1095</v>
      </c>
      <c r="E1489">
        <v>89089901</v>
      </c>
      <c r="G1489" s="1">
        <v>45704.537546296298</v>
      </c>
      <c r="H1489" s="1">
        <v>45704.825046296297</v>
      </c>
      <c r="I1489" t="s">
        <v>37</v>
      </c>
      <c r="J1489" t="s">
        <v>86</v>
      </c>
      <c r="K1489" t="s">
        <v>73</v>
      </c>
      <c r="L1489" t="s">
        <v>21</v>
      </c>
      <c r="M1489">
        <v>59</v>
      </c>
      <c r="N1489">
        <v>414</v>
      </c>
      <c r="O1489">
        <v>0</v>
      </c>
      <c r="P1489" t="s">
        <v>87</v>
      </c>
      <c r="Q1489">
        <v>1228</v>
      </c>
      <c r="R1489" t="s">
        <v>39</v>
      </c>
      <c r="S1489">
        <f>IF(support_tickets[[#This Row],[status_cleaned]]="closed",1,0)</f>
        <v>1</v>
      </c>
      <c r="T1489" t="str">
        <f>TEXT(support_tickets[[#This Row],[opened_at]],"mmm yyyy")</f>
        <v>Feb 2025</v>
      </c>
      <c r="U1489">
        <f>YEAR(support_tickets[[#This Row],[opened_at]])*100+MONTH(support_tickets[[#This Row],[opened_at]])</f>
        <v>202502</v>
      </c>
      <c r="V1489" s="29">
        <f>DATE(YEAR(support_tickets[[#This Row],[opened_at]]),MONTH(support_tickets[[#This Row],[opened_at]]),1)</f>
        <v>45689</v>
      </c>
    </row>
    <row r="1490" spans="1:22">
      <c r="A1490">
        <v>8349671737</v>
      </c>
      <c r="B1490">
        <v>157184151</v>
      </c>
      <c r="C1490" t="s">
        <v>466</v>
      </c>
      <c r="D1490" t="s">
        <v>467</v>
      </c>
      <c r="E1490">
        <v>13999315</v>
      </c>
      <c r="F1490">
        <v>3051815663</v>
      </c>
      <c r="G1490" s="1">
        <v>45325.963796296295</v>
      </c>
      <c r="H1490" s="1">
        <v>45326.201296296298</v>
      </c>
      <c r="I1490" t="s">
        <v>56</v>
      </c>
      <c r="J1490" t="s">
        <v>38</v>
      </c>
      <c r="K1490" t="s">
        <v>73</v>
      </c>
      <c r="L1490" t="s">
        <v>21</v>
      </c>
      <c r="M1490">
        <v>1</v>
      </c>
      <c r="N1490">
        <v>342</v>
      </c>
      <c r="O1490">
        <v>0</v>
      </c>
      <c r="P1490" t="s">
        <v>40</v>
      </c>
      <c r="Q1490">
        <v>1233</v>
      </c>
      <c r="R1490" t="s">
        <v>39</v>
      </c>
      <c r="S1490">
        <f>IF(support_tickets[[#This Row],[status_cleaned]]="closed",1,0)</f>
        <v>1</v>
      </c>
      <c r="T1490" t="str">
        <f>TEXT(support_tickets[[#This Row],[opened_at]],"mmm yyyy")</f>
        <v>Feb 2024</v>
      </c>
      <c r="U1490">
        <f>YEAR(support_tickets[[#This Row],[opened_at]])*100+MONTH(support_tickets[[#This Row],[opened_at]])</f>
        <v>202402</v>
      </c>
      <c r="V1490" s="29">
        <f>DATE(YEAR(support_tickets[[#This Row],[opened_at]]),MONTH(support_tickets[[#This Row],[opened_at]]),1)</f>
        <v>45323</v>
      </c>
    </row>
    <row r="1491" spans="1:22">
      <c r="A1491">
        <v>8573824182</v>
      </c>
      <c r="B1491">
        <v>584394989</v>
      </c>
      <c r="C1491" t="s">
        <v>468</v>
      </c>
      <c r="D1491" t="s">
        <v>469</v>
      </c>
      <c r="E1491">
        <v>26753883</v>
      </c>
      <c r="G1491" s="1">
        <v>45612.854247685187</v>
      </c>
      <c r="H1491" s="1">
        <v>45613.590358796297</v>
      </c>
      <c r="I1491" t="s">
        <v>18</v>
      </c>
      <c r="J1491" t="s">
        <v>38</v>
      </c>
      <c r="K1491" t="s">
        <v>73</v>
      </c>
      <c r="L1491" t="s">
        <v>21</v>
      </c>
      <c r="M1491">
        <v>47</v>
      </c>
      <c r="N1491">
        <v>1060</v>
      </c>
      <c r="O1491">
        <v>0</v>
      </c>
      <c r="P1491" t="s">
        <v>40</v>
      </c>
      <c r="Q1491">
        <v>1274</v>
      </c>
      <c r="R1491" t="s">
        <v>39</v>
      </c>
      <c r="S1491">
        <f>IF(support_tickets[[#This Row],[status_cleaned]]="closed",1,0)</f>
        <v>1</v>
      </c>
      <c r="T1491" t="str">
        <f>TEXT(support_tickets[[#This Row],[opened_at]],"mmm yyyy")</f>
        <v>Nov 2024</v>
      </c>
      <c r="U1491">
        <f>YEAR(support_tickets[[#This Row],[opened_at]])*100+MONTH(support_tickets[[#This Row],[opened_at]])</f>
        <v>202411</v>
      </c>
      <c r="V1491" s="29">
        <f>DATE(YEAR(support_tickets[[#This Row],[opened_at]]),MONTH(support_tickets[[#This Row],[opened_at]]),1)</f>
        <v>45597</v>
      </c>
    </row>
    <row r="1492" spans="1:22">
      <c r="A1492">
        <v>8685065025</v>
      </c>
      <c r="B1492">
        <v>522240582</v>
      </c>
      <c r="C1492" t="s">
        <v>1473</v>
      </c>
      <c r="D1492" t="s">
        <v>1474</v>
      </c>
      <c r="E1492">
        <v>66722344</v>
      </c>
      <c r="G1492" s="1">
        <v>45500.860347222224</v>
      </c>
      <c r="H1492" s="1">
        <v>45501.111041666663</v>
      </c>
      <c r="I1492" t="s">
        <v>3</v>
      </c>
      <c r="J1492" t="s">
        <v>19</v>
      </c>
      <c r="K1492" t="s">
        <v>73</v>
      </c>
      <c r="L1492" t="s">
        <v>21</v>
      </c>
      <c r="M1492">
        <v>11</v>
      </c>
      <c r="N1492">
        <v>361</v>
      </c>
      <c r="O1492">
        <v>0</v>
      </c>
      <c r="P1492" t="s">
        <v>22</v>
      </c>
      <c r="Q1492">
        <v>1296</v>
      </c>
      <c r="R1492" t="s">
        <v>39</v>
      </c>
      <c r="S1492">
        <f>IF(support_tickets[[#This Row],[status_cleaned]]="closed",1,0)</f>
        <v>1</v>
      </c>
      <c r="T1492" t="str">
        <f>TEXT(support_tickets[[#This Row],[opened_at]],"mmm yyyy")</f>
        <v>Jul 2024</v>
      </c>
      <c r="U1492">
        <f>YEAR(support_tickets[[#This Row],[opened_at]])*100+MONTH(support_tickets[[#This Row],[opened_at]])</f>
        <v>202407</v>
      </c>
      <c r="V1492" s="29">
        <f>DATE(YEAR(support_tickets[[#This Row],[opened_at]]),MONTH(support_tickets[[#This Row],[opened_at]]),1)</f>
        <v>45474</v>
      </c>
    </row>
    <row r="1493" spans="1:22">
      <c r="A1493">
        <v>8830983106</v>
      </c>
      <c r="B1493">
        <v>716243819</v>
      </c>
      <c r="C1493" t="s">
        <v>1483</v>
      </c>
      <c r="D1493" t="s">
        <v>1484</v>
      </c>
      <c r="E1493">
        <v>18526544</v>
      </c>
      <c r="F1493">
        <v>1660017733</v>
      </c>
      <c r="G1493" s="1">
        <v>45585.374293981484</v>
      </c>
      <c r="H1493" s="1">
        <v>45585.636099537034</v>
      </c>
      <c r="I1493" t="s">
        <v>52</v>
      </c>
      <c r="J1493" t="s">
        <v>25</v>
      </c>
      <c r="K1493" t="s">
        <v>73</v>
      </c>
      <c r="L1493" t="s">
        <v>21</v>
      </c>
      <c r="M1493">
        <v>50</v>
      </c>
      <c r="N1493">
        <v>377</v>
      </c>
      <c r="O1493">
        <v>0</v>
      </c>
      <c r="P1493" t="s">
        <v>27</v>
      </c>
      <c r="Q1493">
        <v>1316</v>
      </c>
      <c r="R1493" t="s">
        <v>39</v>
      </c>
      <c r="S1493">
        <f>IF(support_tickets[[#This Row],[status_cleaned]]="closed",1,0)</f>
        <v>1</v>
      </c>
      <c r="T1493" t="str">
        <f>TEXT(support_tickets[[#This Row],[opened_at]],"mmm yyyy")</f>
        <v>Oct 2024</v>
      </c>
      <c r="U1493">
        <f>YEAR(support_tickets[[#This Row],[opened_at]])*100+MONTH(support_tickets[[#This Row],[opened_at]])</f>
        <v>202410</v>
      </c>
      <c r="V1493" s="29">
        <f>DATE(YEAR(support_tickets[[#This Row],[opened_at]]),MONTH(support_tickets[[#This Row],[opened_at]]),1)</f>
        <v>45566</v>
      </c>
    </row>
    <row r="1494" spans="1:22">
      <c r="A1494">
        <v>9078732141</v>
      </c>
      <c r="B1494">
        <v>198476695</v>
      </c>
      <c r="C1494" t="s">
        <v>1284</v>
      </c>
      <c r="D1494" t="s">
        <v>1285</v>
      </c>
      <c r="E1494">
        <v>11540956</v>
      </c>
      <c r="F1494">
        <v>7367038689</v>
      </c>
      <c r="G1494" s="1">
        <v>45436.383645833332</v>
      </c>
      <c r="H1494" s="1">
        <v>45436.550312500003</v>
      </c>
      <c r="I1494" t="s">
        <v>37</v>
      </c>
      <c r="J1494" t="s">
        <v>25</v>
      </c>
      <c r="K1494" t="s">
        <v>73</v>
      </c>
      <c r="L1494" t="s">
        <v>21</v>
      </c>
      <c r="M1494">
        <v>74</v>
      </c>
      <c r="N1494">
        <v>240</v>
      </c>
      <c r="O1494">
        <v>0</v>
      </c>
      <c r="P1494" t="s">
        <v>27</v>
      </c>
      <c r="Q1494">
        <v>1362</v>
      </c>
      <c r="R1494" t="s">
        <v>39</v>
      </c>
      <c r="S1494">
        <f>IF(support_tickets[[#This Row],[status_cleaned]]="closed",1,0)</f>
        <v>1</v>
      </c>
      <c r="T1494" t="str">
        <f>TEXT(support_tickets[[#This Row],[opened_at]],"mmm yyyy")</f>
        <v>May 2024</v>
      </c>
      <c r="U1494">
        <f>YEAR(support_tickets[[#This Row],[opened_at]])*100+MONTH(support_tickets[[#This Row],[opened_at]])</f>
        <v>202405</v>
      </c>
      <c r="V1494" s="29">
        <f>DATE(YEAR(support_tickets[[#This Row],[opened_at]]),MONTH(support_tickets[[#This Row],[opened_at]]),1)</f>
        <v>45413</v>
      </c>
    </row>
    <row r="1495" spans="1:22">
      <c r="A1495">
        <v>9084688219</v>
      </c>
      <c r="B1495">
        <v>992398092</v>
      </c>
      <c r="C1495" t="s">
        <v>92</v>
      </c>
      <c r="D1495" t="s">
        <v>93</v>
      </c>
      <c r="E1495">
        <v>20570592</v>
      </c>
      <c r="G1495" s="1">
        <v>45802.1408912037</v>
      </c>
      <c r="H1495" s="1">
        <v>45802.176307870373</v>
      </c>
      <c r="I1495" t="s">
        <v>3</v>
      </c>
      <c r="J1495" t="s">
        <v>86</v>
      </c>
      <c r="K1495" t="s">
        <v>73</v>
      </c>
      <c r="L1495" t="s">
        <v>21</v>
      </c>
      <c r="M1495">
        <v>9</v>
      </c>
      <c r="N1495">
        <v>51</v>
      </c>
      <c r="O1495">
        <v>0</v>
      </c>
      <c r="P1495" t="s">
        <v>87</v>
      </c>
      <c r="Q1495">
        <v>1366</v>
      </c>
      <c r="R1495" t="s">
        <v>39</v>
      </c>
      <c r="S1495">
        <f>IF(support_tickets[[#This Row],[status_cleaned]]="closed",1,0)</f>
        <v>1</v>
      </c>
      <c r="T1495" t="str">
        <f>TEXT(support_tickets[[#This Row],[opened_at]],"mmm yyyy")</f>
        <v>May 2025</v>
      </c>
      <c r="U1495">
        <f>YEAR(support_tickets[[#This Row],[opened_at]])*100+MONTH(support_tickets[[#This Row],[opened_at]])</f>
        <v>202505</v>
      </c>
      <c r="V1495" s="29">
        <f>DATE(YEAR(support_tickets[[#This Row],[opened_at]]),MONTH(support_tickets[[#This Row],[opened_at]]),1)</f>
        <v>45778</v>
      </c>
    </row>
    <row r="1496" spans="1:22">
      <c r="A1496">
        <v>9129327926</v>
      </c>
      <c r="B1496">
        <v>701818966</v>
      </c>
      <c r="C1496" t="s">
        <v>834</v>
      </c>
      <c r="D1496" t="s">
        <v>835</v>
      </c>
      <c r="E1496">
        <v>67503414</v>
      </c>
      <c r="F1496">
        <v>7228098909</v>
      </c>
      <c r="G1496" s="1">
        <v>45551.446574074071</v>
      </c>
      <c r="H1496" s="1">
        <v>45551.468101851853</v>
      </c>
      <c r="I1496" t="s">
        <v>37</v>
      </c>
      <c r="J1496" t="s">
        <v>30</v>
      </c>
      <c r="K1496" t="s">
        <v>73</v>
      </c>
      <c r="L1496" t="s">
        <v>21</v>
      </c>
      <c r="M1496">
        <v>12</v>
      </c>
      <c r="N1496">
        <v>31</v>
      </c>
      <c r="O1496">
        <v>0</v>
      </c>
      <c r="P1496" t="s">
        <v>31</v>
      </c>
      <c r="Q1496">
        <v>1374</v>
      </c>
      <c r="R1496" t="s">
        <v>39</v>
      </c>
      <c r="S1496">
        <f>IF(support_tickets[[#This Row],[status_cleaned]]="closed",1,0)</f>
        <v>1</v>
      </c>
      <c r="T1496" t="str">
        <f>TEXT(support_tickets[[#This Row],[opened_at]],"mmm yyyy")</f>
        <v>Sep 2024</v>
      </c>
      <c r="U1496">
        <f>YEAR(support_tickets[[#This Row],[opened_at]])*100+MONTH(support_tickets[[#This Row],[opened_at]])</f>
        <v>202409</v>
      </c>
      <c r="V1496" s="29">
        <f>DATE(YEAR(support_tickets[[#This Row],[opened_at]]),MONTH(support_tickets[[#This Row],[opened_at]]),1)</f>
        <v>45536</v>
      </c>
    </row>
    <row r="1497" spans="1:22">
      <c r="A1497">
        <v>9183270055</v>
      </c>
      <c r="B1497">
        <v>461597989</v>
      </c>
      <c r="C1497" t="s">
        <v>1525</v>
      </c>
      <c r="D1497" t="s">
        <v>1526</v>
      </c>
      <c r="E1497">
        <v>55176955</v>
      </c>
      <c r="F1497">
        <v>3301905670</v>
      </c>
      <c r="G1497" s="1">
        <v>45532.690972222219</v>
      </c>
      <c r="H1497" s="1">
        <v>45532.791666666664</v>
      </c>
      <c r="I1497" t="s">
        <v>52</v>
      </c>
      <c r="J1497" t="s">
        <v>86</v>
      </c>
      <c r="K1497" t="s">
        <v>73</v>
      </c>
      <c r="L1497" t="s">
        <v>21</v>
      </c>
      <c r="M1497">
        <v>47</v>
      </c>
      <c r="N1497">
        <v>145</v>
      </c>
      <c r="O1497">
        <v>0</v>
      </c>
      <c r="P1497" t="s">
        <v>87</v>
      </c>
      <c r="Q1497">
        <v>1384</v>
      </c>
      <c r="R1497" t="s">
        <v>39</v>
      </c>
      <c r="S1497">
        <f>IF(support_tickets[[#This Row],[status_cleaned]]="closed",1,0)</f>
        <v>1</v>
      </c>
      <c r="T1497" t="str">
        <f>TEXT(support_tickets[[#This Row],[opened_at]],"mmm yyyy")</f>
        <v>Aug 2024</v>
      </c>
      <c r="U1497">
        <f>YEAR(support_tickets[[#This Row],[opened_at]])*100+MONTH(support_tickets[[#This Row],[opened_at]])</f>
        <v>202408</v>
      </c>
      <c r="V1497" s="29">
        <f>DATE(YEAR(support_tickets[[#This Row],[opened_at]]),MONTH(support_tickets[[#This Row],[opened_at]]),1)</f>
        <v>45505</v>
      </c>
    </row>
    <row r="1498" spans="1:22">
      <c r="A1498">
        <v>9417116826</v>
      </c>
      <c r="B1498">
        <v>486066116</v>
      </c>
      <c r="C1498" t="s">
        <v>1376</v>
      </c>
      <c r="D1498" t="s">
        <v>1377</v>
      </c>
      <c r="E1498">
        <v>24716857</v>
      </c>
      <c r="F1498">
        <v>5623007750</v>
      </c>
      <c r="G1498" s="1">
        <v>45491.183634259258</v>
      </c>
      <c r="H1498" s="1">
        <v>45491.326689814814</v>
      </c>
      <c r="I1498" t="s">
        <v>37</v>
      </c>
      <c r="J1498" t="s">
        <v>30</v>
      </c>
      <c r="K1498" t="s">
        <v>73</v>
      </c>
      <c r="L1498" t="s">
        <v>21</v>
      </c>
      <c r="M1498">
        <v>15</v>
      </c>
      <c r="N1498">
        <v>206</v>
      </c>
      <c r="O1498">
        <v>0</v>
      </c>
      <c r="P1498" t="s">
        <v>31</v>
      </c>
      <c r="Q1498">
        <v>1420</v>
      </c>
      <c r="R1498" t="s">
        <v>39</v>
      </c>
      <c r="S1498">
        <f>IF(support_tickets[[#This Row],[status_cleaned]]="closed",1,0)</f>
        <v>1</v>
      </c>
      <c r="T1498" t="str">
        <f>TEXT(support_tickets[[#This Row],[opened_at]],"mmm yyyy")</f>
        <v>Jul 2024</v>
      </c>
      <c r="U1498">
        <f>YEAR(support_tickets[[#This Row],[opened_at]])*100+MONTH(support_tickets[[#This Row],[opened_at]])</f>
        <v>202407</v>
      </c>
      <c r="V1498" s="29">
        <f>DATE(YEAR(support_tickets[[#This Row],[opened_at]]),MONTH(support_tickets[[#This Row],[opened_at]]),1)</f>
        <v>45474</v>
      </c>
    </row>
    <row r="1499" spans="1:22">
      <c r="A1499">
        <v>9614798245</v>
      </c>
      <c r="B1499">
        <v>184857208</v>
      </c>
      <c r="C1499" t="s">
        <v>1557</v>
      </c>
      <c r="D1499" t="s">
        <v>1558</v>
      </c>
      <c r="E1499">
        <v>10435578</v>
      </c>
      <c r="G1499" s="1">
        <v>45915.625879629632</v>
      </c>
      <c r="H1499" s="1">
        <v>45915.964074074072</v>
      </c>
      <c r="I1499" t="s">
        <v>52</v>
      </c>
      <c r="J1499" t="s">
        <v>59</v>
      </c>
      <c r="K1499" t="s">
        <v>73</v>
      </c>
      <c r="L1499" t="s">
        <v>21</v>
      </c>
      <c r="M1499">
        <v>53</v>
      </c>
      <c r="N1499">
        <v>487</v>
      </c>
      <c r="O1499">
        <v>0</v>
      </c>
      <c r="P1499" t="s">
        <v>61</v>
      </c>
      <c r="Q1499">
        <v>1453</v>
      </c>
      <c r="R1499" t="s">
        <v>39</v>
      </c>
      <c r="S1499">
        <f>IF(support_tickets[[#This Row],[status_cleaned]]="closed",1,0)</f>
        <v>1</v>
      </c>
      <c r="T1499" t="str">
        <f>TEXT(support_tickets[[#This Row],[opened_at]],"mmm yyyy")</f>
        <v>Sep 2025</v>
      </c>
      <c r="U1499">
        <f>YEAR(support_tickets[[#This Row],[opened_at]])*100+MONTH(support_tickets[[#This Row],[opened_at]])</f>
        <v>202509</v>
      </c>
      <c r="V1499" s="29">
        <f>DATE(YEAR(support_tickets[[#This Row],[opened_at]]),MONTH(support_tickets[[#This Row],[opened_at]]),1)</f>
        <v>45901</v>
      </c>
    </row>
    <row r="1500" spans="1:22">
      <c r="A1500">
        <v>9691448741</v>
      </c>
      <c r="B1500">
        <v>157184151</v>
      </c>
      <c r="C1500" t="s">
        <v>466</v>
      </c>
      <c r="D1500" t="s">
        <v>467</v>
      </c>
      <c r="E1500">
        <v>24716857</v>
      </c>
      <c r="F1500">
        <v>3051815663</v>
      </c>
      <c r="G1500" s="1">
        <v>45797.026238425926</v>
      </c>
      <c r="H1500" s="1">
        <v>45797.416516203702</v>
      </c>
      <c r="I1500" t="s">
        <v>46</v>
      </c>
      <c r="J1500" t="s">
        <v>30</v>
      </c>
      <c r="K1500" t="s">
        <v>73</v>
      </c>
      <c r="L1500" t="s">
        <v>21</v>
      </c>
      <c r="M1500">
        <v>20</v>
      </c>
      <c r="N1500">
        <v>562</v>
      </c>
      <c r="O1500">
        <v>0</v>
      </c>
      <c r="P1500" t="s">
        <v>31</v>
      </c>
      <c r="Q1500">
        <v>1468</v>
      </c>
      <c r="R1500" t="s">
        <v>39</v>
      </c>
      <c r="S1500">
        <f>IF(support_tickets[[#This Row],[status_cleaned]]="closed",1,0)</f>
        <v>1</v>
      </c>
      <c r="T1500" t="str">
        <f>TEXT(support_tickets[[#This Row],[opened_at]],"mmm yyyy")</f>
        <v>May 2025</v>
      </c>
      <c r="U1500">
        <f>YEAR(support_tickets[[#This Row],[opened_at]])*100+MONTH(support_tickets[[#This Row],[opened_at]])</f>
        <v>202505</v>
      </c>
      <c r="V1500" s="29">
        <f>DATE(YEAR(support_tickets[[#This Row],[opened_at]]),MONTH(support_tickets[[#This Row],[opened_at]]),1)</f>
        <v>45778</v>
      </c>
    </row>
    <row r="1501" spans="1:22">
      <c r="A1501">
        <v>9808670996</v>
      </c>
      <c r="B1501">
        <v>180574838</v>
      </c>
      <c r="C1501" t="s">
        <v>736</v>
      </c>
      <c r="D1501" t="s">
        <v>737</v>
      </c>
      <c r="E1501">
        <v>71586053</v>
      </c>
      <c r="F1501">
        <v>5145057803</v>
      </c>
      <c r="G1501" s="1">
        <v>45473.402986111112</v>
      </c>
      <c r="H1501" s="1">
        <v>45473.501597222225</v>
      </c>
      <c r="I1501" t="s">
        <v>52</v>
      </c>
      <c r="J1501" t="s">
        <v>59</v>
      </c>
      <c r="K1501" t="s">
        <v>73</v>
      </c>
      <c r="L1501" t="s">
        <v>21</v>
      </c>
      <c r="M1501">
        <v>97</v>
      </c>
      <c r="N1501">
        <v>142</v>
      </c>
      <c r="O1501">
        <v>0</v>
      </c>
      <c r="P1501" t="s">
        <v>61</v>
      </c>
      <c r="Q1501">
        <v>1481</v>
      </c>
      <c r="R1501" t="s">
        <v>39</v>
      </c>
      <c r="S1501">
        <f>IF(support_tickets[[#This Row],[status_cleaned]]="closed",1,0)</f>
        <v>1</v>
      </c>
      <c r="T1501" t="str">
        <f>TEXT(support_tickets[[#This Row],[opened_at]],"mmm yyyy")</f>
        <v>Jun 2024</v>
      </c>
      <c r="U1501">
        <f>YEAR(support_tickets[[#This Row],[opened_at]])*100+MONTH(support_tickets[[#This Row],[opened_at]])</f>
        <v>202406</v>
      </c>
      <c r="V1501" s="29">
        <f>DATE(YEAR(support_tickets[[#This Row],[opened_at]]),MONTH(support_tickets[[#This Row],[opened_at]]),1)</f>
        <v>45444</v>
      </c>
    </row>
  </sheetData>
  <conditionalFormatting sqref="A2:A1501">
    <cfRule type="duplicateValues" dxfId="17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9E7BD9-444B-4E5A-BBA7-47085DEC6D79}">
  <dimension ref="A1:Q25"/>
  <sheetViews>
    <sheetView showGridLines="0" workbookViewId="0">
      <selection activeCell="F28" sqref="F28"/>
    </sheetView>
  </sheetViews>
  <sheetFormatPr defaultRowHeight="15"/>
  <cols>
    <col min="1" max="1" width="30.85546875" customWidth="1"/>
    <col min="2" max="2" width="20.7109375" customWidth="1"/>
    <col min="4" max="4" width="4" customWidth="1"/>
    <col min="5" max="5" width="4.28515625" customWidth="1"/>
    <col min="6" max="6" width="31.140625" customWidth="1"/>
    <col min="7" max="7" width="20.7109375" customWidth="1"/>
  </cols>
  <sheetData>
    <row r="1" spans="1:17">
      <c r="A1" s="5" t="s">
        <v>1589</v>
      </c>
      <c r="B1" s="5" t="s">
        <v>1590</v>
      </c>
      <c r="D1" s="10" t="s">
        <v>1611</v>
      </c>
      <c r="E1" s="10"/>
      <c r="F1" s="11"/>
      <c r="G1" s="9"/>
    </row>
    <row r="2" spans="1:17">
      <c r="A2" s="2" t="s">
        <v>1591</v>
      </c>
      <c r="B2" s="2">
        <f>COUNT(support_tickets!A2:A1501)</f>
        <v>1500</v>
      </c>
    </row>
    <row r="3" spans="1:17">
      <c r="A3" s="2" t="s">
        <v>1592</v>
      </c>
      <c r="B3" s="2">
        <f>ROWS(support_tickets[ticket_id])-ROWS(_xlfn.UNIQUE(support_tickets[ticket_id]))</f>
        <v>0</v>
      </c>
      <c r="F3" s="5" t="s">
        <v>1612</v>
      </c>
      <c r="G3" s="5" t="s">
        <v>1613</v>
      </c>
    </row>
    <row r="4" spans="1:17">
      <c r="A4" s="2" t="s">
        <v>1593</v>
      </c>
      <c r="B4" s="2">
        <f>COUNTBLANK(support_tickets[order_id])</f>
        <v>940</v>
      </c>
      <c r="F4" s="2" t="s">
        <v>53</v>
      </c>
      <c r="G4" s="2" t="s">
        <v>53</v>
      </c>
    </row>
    <row r="5" spans="1:17">
      <c r="A5" s="2" t="s">
        <v>1594</v>
      </c>
      <c r="B5" s="2">
        <f>COUNTBLANK(support_tickets[closed_at])</f>
        <v>524</v>
      </c>
      <c r="F5" s="2" t="s">
        <v>34</v>
      </c>
      <c r="G5" s="2" t="s">
        <v>53</v>
      </c>
    </row>
    <row r="6" spans="1:17">
      <c r="A6" s="2" t="s">
        <v>1595</v>
      </c>
      <c r="B6" s="2">
        <f>COUNTBLANK(support_tickets[resolution_minutes])</f>
        <v>524</v>
      </c>
      <c r="F6" s="2" t="s">
        <v>60</v>
      </c>
      <c r="G6" s="2" t="s">
        <v>53</v>
      </c>
    </row>
    <row r="7" spans="1:17">
      <c r="A7" s="2" t="s">
        <v>1596</v>
      </c>
      <c r="B7" s="2">
        <f>COUNTBLANK(support_tickets[issue_type])</f>
        <v>0</v>
      </c>
      <c r="F7" s="2" t="s">
        <v>1607</v>
      </c>
      <c r="G7" s="2" t="s">
        <v>1607</v>
      </c>
    </row>
    <row r="8" spans="1:17">
      <c r="A8" s="2" t="s">
        <v>1597</v>
      </c>
      <c r="B8" s="2">
        <f>COUNTBLANK(support_tickets[status])</f>
        <v>0</v>
      </c>
      <c r="F8" s="2" t="s">
        <v>39</v>
      </c>
      <c r="G8" s="2" t="s">
        <v>39</v>
      </c>
    </row>
    <row r="9" spans="1:17">
      <c r="F9" s="2" t="s">
        <v>21</v>
      </c>
      <c r="G9" s="2" t="s">
        <v>39</v>
      </c>
    </row>
    <row r="10" spans="1:17">
      <c r="A10" s="5" t="s">
        <v>1601</v>
      </c>
      <c r="B10" s="5" t="s">
        <v>1590</v>
      </c>
    </row>
    <row r="11" spans="1:17">
      <c r="A11" s="2" t="s">
        <v>1598</v>
      </c>
      <c r="B11" s="2">
        <f>COUNTIF(support_tickets[status],"Open")</f>
        <v>167</v>
      </c>
      <c r="D11" s="10" t="s">
        <v>1614</v>
      </c>
      <c r="E11" s="12"/>
      <c r="F11" s="12"/>
    </row>
    <row r="12" spans="1:17">
      <c r="A12" s="2" t="s">
        <v>1599</v>
      </c>
      <c r="B12" s="2">
        <f>COUNTIF(support_tickets[status],"Closed")</f>
        <v>260</v>
      </c>
      <c r="D12" s="7" t="s">
        <v>1615</v>
      </c>
      <c r="E12" s="13" t="s">
        <v>1609</v>
      </c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</row>
    <row r="13" spans="1:17">
      <c r="A13" s="2" t="s">
        <v>1600</v>
      </c>
      <c r="B13" s="2">
        <f>COUNTIF(support_tickets[status],"Pending Customer")</f>
        <v>140</v>
      </c>
      <c r="D13" s="7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17">
      <c r="A14" s="2" t="s">
        <v>1602</v>
      </c>
      <c r="B14" s="2">
        <f>COUNTIF(support_tickets[status],"In Progress")</f>
        <v>172</v>
      </c>
      <c r="D14" s="7" t="s">
        <v>1615</v>
      </c>
      <c r="E14" s="13" t="s">
        <v>1621</v>
      </c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</row>
    <row r="15" spans="1:17">
      <c r="A15" s="2" t="s">
        <v>1603</v>
      </c>
      <c r="B15" s="2">
        <f>COUNTIF(support_tickets[status],"Escalated")</f>
        <v>132</v>
      </c>
      <c r="D15" s="7"/>
      <c r="E15" s="4"/>
      <c r="F15" s="8" t="s">
        <v>1616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17">
      <c r="A16" s="2" t="s">
        <v>1604</v>
      </c>
      <c r="B16" s="2">
        <f>COUNTIF(support_tickets[status],"Resolved")</f>
        <v>629</v>
      </c>
      <c r="D16" s="7"/>
      <c r="E16" s="3"/>
      <c r="F16" s="8" t="s">
        <v>1617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>
      <c r="A17" s="2" t="s">
        <v>1605</v>
      </c>
      <c r="B17" s="2">
        <f>SUM(B11:B16)</f>
        <v>1500</v>
      </c>
      <c r="D17" s="7"/>
      <c r="E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>
      <c r="D18" s="7" t="s">
        <v>1615</v>
      </c>
      <c r="E18" s="6" t="s">
        <v>1610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>
      <c r="A19" s="5" t="s">
        <v>1608</v>
      </c>
      <c r="B19" s="5" t="s">
        <v>1590</v>
      </c>
      <c r="D19" s="7"/>
      <c r="E19" s="4"/>
      <c r="F19" s="8" t="s">
        <v>1618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>
      <c r="A20" s="2" t="s">
        <v>1598</v>
      </c>
      <c r="B20" s="2">
        <f>COUNTIF(support_tickets[status_cleaned],"Open")</f>
        <v>471</v>
      </c>
      <c r="D20" s="7"/>
      <c r="E20" s="3"/>
      <c r="F20" s="8" t="s">
        <v>1619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>
      <c r="A21" s="2" t="s">
        <v>1599</v>
      </c>
      <c r="B21" s="2">
        <f>COUNTIF(support_tickets[status_cleaned],"Closed")</f>
        <v>889</v>
      </c>
      <c r="D21" s="7"/>
      <c r="E21" s="3"/>
      <c r="F21" s="8" t="s">
        <v>1620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>
      <c r="A22" s="2" t="s">
        <v>1600</v>
      </c>
      <c r="B22" s="2">
        <f>COUNTIF(support_tickets[status_cleaned],"Pending")</f>
        <v>140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>
      <c r="A23" s="2" t="s">
        <v>1605</v>
      </c>
      <c r="B23" s="2">
        <f>SUM(B20:B22)</f>
        <v>1500</v>
      </c>
      <c r="D23" s="7" t="s">
        <v>1615</v>
      </c>
      <c r="E23" s="6" t="s">
        <v>1622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>
      <c r="D24" s="7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</sheetData>
  <mergeCells count="2">
    <mergeCell ref="E12:Q12"/>
    <mergeCell ref="E14:Q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9F54D-F8C3-4937-9534-1CD1135BA0AC}">
  <dimension ref="A1:L42"/>
  <sheetViews>
    <sheetView showGridLines="0" topLeftCell="A3" workbookViewId="0">
      <selection activeCell="F28" sqref="F28"/>
    </sheetView>
  </sheetViews>
  <sheetFormatPr defaultRowHeight="15"/>
  <cols>
    <col min="1" max="1" width="14.28515625" customWidth="1"/>
    <col min="2" max="2" width="12" bestFit="1" customWidth="1"/>
    <col min="4" max="4" width="14.42578125" bestFit="1" customWidth="1"/>
    <col min="5" max="5" width="12" bestFit="1" customWidth="1"/>
    <col min="6" max="6" width="7" bestFit="1" customWidth="1"/>
    <col min="7" max="7" width="18.42578125" bestFit="1" customWidth="1"/>
    <col min="9" max="9" width="12.42578125" customWidth="1"/>
    <col min="10" max="10" width="14.28515625" bestFit="1" customWidth="1"/>
    <col min="11" max="11" width="9.28515625" bestFit="1" customWidth="1"/>
    <col min="12" max="12" width="14.42578125" bestFit="1" customWidth="1"/>
  </cols>
  <sheetData>
    <row r="1" spans="1:12">
      <c r="D1" s="17" t="s">
        <v>1606</v>
      </c>
      <c r="E1" t="s">
        <v>1627</v>
      </c>
    </row>
    <row r="3" spans="1:12">
      <c r="A3" s="12" t="s">
        <v>1626</v>
      </c>
      <c r="B3" s="12" t="s">
        <v>1605</v>
      </c>
      <c r="D3" s="12" t="s">
        <v>1626</v>
      </c>
      <c r="E3" s="12" t="s">
        <v>1605</v>
      </c>
      <c r="F3" s="12" t="s">
        <v>39</v>
      </c>
      <c r="G3" s="53" t="s">
        <v>1623</v>
      </c>
      <c r="I3" s="28" t="s">
        <v>1626</v>
      </c>
      <c r="J3" s="28" t="s">
        <v>1605</v>
      </c>
      <c r="K3" s="28" t="s">
        <v>39</v>
      </c>
      <c r="L3" s="28" t="s">
        <v>1623</v>
      </c>
    </row>
    <row r="4" spans="1:12">
      <c r="A4" s="18" t="s">
        <v>46</v>
      </c>
      <c r="B4" s="19">
        <v>234</v>
      </c>
      <c r="D4" s="18" t="s">
        <v>46</v>
      </c>
      <c r="E4" s="19">
        <v>234</v>
      </c>
      <c r="F4" s="19">
        <v>130</v>
      </c>
      <c r="G4" s="14">
        <f>GETPIVOTDATA("Closed",$D$3,"channel","Mobile App")/GETPIVOTDATA("Total Tickets",$D$3,"channel","Mobile App")</f>
        <v>0.55555555555555558</v>
      </c>
      <c r="I4" s="18" t="s">
        <v>56</v>
      </c>
      <c r="J4" s="19">
        <v>206</v>
      </c>
      <c r="K4" s="19">
        <v>129</v>
      </c>
      <c r="L4" s="14">
        <f>GETPIVOTDATA("Closed",$D$3,"channel","IVR")/GETPIVOTDATA("Total Tickets",$D$3,"channel","IVR")</f>
        <v>0.62621359223300976</v>
      </c>
    </row>
    <row r="5" spans="1:12">
      <c r="A5" s="18" t="s">
        <v>18</v>
      </c>
      <c r="B5" s="19">
        <v>229</v>
      </c>
      <c r="D5" s="18" t="s">
        <v>18</v>
      </c>
      <c r="E5" s="19">
        <v>229</v>
      </c>
      <c r="F5" s="19">
        <v>135</v>
      </c>
      <c r="G5" s="14">
        <f>GETPIVOTDATA("Closed",$D$3,"channel","Phone")/GETPIVOTDATA("Total Tickets",$D$3,"channel","Phone")</f>
        <v>0.58951965065502188</v>
      </c>
      <c r="I5" s="18" t="s">
        <v>52</v>
      </c>
      <c r="J5" s="19">
        <v>201</v>
      </c>
      <c r="K5" s="19">
        <v>123</v>
      </c>
      <c r="L5" s="14">
        <f>GETPIVOTDATA("Closed",$D$3,"channel","Web")/GETPIVOTDATA("Total Tickets",$D$3,"channel","Web")</f>
        <v>0.61194029850746268</v>
      </c>
    </row>
    <row r="6" spans="1:12">
      <c r="A6" s="18" t="s">
        <v>43</v>
      </c>
      <c r="B6" s="19">
        <v>226</v>
      </c>
      <c r="D6" s="18" t="s">
        <v>43</v>
      </c>
      <c r="E6" s="19">
        <v>226</v>
      </c>
      <c r="F6" s="19">
        <v>136</v>
      </c>
      <c r="G6" s="14">
        <f>GETPIVOTDATA("Closed",$D$3,"channel","Chat")/GETPIVOTDATA("Total Tickets",$D$3,"channel","Chat")</f>
        <v>0.60176991150442483</v>
      </c>
      <c r="I6" s="18" t="s">
        <v>43</v>
      </c>
      <c r="J6" s="19">
        <v>226</v>
      </c>
      <c r="K6" s="19">
        <v>136</v>
      </c>
      <c r="L6" s="14">
        <f>GETPIVOTDATA("Closed",$D$3,"channel","Chat")/GETPIVOTDATA("Total Tickets",$D$3,"channel","Chat")</f>
        <v>0.60176991150442483</v>
      </c>
    </row>
    <row r="7" spans="1:12">
      <c r="A7" s="18" t="s">
        <v>3</v>
      </c>
      <c r="B7" s="19">
        <v>209</v>
      </c>
      <c r="D7" s="18" t="s">
        <v>3</v>
      </c>
      <c r="E7" s="19">
        <v>209</v>
      </c>
      <c r="F7" s="19">
        <v>123</v>
      </c>
      <c r="G7" s="14">
        <f>GETPIVOTDATA("Closed",$D$3,"channel","Email")/GETPIVOTDATA("Total Tickets",$D$3,"channel","Email")</f>
        <v>0.58851674641148322</v>
      </c>
      <c r="I7" s="18" t="s">
        <v>18</v>
      </c>
      <c r="J7" s="19">
        <v>229</v>
      </c>
      <c r="K7" s="19">
        <v>135</v>
      </c>
      <c r="L7" s="14">
        <f>GETPIVOTDATA("Closed",$D$3,"channel","Phone")/GETPIVOTDATA("Total Tickets",$D$3,"channel","Phone")</f>
        <v>0.58951965065502188</v>
      </c>
    </row>
    <row r="8" spans="1:12">
      <c r="A8" s="18" t="s">
        <v>56</v>
      </c>
      <c r="B8" s="19">
        <v>206</v>
      </c>
      <c r="D8" s="18" t="s">
        <v>56</v>
      </c>
      <c r="E8" s="19">
        <v>206</v>
      </c>
      <c r="F8" s="19">
        <v>129</v>
      </c>
      <c r="G8" s="14">
        <f>GETPIVOTDATA("Closed",$D$3,"channel","IVR")/GETPIVOTDATA("Total Tickets",$D$3,"channel","IVR")</f>
        <v>0.62621359223300976</v>
      </c>
      <c r="I8" s="18" t="s">
        <v>3</v>
      </c>
      <c r="J8" s="19">
        <v>209</v>
      </c>
      <c r="K8" s="19">
        <v>123</v>
      </c>
      <c r="L8" s="14">
        <f>GETPIVOTDATA("Closed",$D$3,"channel","Email")/GETPIVOTDATA("Total Tickets",$D$3,"channel","Email")</f>
        <v>0.58851674641148322</v>
      </c>
    </row>
    <row r="9" spans="1:12">
      <c r="A9" s="18" t="s">
        <v>52</v>
      </c>
      <c r="B9" s="19">
        <v>201</v>
      </c>
      <c r="D9" s="18" t="s">
        <v>52</v>
      </c>
      <c r="E9" s="19">
        <v>201</v>
      </c>
      <c r="F9" s="19">
        <v>123</v>
      </c>
      <c r="G9" s="14">
        <f>GETPIVOTDATA("Closed",$D$3,"channel","Web")/GETPIVOTDATA("Total Tickets",$D$3,"channel","Web")</f>
        <v>0.61194029850746268</v>
      </c>
      <c r="I9" s="18" t="s">
        <v>37</v>
      </c>
      <c r="J9" s="19">
        <v>195</v>
      </c>
      <c r="K9" s="19">
        <v>113</v>
      </c>
      <c r="L9" s="14">
        <f>GETPIVOTDATA("Closed",$D$3,"channel","WhatsApp")/GETPIVOTDATA("Total Tickets",$D$3,"channel","WhatsApp")</f>
        <v>0.57948717948717954</v>
      </c>
    </row>
    <row r="10" spans="1:12">
      <c r="A10" s="18" t="s">
        <v>37</v>
      </c>
      <c r="B10" s="19">
        <v>195</v>
      </c>
      <c r="D10" s="18" t="s">
        <v>37</v>
      </c>
      <c r="E10" s="19">
        <v>195</v>
      </c>
      <c r="F10" s="19">
        <v>113</v>
      </c>
      <c r="G10" s="14">
        <f>GETPIVOTDATA("Closed",$D$3,"channel","WhatsApp")/GETPIVOTDATA("Total Tickets",$D$3,"channel","WhatsApp")</f>
        <v>0.57948717948717954</v>
      </c>
      <c r="I10" s="25" t="s">
        <v>46</v>
      </c>
      <c r="J10" s="26">
        <v>234</v>
      </c>
      <c r="K10" s="26">
        <v>130</v>
      </c>
      <c r="L10" s="27">
        <f>GETPIVOTDATA("Closed",$D$3,"channel","Mobile App")/GETPIVOTDATA("Total Tickets",$D$3,"channel","Mobile App")</f>
        <v>0.55555555555555558</v>
      </c>
    </row>
    <row r="11" spans="1:12">
      <c r="A11" s="18" t="s">
        <v>1587</v>
      </c>
      <c r="B11" s="19">
        <v>1500</v>
      </c>
      <c r="D11" s="18" t="s">
        <v>1587</v>
      </c>
      <c r="E11" s="22">
        <v>1500</v>
      </c>
      <c r="F11" s="19">
        <v>889</v>
      </c>
      <c r="G11" s="21">
        <f>GETPIVOTDATA("Closed",$D$3)/GETPIVOTDATA("Total Tickets",$D$3)</f>
        <v>0.59266666666666667</v>
      </c>
      <c r="I11" s="23" t="s">
        <v>1587</v>
      </c>
      <c r="J11" s="24">
        <v>1500</v>
      </c>
      <c r="K11" s="24">
        <v>889</v>
      </c>
      <c r="L11" s="23">
        <f>GETPIVOTDATA("Closed",$D$3)/GETPIVOTDATA("Total Tickets",$D$3)</f>
        <v>0.59266666666666667</v>
      </c>
    </row>
    <row r="14" spans="1:12">
      <c r="A14" s="12" t="s">
        <v>1629</v>
      </c>
      <c r="B14" s="12" t="s">
        <v>1605</v>
      </c>
      <c r="D14" s="12" t="s">
        <v>1633</v>
      </c>
      <c r="E14" s="12" t="s">
        <v>1605</v>
      </c>
      <c r="F14" s="12" t="s">
        <v>39</v>
      </c>
      <c r="I14" s="28" t="s">
        <v>1633</v>
      </c>
      <c r="J14" s="28" t="s">
        <v>1605</v>
      </c>
      <c r="K14" s="28" t="s">
        <v>39</v>
      </c>
      <c r="L14" s="52" t="s">
        <v>1623</v>
      </c>
    </row>
    <row r="15" spans="1:12">
      <c r="A15" s="30">
        <v>45292</v>
      </c>
      <c r="B15" s="19">
        <v>66</v>
      </c>
      <c r="D15" s="18" t="s">
        <v>30</v>
      </c>
      <c r="E15" s="19">
        <v>258</v>
      </c>
      <c r="F15" s="19">
        <v>151</v>
      </c>
      <c r="I15" s="18" t="s">
        <v>25</v>
      </c>
      <c r="J15" s="19">
        <v>234</v>
      </c>
      <c r="K15" s="19">
        <v>144</v>
      </c>
      <c r="L15" s="14">
        <f>K15/J15</f>
        <v>0.61538461538461542</v>
      </c>
    </row>
    <row r="16" spans="1:12">
      <c r="A16" s="30">
        <v>45323</v>
      </c>
      <c r="B16" s="19">
        <v>57</v>
      </c>
      <c r="D16" s="18" t="s">
        <v>59</v>
      </c>
      <c r="E16" s="19">
        <v>253</v>
      </c>
      <c r="F16" s="19">
        <v>152</v>
      </c>
      <c r="I16" s="18" t="s">
        <v>59</v>
      </c>
      <c r="J16" s="19">
        <v>253</v>
      </c>
      <c r="K16" s="19">
        <v>152</v>
      </c>
      <c r="L16" s="14">
        <f>K16/J16</f>
        <v>0.60079051383399207</v>
      </c>
    </row>
    <row r="17" spans="1:12">
      <c r="A17" s="30">
        <v>45352</v>
      </c>
      <c r="B17" s="19">
        <v>62</v>
      </c>
      <c r="D17" s="18" t="s">
        <v>19</v>
      </c>
      <c r="E17" s="19">
        <v>267</v>
      </c>
      <c r="F17" s="19">
        <v>158</v>
      </c>
      <c r="I17" s="18" t="s">
        <v>86</v>
      </c>
      <c r="J17" s="19">
        <v>246</v>
      </c>
      <c r="K17" s="19">
        <v>147</v>
      </c>
      <c r="L17" s="14">
        <f>K17/J17</f>
        <v>0.59756097560975607</v>
      </c>
    </row>
    <row r="18" spans="1:12">
      <c r="A18" s="30">
        <v>45383</v>
      </c>
      <c r="B18" s="19">
        <v>56</v>
      </c>
      <c r="D18" s="18" t="s">
        <v>25</v>
      </c>
      <c r="E18" s="19">
        <v>234</v>
      </c>
      <c r="F18" s="19">
        <v>144</v>
      </c>
      <c r="I18" s="18" t="s">
        <v>19</v>
      </c>
      <c r="J18" s="19">
        <v>267</v>
      </c>
      <c r="K18" s="19">
        <v>158</v>
      </c>
      <c r="L18" s="14">
        <f>K18/J18</f>
        <v>0.59176029962546817</v>
      </c>
    </row>
    <row r="19" spans="1:12">
      <c r="A19" s="30">
        <v>45413</v>
      </c>
      <c r="B19" s="19">
        <v>45</v>
      </c>
      <c r="D19" s="18" t="s">
        <v>38</v>
      </c>
      <c r="E19" s="19">
        <v>242</v>
      </c>
      <c r="F19" s="19">
        <v>137</v>
      </c>
      <c r="I19" s="18" t="s">
        <v>30</v>
      </c>
      <c r="J19" s="19">
        <v>258</v>
      </c>
      <c r="K19" s="19">
        <v>151</v>
      </c>
      <c r="L19" s="14">
        <f>K19/J19</f>
        <v>0.5852713178294574</v>
      </c>
    </row>
    <row r="20" spans="1:12">
      <c r="A20" s="30">
        <v>45444</v>
      </c>
      <c r="B20" s="19">
        <v>54</v>
      </c>
      <c r="D20" s="18" t="s">
        <v>86</v>
      </c>
      <c r="E20" s="19">
        <v>246</v>
      </c>
      <c r="F20" s="19">
        <v>147</v>
      </c>
      <c r="I20" s="18" t="s">
        <v>38</v>
      </c>
      <c r="J20" s="19">
        <v>242</v>
      </c>
      <c r="K20" s="19">
        <v>137</v>
      </c>
      <c r="L20" s="14">
        <f>K20/J20</f>
        <v>0.56611570247933884</v>
      </c>
    </row>
    <row r="21" spans="1:12">
      <c r="A21" s="30">
        <v>45474</v>
      </c>
      <c r="B21" s="19">
        <v>53</v>
      </c>
      <c r="D21" s="18" t="s">
        <v>1587</v>
      </c>
      <c r="E21" s="19">
        <v>1500</v>
      </c>
      <c r="F21" s="19">
        <v>889</v>
      </c>
      <c r="I21" s="51" t="s">
        <v>1587</v>
      </c>
      <c r="J21" s="20">
        <v>1500</v>
      </c>
      <c r="K21" s="20">
        <v>889</v>
      </c>
      <c r="L21" s="21">
        <f>K21/J21</f>
        <v>0.59266666666666667</v>
      </c>
    </row>
    <row r="22" spans="1:12">
      <c r="A22" s="30">
        <v>45505</v>
      </c>
      <c r="B22" s="19">
        <v>60</v>
      </c>
    </row>
    <row r="23" spans="1:12">
      <c r="A23" s="30">
        <v>45536</v>
      </c>
      <c r="B23" s="19">
        <v>46</v>
      </c>
    </row>
    <row r="24" spans="1:12">
      <c r="A24" s="30">
        <v>45566</v>
      </c>
      <c r="B24" s="19">
        <v>58</v>
      </c>
    </row>
    <row r="25" spans="1:12">
      <c r="A25" s="30">
        <v>45597</v>
      </c>
      <c r="B25" s="19">
        <v>56</v>
      </c>
    </row>
    <row r="26" spans="1:12">
      <c r="A26" s="30">
        <v>45627</v>
      </c>
      <c r="B26" s="19">
        <v>65</v>
      </c>
    </row>
    <row r="27" spans="1:12">
      <c r="A27" s="30">
        <v>45658</v>
      </c>
      <c r="B27" s="19">
        <v>70</v>
      </c>
    </row>
    <row r="28" spans="1:12">
      <c r="A28" s="30">
        <v>45689</v>
      </c>
      <c r="B28" s="19">
        <v>44</v>
      </c>
    </row>
    <row r="29" spans="1:12">
      <c r="A29" s="30">
        <v>45717</v>
      </c>
      <c r="B29" s="19">
        <v>39</v>
      </c>
    </row>
    <row r="30" spans="1:12">
      <c r="A30" s="30">
        <v>45748</v>
      </c>
      <c r="B30" s="19">
        <v>55</v>
      </c>
    </row>
    <row r="31" spans="1:12">
      <c r="A31" s="30">
        <v>45778</v>
      </c>
      <c r="B31" s="19">
        <v>54</v>
      </c>
    </row>
    <row r="32" spans="1:12">
      <c r="A32" s="30">
        <v>45809</v>
      </c>
      <c r="B32" s="19">
        <v>51</v>
      </c>
    </row>
    <row r="33" spans="1:2">
      <c r="A33" s="30">
        <v>45839</v>
      </c>
      <c r="B33" s="19">
        <v>53</v>
      </c>
    </row>
    <row r="34" spans="1:2">
      <c r="A34" s="30">
        <v>45870</v>
      </c>
      <c r="B34" s="19">
        <v>60</v>
      </c>
    </row>
    <row r="35" spans="1:2">
      <c r="A35" s="30">
        <v>45901</v>
      </c>
      <c r="B35" s="19">
        <v>53</v>
      </c>
    </row>
    <row r="36" spans="1:2">
      <c r="A36" s="30">
        <v>45931</v>
      </c>
      <c r="B36" s="19">
        <v>65</v>
      </c>
    </row>
    <row r="37" spans="1:2">
      <c r="A37" s="30">
        <v>45962</v>
      </c>
      <c r="B37" s="19">
        <v>64</v>
      </c>
    </row>
    <row r="38" spans="1:2">
      <c r="A38" s="30">
        <v>45992</v>
      </c>
      <c r="B38" s="19">
        <v>53</v>
      </c>
    </row>
    <row r="39" spans="1:2">
      <c r="A39" s="30">
        <v>46023</v>
      </c>
      <c r="B39" s="19">
        <v>58</v>
      </c>
    </row>
    <row r="40" spans="1:2">
      <c r="A40" s="30">
        <v>46054</v>
      </c>
      <c r="B40" s="19">
        <v>49</v>
      </c>
    </row>
    <row r="41" spans="1:2">
      <c r="A41" s="30">
        <v>46082</v>
      </c>
      <c r="B41" s="19">
        <v>54</v>
      </c>
    </row>
    <row r="42" spans="1:2">
      <c r="A42" s="30" t="s">
        <v>1587</v>
      </c>
      <c r="B42" s="19">
        <v>1500</v>
      </c>
    </row>
  </sheetData>
  <sortState xmlns:xlrd2="http://schemas.microsoft.com/office/spreadsheetml/2017/richdata2" ref="I15:L20">
    <sortCondition descending="1" ref="L15:L20"/>
  </sortState>
  <phoneticPr fontId="24" type="noConversion"/>
  <pageMargins left="0.7" right="0.7" top="0.75" bottom="0.75" header="0.3" footer="0.3"/>
  <tableParts count="2">
    <tablePart r:id="rId5"/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9BC99-DA5A-4AEF-B100-715FB653B4DA}">
  <dimension ref="A1:T6"/>
  <sheetViews>
    <sheetView showGridLines="0" tabSelected="1" zoomScaleNormal="100" workbookViewId="0">
      <selection activeCell="Q39" sqref="Q39"/>
    </sheetView>
  </sheetViews>
  <sheetFormatPr defaultRowHeight="15"/>
  <cols>
    <col min="1" max="1" width="3.85546875" customWidth="1"/>
    <col min="2" max="2" width="12" bestFit="1" customWidth="1"/>
    <col min="3" max="12" width="9" customWidth="1"/>
  </cols>
  <sheetData>
    <row r="1" spans="1:20" ht="26.25" customHeight="1">
      <c r="A1" s="50" t="s">
        <v>1625</v>
      </c>
    </row>
    <row r="2" spans="1:20" ht="21">
      <c r="B2" s="32" t="s">
        <v>1605</v>
      </c>
      <c r="C2" s="33"/>
      <c r="D2" s="34"/>
      <c r="F2" s="32" t="s">
        <v>1598</v>
      </c>
      <c r="G2" s="33"/>
      <c r="H2" s="34"/>
      <c r="J2" s="32" t="s">
        <v>1600</v>
      </c>
      <c r="K2" s="33"/>
      <c r="L2" s="34"/>
      <c r="N2" s="32" t="s">
        <v>1599</v>
      </c>
      <c r="O2" s="33"/>
      <c r="P2" s="34"/>
      <c r="R2" s="32" t="s">
        <v>1624</v>
      </c>
      <c r="S2" s="33"/>
      <c r="T2" s="34"/>
    </row>
    <row r="3" spans="1:20">
      <c r="B3" s="35">
        <f>COUNTA(support_tickets[status])</f>
        <v>1500</v>
      </c>
      <c r="C3" s="16"/>
      <c r="D3" s="36"/>
      <c r="F3" s="40">
        <f>COUNTIF(support_tickets[status_cleaned],"open")</f>
        <v>471</v>
      </c>
      <c r="G3" s="15"/>
      <c r="H3" s="41"/>
      <c r="J3" s="40">
        <f>COUNTIF(support_tickets[status_cleaned],"Pending")</f>
        <v>140</v>
      </c>
      <c r="K3" s="15"/>
      <c r="L3" s="41"/>
      <c r="N3" s="40">
        <f>COUNTIF(support_tickets[status_cleaned],"closed")</f>
        <v>889</v>
      </c>
      <c r="O3" s="15"/>
      <c r="P3" s="41"/>
      <c r="R3" s="45">
        <f>(N3/B3)*100%</f>
        <v>0.59266666666666667</v>
      </c>
      <c r="S3" s="31"/>
      <c r="T3" s="46"/>
    </row>
    <row r="4" spans="1:20">
      <c r="B4" s="35"/>
      <c r="C4" s="16"/>
      <c r="D4" s="36"/>
      <c r="F4" s="40"/>
      <c r="G4" s="15"/>
      <c r="H4" s="41"/>
      <c r="J4" s="40"/>
      <c r="K4" s="15"/>
      <c r="L4" s="41"/>
      <c r="N4" s="40"/>
      <c r="O4" s="15"/>
      <c r="P4" s="41"/>
      <c r="R4" s="45"/>
      <c r="S4" s="31"/>
      <c r="T4" s="46"/>
    </row>
    <row r="5" spans="1:20">
      <c r="B5" s="37"/>
      <c r="C5" s="38"/>
      <c r="D5" s="39"/>
      <c r="F5" s="42"/>
      <c r="G5" s="43"/>
      <c r="H5" s="44"/>
      <c r="J5" s="42"/>
      <c r="K5" s="43"/>
      <c r="L5" s="44"/>
      <c r="N5" s="42"/>
      <c r="O5" s="43"/>
      <c r="P5" s="44"/>
      <c r="R5" s="47"/>
      <c r="S5" s="48"/>
      <c r="T5" s="49"/>
    </row>
    <row r="6" spans="1:20" ht="9.75" customHeight="1"/>
  </sheetData>
  <mergeCells count="10">
    <mergeCell ref="B3:D5"/>
    <mergeCell ref="F3:H5"/>
    <mergeCell ref="J3:L5"/>
    <mergeCell ref="N3:P5"/>
    <mergeCell ref="R3:T5"/>
    <mergeCell ref="B2:D2"/>
    <mergeCell ref="F2:H2"/>
    <mergeCell ref="J2:L2"/>
    <mergeCell ref="N2:P2"/>
    <mergeCell ref="R2:T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79AC8-74FB-4DB2-BCCC-1E2F2AB6D105}">
  <dimension ref="A3:F21"/>
  <sheetViews>
    <sheetView workbookViewId="0">
      <selection activeCell="P36" sqref="P36"/>
    </sheetView>
  </sheetViews>
  <sheetFormatPr defaultRowHeight="15"/>
  <cols>
    <col min="1" max="1" width="17.7109375" customWidth="1"/>
    <col min="2" max="6" width="13" customWidth="1"/>
    <col min="7" max="7" width="8.42578125" bestFit="1" customWidth="1"/>
    <col min="8" max="8" width="4.5703125" bestFit="1" customWidth="1"/>
    <col min="9" max="9" width="8.5703125" bestFit="1" customWidth="1"/>
    <col min="10" max="10" width="7.140625" bestFit="1" customWidth="1"/>
    <col min="11" max="11" width="11.42578125" bestFit="1" customWidth="1"/>
    <col min="12" max="12" width="15.85546875" bestFit="1" customWidth="1"/>
    <col min="13" max="13" width="4.5703125" bestFit="1" customWidth="1"/>
    <col min="14" max="14" width="8.5703125" bestFit="1" customWidth="1"/>
    <col min="15" max="15" width="7.140625" bestFit="1" customWidth="1"/>
    <col min="16" max="16" width="19" bestFit="1" customWidth="1"/>
    <col min="17" max="17" width="9.28515625" bestFit="1" customWidth="1"/>
    <col min="18" max="18" width="4.5703125" bestFit="1" customWidth="1"/>
    <col min="19" max="19" width="8.5703125" bestFit="1" customWidth="1"/>
    <col min="20" max="20" width="7.140625" bestFit="1" customWidth="1"/>
    <col min="21" max="21" width="12.28515625" bestFit="1" customWidth="1"/>
    <col min="22" max="22" width="16.28515625" bestFit="1" customWidth="1"/>
    <col min="23" max="23" width="4.5703125" bestFit="1" customWidth="1"/>
    <col min="24" max="24" width="8.5703125" bestFit="1" customWidth="1"/>
    <col min="25" max="25" width="7.140625" bestFit="1" customWidth="1"/>
    <col min="26" max="26" width="19.42578125" bestFit="1" customWidth="1"/>
    <col min="27" max="27" width="16.28515625" bestFit="1" customWidth="1"/>
    <col min="28" max="28" width="4.5703125" bestFit="1" customWidth="1"/>
    <col min="29" max="29" width="8.5703125" bestFit="1" customWidth="1"/>
    <col min="30" max="30" width="7.140625" bestFit="1" customWidth="1"/>
    <col min="31" max="31" width="19.42578125" bestFit="1" customWidth="1"/>
    <col min="32" max="32" width="11.28515625" bestFit="1" customWidth="1"/>
  </cols>
  <sheetData>
    <row r="3" spans="1:6">
      <c r="A3" s="17" t="s">
        <v>1605</v>
      </c>
      <c r="B3" s="17" t="s">
        <v>1635</v>
      </c>
    </row>
    <row r="4" spans="1:6">
      <c r="A4" s="17" t="s">
        <v>1634</v>
      </c>
      <c r="B4" t="s">
        <v>39</v>
      </c>
      <c r="C4" t="s">
        <v>53</v>
      </c>
      <c r="D4" t="s">
        <v>1607</v>
      </c>
      <c r="E4" t="s">
        <v>1587</v>
      </c>
    </row>
    <row r="5" spans="1:6">
      <c r="A5" s="18" t="s">
        <v>20</v>
      </c>
      <c r="B5" s="54">
        <v>254</v>
      </c>
      <c r="C5" s="54">
        <v>126</v>
      </c>
      <c r="D5" s="54">
        <v>48</v>
      </c>
      <c r="E5" s="54">
        <v>428</v>
      </c>
    </row>
    <row r="6" spans="1:6">
      <c r="A6" s="18" t="s">
        <v>26</v>
      </c>
      <c r="B6" s="54">
        <v>169</v>
      </c>
      <c r="C6" s="54">
        <v>77</v>
      </c>
      <c r="D6" s="54">
        <v>26</v>
      </c>
      <c r="E6" s="54">
        <v>272</v>
      </c>
    </row>
    <row r="7" spans="1:6">
      <c r="A7" s="18" t="s">
        <v>47</v>
      </c>
      <c r="B7" s="54">
        <v>351</v>
      </c>
      <c r="C7" s="54">
        <v>184</v>
      </c>
      <c r="D7" s="54">
        <v>45</v>
      </c>
      <c r="E7" s="54">
        <v>580</v>
      </c>
    </row>
    <row r="8" spans="1:6">
      <c r="A8" s="18" t="s">
        <v>73</v>
      </c>
      <c r="B8" s="54">
        <v>115</v>
      </c>
      <c r="C8" s="54">
        <v>84</v>
      </c>
      <c r="D8" s="54">
        <v>21</v>
      </c>
      <c r="E8" s="54">
        <v>220</v>
      </c>
    </row>
    <row r="9" spans="1:6">
      <c r="A9" s="18" t="s">
        <v>1587</v>
      </c>
      <c r="B9" s="54">
        <v>889</v>
      </c>
      <c r="C9" s="54">
        <v>471</v>
      </c>
      <c r="D9" s="54">
        <v>140</v>
      </c>
      <c r="E9" s="54">
        <v>1500</v>
      </c>
    </row>
    <row r="13" spans="1:6">
      <c r="A13" s="17" t="s">
        <v>1634</v>
      </c>
      <c r="B13" s="17" t="s">
        <v>1635</v>
      </c>
    </row>
    <row r="14" spans="1:6">
      <c r="A14" s="17" t="s">
        <v>1633</v>
      </c>
      <c r="B14" t="s">
        <v>73</v>
      </c>
      <c r="C14" t="s">
        <v>20</v>
      </c>
      <c r="D14" t="s">
        <v>47</v>
      </c>
      <c r="E14" t="s">
        <v>26</v>
      </c>
      <c r="F14" t="s">
        <v>1587</v>
      </c>
    </row>
    <row r="15" spans="1:6">
      <c r="A15" s="18" t="s">
        <v>30</v>
      </c>
      <c r="B15" s="54">
        <v>39</v>
      </c>
      <c r="C15" s="54">
        <v>79</v>
      </c>
      <c r="D15" s="54">
        <v>101</v>
      </c>
      <c r="E15" s="54">
        <v>39</v>
      </c>
      <c r="F15" s="54">
        <v>258</v>
      </c>
    </row>
    <row r="16" spans="1:6">
      <c r="A16" s="18" t="s">
        <v>59</v>
      </c>
      <c r="B16" s="54">
        <v>39</v>
      </c>
      <c r="C16" s="54">
        <v>78</v>
      </c>
      <c r="D16" s="54">
        <v>85</v>
      </c>
      <c r="E16" s="54">
        <v>51</v>
      </c>
      <c r="F16" s="54">
        <v>253</v>
      </c>
    </row>
    <row r="17" spans="1:6">
      <c r="A17" s="18" t="s">
        <v>19</v>
      </c>
      <c r="B17" s="54">
        <v>35</v>
      </c>
      <c r="C17" s="54">
        <v>81</v>
      </c>
      <c r="D17" s="54">
        <v>98</v>
      </c>
      <c r="E17" s="54">
        <v>53</v>
      </c>
      <c r="F17" s="54">
        <v>267</v>
      </c>
    </row>
    <row r="18" spans="1:6">
      <c r="A18" s="18" t="s">
        <v>25</v>
      </c>
      <c r="B18" s="54">
        <v>38</v>
      </c>
      <c r="C18" s="54">
        <v>51</v>
      </c>
      <c r="D18" s="54">
        <v>97</v>
      </c>
      <c r="E18" s="54">
        <v>48</v>
      </c>
      <c r="F18" s="54">
        <v>234</v>
      </c>
    </row>
    <row r="19" spans="1:6">
      <c r="A19" s="18" t="s">
        <v>38</v>
      </c>
      <c r="B19" s="54">
        <v>43</v>
      </c>
      <c r="C19" s="54">
        <v>66</v>
      </c>
      <c r="D19" s="54">
        <v>89</v>
      </c>
      <c r="E19" s="54">
        <v>44</v>
      </c>
      <c r="F19" s="54">
        <v>242</v>
      </c>
    </row>
    <row r="20" spans="1:6">
      <c r="A20" s="18" t="s">
        <v>86</v>
      </c>
      <c r="B20" s="54">
        <v>26</v>
      </c>
      <c r="C20" s="54">
        <v>73</v>
      </c>
      <c r="D20" s="54">
        <v>110</v>
      </c>
      <c r="E20" s="54">
        <v>37</v>
      </c>
      <c r="F20" s="54">
        <v>246</v>
      </c>
    </row>
    <row r="21" spans="1:6">
      <c r="A21" s="18" t="s">
        <v>1587</v>
      </c>
      <c r="B21" s="54">
        <v>220</v>
      </c>
      <c r="C21" s="54">
        <v>428</v>
      </c>
      <c r="D21" s="54">
        <v>580</v>
      </c>
      <c r="E21" s="54">
        <v>272</v>
      </c>
      <c r="F21" s="54">
        <v>1500</v>
      </c>
    </row>
  </sheetData>
  <conditionalFormatting pivot="1" sqref="B15:E20">
    <cfRule type="cellIs" dxfId="3" priority="3" operator="lessThan">
      <formula>40</formula>
    </cfRule>
  </conditionalFormatting>
  <conditionalFormatting pivot="1" sqref="B15:E20">
    <cfRule type="cellIs" dxfId="1" priority="2" operator="between">
      <formula>40</formula>
      <formula>70</formula>
    </cfRule>
  </conditionalFormatting>
  <conditionalFormatting pivot="1" sqref="B15:E20">
    <cfRule type="cellIs" dxfId="0" priority="1" operator="greaterThan">
      <formula>70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support_tickets</vt:lpstr>
      <vt:lpstr>Validation_Checks</vt:lpstr>
      <vt:lpstr>Pivot_Analysis</vt:lpstr>
      <vt:lpstr>KPI_Summary</vt:lpstr>
      <vt:lpstr>Sheet3</vt:lpstr>
      <vt:lpstr>support_ticket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Gino Caliwagan</dc:creator>
  <cp:lastModifiedBy>Gino Caliwagan</cp:lastModifiedBy>
  <dcterms:created xsi:type="dcterms:W3CDTF">2026-05-14T06:22:15Z</dcterms:created>
  <dcterms:modified xsi:type="dcterms:W3CDTF">2026-05-15T02:26:02Z</dcterms:modified>
</cp:coreProperties>
</file>